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7A5053CD-123F-4D3B-94CC-87B922E5CD78}" xr6:coauthVersionLast="47" xr6:coauthVersionMax="47" xr10:uidLastSave="{00000000-0000-0000-0000-000000000000}"/>
  <bookViews>
    <workbookView xWindow="-96" yWindow="-96" windowWidth="23232" windowHeight="13872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55" i="8" l="1"/>
  <c r="U256" i="8"/>
  <c r="U257" i="8"/>
  <c r="U258" i="8"/>
  <c r="U259" i="8"/>
  <c r="U260" i="8"/>
  <c r="U261" i="8"/>
  <c r="U262" i="8"/>
  <c r="AC140" i="12"/>
  <c r="Y140" i="12"/>
  <c r="W140" i="12"/>
  <c r="Z137" i="12"/>
  <c r="AA137" i="12" s="1"/>
  <c r="U137" i="12"/>
  <c r="T137" i="12"/>
  <c r="S137" i="12"/>
  <c r="Q137" i="12"/>
  <c r="Z136" i="12"/>
  <c r="AA136" i="12" s="1"/>
  <c r="W136" i="12"/>
  <c r="U136" i="12"/>
  <c r="T136" i="12"/>
  <c r="S136" i="12"/>
  <c r="R136" i="12"/>
  <c r="Y136" i="12" s="1"/>
  <c r="Q136" i="12"/>
  <c r="Z135" i="12"/>
  <c r="AA135" i="12" s="1"/>
  <c r="U135" i="12"/>
  <c r="S135" i="12"/>
  <c r="Q135" i="12"/>
  <c r="Z134" i="12"/>
  <c r="AA134" i="12" s="1"/>
  <c r="U134" i="12"/>
  <c r="S134" i="12"/>
  <c r="Q134" i="12"/>
  <c r="Z133" i="12"/>
  <c r="AA133" i="12" s="1"/>
  <c r="U133" i="12"/>
  <c r="S133" i="12"/>
  <c r="Q133" i="12"/>
  <c r="Z132" i="12"/>
  <c r="AA132" i="12" s="1"/>
  <c r="U132" i="12"/>
  <c r="S132" i="12"/>
  <c r="Q132" i="12"/>
  <c r="Z131" i="12"/>
  <c r="AA131" i="12" s="1"/>
  <c r="U131" i="12"/>
  <c r="S131" i="12"/>
  <c r="Q131" i="12"/>
  <c r="Z130" i="12"/>
  <c r="AA130" i="12" s="1"/>
  <c r="U130" i="12"/>
  <c r="S130" i="12"/>
  <c r="Q130" i="12"/>
  <c r="Z129" i="12"/>
  <c r="AA129" i="12" s="1"/>
  <c r="U129" i="12"/>
  <c r="S129" i="12"/>
  <c r="Q129" i="12"/>
  <c r="Z128" i="12"/>
  <c r="AA128" i="12" s="1"/>
  <c r="W128" i="12"/>
  <c r="U128" i="12"/>
  <c r="T128" i="12"/>
  <c r="S128" i="12"/>
  <c r="R128" i="12"/>
  <c r="Q128" i="12"/>
  <c r="Z127" i="12"/>
  <c r="AA127" i="12" s="1"/>
  <c r="Y127" i="12"/>
  <c r="W127" i="12"/>
  <c r="U127" i="12"/>
  <c r="T127" i="12"/>
  <c r="R127" i="12" s="1"/>
  <c r="AC127" i="12" s="1"/>
  <c r="S127" i="12"/>
  <c r="Q127" i="12"/>
  <c r="Z126" i="12"/>
  <c r="AA126" i="12" s="1"/>
  <c r="U126" i="12"/>
  <c r="S126" i="12"/>
  <c r="Q126" i="12"/>
  <c r="Z125" i="12"/>
  <c r="AA125" i="12" s="1"/>
  <c r="U125" i="12"/>
  <c r="S125" i="12"/>
  <c r="Q125" i="12"/>
  <c r="Z124" i="12"/>
  <c r="AA124" i="12" s="1"/>
  <c r="U124" i="12"/>
  <c r="S124" i="12"/>
  <c r="Q124" i="12"/>
  <c r="AA123" i="12"/>
  <c r="Z123" i="12"/>
  <c r="U123" i="12"/>
  <c r="S123" i="12"/>
  <c r="Q123" i="12"/>
  <c r="Z122" i="12"/>
  <c r="AA122" i="12" s="1"/>
  <c r="U122" i="12"/>
  <c r="S122" i="12"/>
  <c r="Q122" i="12"/>
  <c r="U121" i="12"/>
  <c r="S121" i="12"/>
  <c r="Q121" i="12"/>
  <c r="Z121" i="12" s="1"/>
  <c r="AA121" i="12" s="1"/>
  <c r="Z120" i="12"/>
  <c r="AA120" i="12" s="1"/>
  <c r="U120" i="12"/>
  <c r="S120" i="12"/>
  <c r="Q120" i="12"/>
  <c r="Z119" i="12"/>
  <c r="AA119" i="12" s="1"/>
  <c r="U119" i="12"/>
  <c r="T119" i="12"/>
  <c r="R119" i="12" s="1"/>
  <c r="S119" i="12"/>
  <c r="Q119" i="12"/>
  <c r="AC118" i="12"/>
  <c r="Z118" i="12"/>
  <c r="AA118" i="12" s="1"/>
  <c r="Y118" i="12"/>
  <c r="W118" i="12"/>
  <c r="U118" i="12"/>
  <c r="T118" i="12"/>
  <c r="S118" i="12"/>
  <c r="R118" i="12"/>
  <c r="Q118" i="12"/>
  <c r="AA117" i="12"/>
  <c r="U117" i="12"/>
  <c r="S117" i="12"/>
  <c r="Q117" i="12"/>
  <c r="Z117" i="12" s="1"/>
  <c r="AA116" i="12"/>
  <c r="Z116" i="12"/>
  <c r="U116" i="12"/>
  <c r="S116" i="12"/>
  <c r="Q116" i="12"/>
  <c r="Z115" i="12"/>
  <c r="AA115" i="12" s="1"/>
  <c r="U115" i="12"/>
  <c r="S115" i="12"/>
  <c r="Q115" i="12"/>
  <c r="AA114" i="12"/>
  <c r="Z114" i="12"/>
  <c r="U114" i="12"/>
  <c r="S114" i="12"/>
  <c r="Q114" i="12"/>
  <c r="AA113" i="12"/>
  <c r="Z113" i="12"/>
  <c r="U113" i="12"/>
  <c r="S113" i="12"/>
  <c r="Q113" i="12"/>
  <c r="U112" i="12"/>
  <c r="S112" i="12"/>
  <c r="Q112" i="12"/>
  <c r="Z112" i="12" s="1"/>
  <c r="AA112" i="12" s="1"/>
  <c r="U111" i="12"/>
  <c r="S111" i="12"/>
  <c r="Q111" i="12"/>
  <c r="Z111" i="12" s="1"/>
  <c r="AA111" i="12" s="1"/>
  <c r="Z110" i="12"/>
  <c r="AA110" i="12" s="1"/>
  <c r="Y110" i="12"/>
  <c r="W110" i="12"/>
  <c r="U110" i="12"/>
  <c r="T110" i="12"/>
  <c r="S110" i="12"/>
  <c r="R110" i="12"/>
  <c r="AC110" i="12" s="1"/>
  <c r="Q110" i="12"/>
  <c r="Z109" i="12"/>
  <c r="AA109" i="12" s="1"/>
  <c r="Y109" i="12"/>
  <c r="U109" i="12"/>
  <c r="T109" i="12"/>
  <c r="S109" i="12"/>
  <c r="R109" i="12"/>
  <c r="W109" i="12" s="1"/>
  <c r="Q109" i="12"/>
  <c r="Y108" i="12"/>
  <c r="W108" i="12"/>
  <c r="U108" i="12"/>
  <c r="T108" i="12"/>
  <c r="S108" i="12"/>
  <c r="R108" i="12"/>
  <c r="AC108" i="12" s="1"/>
  <c r="Q108" i="12"/>
  <c r="Z108" i="12" s="1"/>
  <c r="AA108" i="12" s="1"/>
  <c r="Z107" i="12"/>
  <c r="AA107" i="12" s="1"/>
  <c r="U107" i="12"/>
  <c r="S107" i="12"/>
  <c r="Q107" i="12"/>
  <c r="AA106" i="12"/>
  <c r="Z106" i="12"/>
  <c r="U106" i="12"/>
  <c r="S106" i="12"/>
  <c r="Q106" i="12"/>
  <c r="AA105" i="12"/>
  <c r="Z105" i="12"/>
  <c r="U105" i="12"/>
  <c r="S105" i="12"/>
  <c r="Q105" i="12"/>
  <c r="Z104" i="12"/>
  <c r="AA104" i="12" s="1"/>
  <c r="U104" i="12"/>
  <c r="S104" i="12"/>
  <c r="Q104" i="12"/>
  <c r="AA103" i="12"/>
  <c r="Z103" i="12"/>
  <c r="U103" i="12"/>
  <c r="S103" i="12"/>
  <c r="Q103" i="12"/>
  <c r="AA102" i="12"/>
  <c r="Z102" i="12"/>
  <c r="U102" i="12"/>
  <c r="S102" i="12"/>
  <c r="Q102" i="12"/>
  <c r="U101" i="12"/>
  <c r="S101" i="12"/>
  <c r="Q101" i="12"/>
  <c r="Z101" i="12" s="1"/>
  <c r="AA101" i="12" s="1"/>
  <c r="L40" i="12"/>
  <c r="A40" i="12"/>
  <c r="M40" i="12" s="1"/>
  <c r="D39" i="12" a="1"/>
  <c r="D39" i="12" s="1"/>
  <c r="A39" i="12"/>
  <c r="M39" i="12" s="1"/>
  <c r="A38" i="12"/>
  <c r="M37" i="12"/>
  <c r="G37" i="12"/>
  <c r="E37" i="12"/>
  <c r="D37" i="12" a="1"/>
  <c r="D37" i="12" s="1"/>
  <c r="A37" i="12"/>
  <c r="I37" i="12" s="1"/>
  <c r="I36" i="12"/>
  <c r="G36" i="12"/>
  <c r="E36" i="12"/>
  <c r="A36" i="12"/>
  <c r="M35" i="12"/>
  <c r="L35" i="12"/>
  <c r="A35" i="12"/>
  <c r="M34" i="12"/>
  <c r="I34" i="12"/>
  <c r="G34" i="12"/>
  <c r="E34" i="12"/>
  <c r="D34" i="12" a="1"/>
  <c r="D34" i="12" s="1"/>
  <c r="A34" i="12"/>
  <c r="M33" i="12"/>
  <c r="I33" i="12"/>
  <c r="G33" i="12"/>
  <c r="E33" i="12"/>
  <c r="A33" i="12"/>
  <c r="M32" i="12"/>
  <c r="L32" i="12"/>
  <c r="A32" i="12"/>
  <c r="I31" i="12"/>
  <c r="G31" i="12"/>
  <c r="E31" i="12"/>
  <c r="D31" i="12" a="1"/>
  <c r="D31" i="12" s="1"/>
  <c r="A31" i="12"/>
  <c r="L30" i="12"/>
  <c r="I30" i="12"/>
  <c r="A30" i="12"/>
  <c r="M29" i="12"/>
  <c r="A29" i="12"/>
  <c r="I28" i="12"/>
  <c r="G28" i="12"/>
  <c r="E28" i="12"/>
  <c r="D28" i="12" a="1"/>
  <c r="D28" i="12" s="1"/>
  <c r="A28" i="12"/>
  <c r="L27" i="12"/>
  <c r="A27" i="12"/>
  <c r="M26" i="12"/>
  <c r="I26" i="12"/>
  <c r="G26" i="12"/>
  <c r="E26" i="12"/>
  <c r="D26" i="12" a="1"/>
  <c r="D26" i="12" s="1"/>
  <c r="A26" i="12"/>
  <c r="M25" i="12"/>
  <c r="I25" i="12"/>
  <c r="G25" i="12"/>
  <c r="E25" i="12"/>
  <c r="A25" i="12"/>
  <c r="M24" i="12"/>
  <c r="L24" i="12"/>
  <c r="A24" i="12"/>
  <c r="M23" i="12"/>
  <c r="L23" i="12"/>
  <c r="K23" i="12"/>
  <c r="G23" i="12"/>
  <c r="E23" i="12"/>
  <c r="D23" i="12" a="1"/>
  <c r="D23" i="12" s="1"/>
  <c r="A23" i="12"/>
  <c r="I23" i="12" s="1"/>
  <c r="M22" i="12"/>
  <c r="G22" i="12"/>
  <c r="E22" i="12"/>
  <c r="D22" i="12" a="1"/>
  <c r="D22" i="12" s="1"/>
  <c r="A22" i="12"/>
  <c r="I22" i="12" s="1"/>
  <c r="A21" i="12"/>
  <c r="O20" i="12"/>
  <c r="M20" i="12"/>
  <c r="L20" i="12"/>
  <c r="K20" i="12"/>
  <c r="F20" i="12"/>
  <c r="E20" i="12"/>
  <c r="D20" i="12" a="1"/>
  <c r="D20" i="12" s="1"/>
  <c r="A20" i="12"/>
  <c r="G20" i="12" s="1"/>
  <c r="O19" i="12"/>
  <c r="M19" i="12"/>
  <c r="L19" i="12"/>
  <c r="K19" i="12"/>
  <c r="G19" i="12"/>
  <c r="F19" i="12"/>
  <c r="E19" i="12"/>
  <c r="D19" i="12" a="1"/>
  <c r="D19" i="12" s="1"/>
  <c r="A19" i="12"/>
  <c r="I18" i="12"/>
  <c r="F18" i="12"/>
  <c r="E18" i="12"/>
  <c r="D18" i="12" a="1"/>
  <c r="D18" i="12" s="1"/>
  <c r="A18" i="12"/>
  <c r="M18" i="12" s="1"/>
  <c r="O17" i="12"/>
  <c r="M17" i="12"/>
  <c r="G17" i="12"/>
  <c r="F17" i="12"/>
  <c r="E17" i="12"/>
  <c r="D17" i="12" a="1"/>
  <c r="D17" i="12" s="1"/>
  <c r="A17" i="12"/>
  <c r="A16" i="12"/>
  <c r="O16" i="12" s="1"/>
  <c r="L15" i="12"/>
  <c r="A15" i="12"/>
  <c r="K14" i="12"/>
  <c r="I14" i="12"/>
  <c r="A14" i="12"/>
  <c r="I13" i="12"/>
  <c r="E13" i="12"/>
  <c r="A13" i="12"/>
  <c r="K13" i="12" s="1"/>
  <c r="M12" i="12"/>
  <c r="L12" i="12"/>
  <c r="K12" i="12"/>
  <c r="F12" i="12"/>
  <c r="D12" i="12" a="1"/>
  <c r="D12" i="12" s="1"/>
  <c r="A12" i="12"/>
  <c r="G12" i="12" s="1"/>
  <c r="O11" i="12"/>
  <c r="M11" i="12"/>
  <c r="L11" i="12"/>
  <c r="K11" i="12"/>
  <c r="G11" i="12"/>
  <c r="F11" i="12"/>
  <c r="E11" i="12"/>
  <c r="D11" i="12" a="1"/>
  <c r="D11" i="12" s="1"/>
  <c r="A11" i="12"/>
  <c r="M10" i="12"/>
  <c r="L10" i="12"/>
  <c r="I10" i="12"/>
  <c r="F10" i="12"/>
  <c r="E10" i="12"/>
  <c r="D10" i="12" a="1"/>
  <c r="D10" i="12" s="1"/>
  <c r="A10" i="12"/>
  <c r="O9" i="12"/>
  <c r="M9" i="12"/>
  <c r="L9" i="12"/>
  <c r="K9" i="12"/>
  <c r="I9" i="12"/>
  <c r="H9" i="12"/>
  <c r="F9" i="12"/>
  <c r="E9" i="12"/>
  <c r="D9" i="12" a="1"/>
  <c r="D9" i="12" s="1"/>
  <c r="A9" i="12"/>
  <c r="G9" i="12" s="1"/>
  <c r="H8" i="12"/>
  <c r="A8" i="12"/>
  <c r="O8" i="12" s="1"/>
  <c r="H7" i="12"/>
  <c r="A7" i="12"/>
  <c r="O7" i="12" s="1"/>
  <c r="H6" i="12"/>
  <c r="A6" i="12"/>
  <c r="O6" i="12" s="1"/>
  <c r="H5" i="12"/>
  <c r="A5" i="12"/>
  <c r="H4" i="12"/>
  <c r="A4" i="12"/>
  <c r="G4" i="12" s="1"/>
  <c r="A3" i="12"/>
  <c r="A2" i="12"/>
  <c r="A1" i="12"/>
  <c r="K8" i="11"/>
  <c r="E8" i="11"/>
  <c r="A8" i="11"/>
  <c r="P8" i="11" s="1"/>
  <c r="K7" i="11"/>
  <c r="E7" i="11"/>
  <c r="A7" i="11"/>
  <c r="P7" i="11" s="1"/>
  <c r="L6" i="11"/>
  <c r="K6" i="11"/>
  <c r="F6" i="11" s="1"/>
  <c r="E6" i="11"/>
  <c r="A6" i="11"/>
  <c r="P6" i="11" s="1"/>
  <c r="Q6" i="11" s="1"/>
  <c r="Q5" i="11"/>
  <c r="L5" i="11"/>
  <c r="K5" i="11"/>
  <c r="E5" i="11"/>
  <c r="A5" i="11"/>
  <c r="P5" i="11" s="1"/>
  <c r="P4" i="11"/>
  <c r="K4" i="11"/>
  <c r="E4" i="11"/>
  <c r="A4" i="11"/>
  <c r="K3" i="11"/>
  <c r="E3" i="11"/>
  <c r="A3" i="11"/>
  <c r="P3" i="11" s="1"/>
  <c r="Q3" i="11" s="1"/>
  <c r="P2" i="11"/>
  <c r="Q2" i="11" s="1"/>
  <c r="K2" i="11"/>
  <c r="L2" i="11" s="1"/>
  <c r="E2" i="11"/>
  <c r="A2" i="11"/>
  <c r="A9" i="10"/>
  <c r="H1" i="10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D5" i="11" s="1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L149" i="9"/>
  <c r="J149" i="9"/>
  <c r="H149" i="9"/>
  <c r="F149" i="9"/>
  <c r="AM2" i="9"/>
  <c r="A2" i="9"/>
  <c r="AC270" i="8"/>
  <c r="Y270" i="8" a="1"/>
  <c r="Y270" i="8" s="1"/>
  <c r="AB266" i="8" a="1"/>
  <c r="AB266" i="8" s="1"/>
  <c r="I265" i="8"/>
  <c r="G265" i="8"/>
  <c r="F265" i="8"/>
  <c r="I264" i="8"/>
  <c r="G264" i="8"/>
  <c r="F264" i="8"/>
  <c r="I263" i="8"/>
  <c r="G263" i="8"/>
  <c r="F263" i="8"/>
  <c r="AB262" i="8" a="1"/>
  <c r="AB262" i="8" s="1"/>
  <c r="W262" i="8" a="1"/>
  <c r="W262" i="8" s="1"/>
  <c r="I262" i="8"/>
  <c r="G262" i="8"/>
  <c r="F262" i="8"/>
  <c r="AB261" i="8" a="1"/>
  <c r="AB261" i="8" s="1"/>
  <c r="W261" i="8" a="1"/>
  <c r="W261" i="8" s="1"/>
  <c r="I261" i="8"/>
  <c r="G261" i="8"/>
  <c r="F261" i="8"/>
  <c r="AB260" i="8" a="1"/>
  <c r="AB260" i="8" s="1"/>
  <c r="W260" i="8" a="1"/>
  <c r="W260" i="8" s="1"/>
  <c r="I260" i="8"/>
  <c r="G260" i="8"/>
  <c r="F260" i="8"/>
  <c r="AB259" i="8" a="1"/>
  <c r="AB259" i="8" s="1"/>
  <c r="W259" i="8" a="1"/>
  <c r="W259" i="8" s="1"/>
  <c r="I259" i="8"/>
  <c r="G259" i="8"/>
  <c r="F259" i="8"/>
  <c r="AB258" i="8" a="1"/>
  <c r="AB258" i="8" s="1"/>
  <c r="W258" i="8" a="1"/>
  <c r="W258" i="8" s="1"/>
  <c r="I258" i="8"/>
  <c r="G258" i="8"/>
  <c r="F258" i="8"/>
  <c r="AB257" i="8" a="1"/>
  <c r="AB257" i="8" s="1"/>
  <c r="W257" i="8" a="1"/>
  <c r="W257" i="8" s="1"/>
  <c r="I257" i="8"/>
  <c r="G257" i="8"/>
  <c r="F257" i="8"/>
  <c r="AB256" i="8" a="1"/>
  <c r="AB256" i="8" s="1"/>
  <c r="W256" i="8" a="1"/>
  <c r="W256" i="8" s="1"/>
  <c r="I256" i="8"/>
  <c r="G256" i="8"/>
  <c r="F256" i="8"/>
  <c r="AB255" i="8" a="1"/>
  <c r="AB255" i="8" s="1"/>
  <c r="W255" i="8" a="1"/>
  <c r="W255" i="8" s="1"/>
  <c r="I255" i="8"/>
  <c r="G255" i="8"/>
  <c r="F255" i="8"/>
  <c r="I254" i="8"/>
  <c r="G254" i="8"/>
  <c r="F254" i="8"/>
  <c r="I253" i="8"/>
  <c r="G253" i="8"/>
  <c r="F253" i="8"/>
  <c r="I252" i="8"/>
  <c r="G252" i="8"/>
  <c r="F252" i="8"/>
  <c r="I251" i="8"/>
  <c r="G251" i="8"/>
  <c r="F251" i="8"/>
  <c r="A219" i="8"/>
  <c r="H218" i="8"/>
  <c r="I217" i="8"/>
  <c r="J216" i="8"/>
  <c r="I216" i="8"/>
  <c r="C216" i="8"/>
  <c r="Q216" i="8" s="1"/>
  <c r="P216" i="8" s="1"/>
  <c r="J215" i="8"/>
  <c r="I215" i="8"/>
  <c r="C215" i="8"/>
  <c r="Q215" i="8" s="1"/>
  <c r="P215" i="8" s="1"/>
  <c r="P214" i="8"/>
  <c r="J214" i="8"/>
  <c r="C214" i="8"/>
  <c r="P213" i="8"/>
  <c r="H213" i="8"/>
  <c r="C213" i="8"/>
  <c r="P212" i="8"/>
  <c r="C212" i="8"/>
  <c r="P211" i="8"/>
  <c r="C211" i="8"/>
  <c r="C210" i="8"/>
  <c r="P209" i="8"/>
  <c r="C209" i="8"/>
  <c r="Q209" i="8" s="1"/>
  <c r="B209" i="8"/>
  <c r="C208" i="8"/>
  <c r="J208" i="8" s="1"/>
  <c r="B208" i="8"/>
  <c r="Q207" i="8"/>
  <c r="P207" i="8" s="1"/>
  <c r="N207" i="8"/>
  <c r="M207" i="8" a="1"/>
  <c r="M207" i="8" s="1"/>
  <c r="C207" i="8"/>
  <c r="D207" i="8" s="1" a="1"/>
  <c r="D207" i="8" s="1"/>
  <c r="F207" i="8" s="1"/>
  <c r="G207" i="8" s="1"/>
  <c r="B207" i="8"/>
  <c r="N206" i="8"/>
  <c r="C206" i="8"/>
  <c r="J206" i="8" s="1"/>
  <c r="J205" i="8"/>
  <c r="C205" i="8"/>
  <c r="H205" i="8" s="1"/>
  <c r="E205" i="8" s="1"/>
  <c r="N204" i="8"/>
  <c r="M204" i="8" a="1"/>
  <c r="M204" i="8" s="1"/>
  <c r="I204" i="8"/>
  <c r="H204" i="8"/>
  <c r="E204" i="8"/>
  <c r="D204" i="8" a="1"/>
  <c r="D204" i="8" s="1"/>
  <c r="F204" i="8" s="1"/>
  <c r="G204" i="8" s="1"/>
  <c r="C204" i="8"/>
  <c r="Q204" i="8" s="1"/>
  <c r="P204" i="8" s="1"/>
  <c r="B204" i="8"/>
  <c r="C203" i="8"/>
  <c r="M202" i="8" a="1"/>
  <c r="M202" i="8" s="1"/>
  <c r="C202" i="8"/>
  <c r="D202" i="8" s="1" a="1"/>
  <c r="D202" i="8" s="1"/>
  <c r="F202" i="8" s="1"/>
  <c r="G202" i="8" s="1"/>
  <c r="B202" i="8"/>
  <c r="C201" i="8"/>
  <c r="Q201" i="8" s="1"/>
  <c r="P201" i="8" s="1"/>
  <c r="N200" i="8"/>
  <c r="H200" i="8"/>
  <c r="E200" i="8" s="1"/>
  <c r="D200" i="8" a="1"/>
  <c r="D200" i="8" s="1"/>
  <c r="F200" i="8" s="1"/>
  <c r="G200" i="8" s="1"/>
  <c r="C200" i="8"/>
  <c r="M200" i="8" s="1" a="1"/>
  <c r="M200" i="8" s="1"/>
  <c r="B200" i="8"/>
  <c r="H199" i="8"/>
  <c r="E199" i="8" s="1"/>
  <c r="C199" i="8"/>
  <c r="Q199" i="8" s="1"/>
  <c r="P199" i="8" s="1"/>
  <c r="B199" i="8"/>
  <c r="C198" i="8"/>
  <c r="I198" i="8" s="1"/>
  <c r="C197" i="8"/>
  <c r="Q197" i="8" s="1"/>
  <c r="P197" i="8" s="1"/>
  <c r="M196" i="8" a="1"/>
  <c r="M196" i="8" s="1"/>
  <c r="I196" i="8"/>
  <c r="C196" i="8"/>
  <c r="Q196" i="8" s="1"/>
  <c r="P196" i="8" s="1"/>
  <c r="B196" i="8"/>
  <c r="J195" i="8"/>
  <c r="I195" i="8"/>
  <c r="C195" i="8"/>
  <c r="D195" i="8" s="1" a="1"/>
  <c r="D195" i="8" s="1"/>
  <c r="F195" i="8" s="1"/>
  <c r="G195" i="8" s="1"/>
  <c r="M194" i="8" a="1"/>
  <c r="M194" i="8" s="1"/>
  <c r="C194" i="8"/>
  <c r="D194" i="8" s="1" a="1"/>
  <c r="D194" i="8" s="1"/>
  <c r="F194" i="8" s="1"/>
  <c r="G194" i="8" s="1"/>
  <c r="B194" i="8"/>
  <c r="C193" i="8"/>
  <c r="Q193" i="8" s="1"/>
  <c r="P193" i="8" s="1"/>
  <c r="N192" i="8"/>
  <c r="H192" i="8"/>
  <c r="E192" i="8" s="1"/>
  <c r="D192" i="8" a="1"/>
  <c r="D192" i="8" s="1"/>
  <c r="F192" i="8" s="1"/>
  <c r="G192" i="8" s="1"/>
  <c r="C192" i="8"/>
  <c r="M192" i="8" s="1" a="1"/>
  <c r="M192" i="8" s="1"/>
  <c r="B192" i="8"/>
  <c r="H191" i="8"/>
  <c r="E191" i="8" s="1"/>
  <c r="C191" i="8"/>
  <c r="Q191" i="8" s="1"/>
  <c r="P191" i="8" s="1"/>
  <c r="B191" i="8"/>
  <c r="C190" i="8"/>
  <c r="Q190" i="8" s="1"/>
  <c r="P190" i="8" s="1"/>
  <c r="C189" i="8"/>
  <c r="Q189" i="8" s="1"/>
  <c r="P189" i="8" s="1"/>
  <c r="N188" i="8"/>
  <c r="M188" i="8" a="1"/>
  <c r="M188" i="8" s="1"/>
  <c r="H188" i="8"/>
  <c r="E188" i="8"/>
  <c r="C188" i="8"/>
  <c r="Q188" i="8" s="1"/>
  <c r="P188" i="8" s="1"/>
  <c r="C187" i="8"/>
  <c r="Q187" i="8" s="1"/>
  <c r="P187" i="8" s="1"/>
  <c r="N186" i="8"/>
  <c r="M186" i="8" a="1"/>
  <c r="M186" i="8" s="1"/>
  <c r="C186" i="8"/>
  <c r="D186" i="8" s="1" a="1"/>
  <c r="D186" i="8" s="1"/>
  <c r="F186" i="8" s="1"/>
  <c r="G186" i="8" s="1"/>
  <c r="M185" i="8" a="1"/>
  <c r="M185" i="8" s="1"/>
  <c r="C185" i="8"/>
  <c r="Q185" i="8" s="1"/>
  <c r="P185" i="8" s="1"/>
  <c r="N184" i="8"/>
  <c r="C184" i="8"/>
  <c r="M184" i="8" s="1" a="1"/>
  <c r="M184" i="8" s="1"/>
  <c r="B184" i="8"/>
  <c r="I183" i="8"/>
  <c r="H183" i="8"/>
  <c r="E183" i="8" s="1"/>
  <c r="D183" i="8" a="1"/>
  <c r="D183" i="8" s="1"/>
  <c r="F183" i="8" s="1"/>
  <c r="G183" i="8" s="1"/>
  <c r="C183" i="8"/>
  <c r="Q183" i="8" s="1"/>
  <c r="P183" i="8" s="1"/>
  <c r="B183" i="8"/>
  <c r="C182" i="8"/>
  <c r="C181" i="8"/>
  <c r="Q181" i="8" s="1"/>
  <c r="P181" i="8" s="1"/>
  <c r="N180" i="8"/>
  <c r="M180" i="8" a="1"/>
  <c r="M180" i="8" s="1"/>
  <c r="I180" i="8"/>
  <c r="H180" i="8"/>
  <c r="E180" i="8"/>
  <c r="D180" i="8" a="1"/>
  <c r="D180" i="8" s="1"/>
  <c r="F180" i="8" s="1"/>
  <c r="G180" i="8" s="1"/>
  <c r="C180" i="8"/>
  <c r="Q180" i="8" s="1"/>
  <c r="P180" i="8" s="1"/>
  <c r="B180" i="8"/>
  <c r="C179" i="8"/>
  <c r="C178" i="8"/>
  <c r="D178" i="8" s="1" a="1"/>
  <c r="D178" i="8" s="1"/>
  <c r="F178" i="8" s="1"/>
  <c r="G178" i="8" s="1"/>
  <c r="B178" i="8"/>
  <c r="M177" i="8" a="1"/>
  <c r="M177" i="8" s="1"/>
  <c r="D177" i="8" a="1"/>
  <c r="D177" i="8" s="1"/>
  <c r="F177" i="8" s="1"/>
  <c r="G177" i="8" s="1"/>
  <c r="C177" i="8"/>
  <c r="Q177" i="8" s="1"/>
  <c r="P177" i="8" s="1"/>
  <c r="N176" i="8"/>
  <c r="I176" i="8"/>
  <c r="H176" i="8"/>
  <c r="E176" i="8" s="1"/>
  <c r="D176" i="8" a="1"/>
  <c r="D176" i="8" s="1"/>
  <c r="F176" i="8" s="1"/>
  <c r="G176" i="8" s="1"/>
  <c r="C176" i="8"/>
  <c r="M176" i="8" s="1" a="1"/>
  <c r="M176" i="8" s="1"/>
  <c r="B176" i="8"/>
  <c r="N175" i="8"/>
  <c r="C175" i="8"/>
  <c r="Q175" i="8" s="1"/>
  <c r="P175" i="8" s="1"/>
  <c r="C174" i="8"/>
  <c r="J173" i="8"/>
  <c r="C173" i="8"/>
  <c r="N173" i="8" s="1"/>
  <c r="H172" i="8"/>
  <c r="E172" i="8" s="1"/>
  <c r="C172" i="8"/>
  <c r="Q172" i="8" s="1"/>
  <c r="P172" i="8" s="1"/>
  <c r="B172" i="8"/>
  <c r="D171" i="8" a="1"/>
  <c r="D171" i="8" s="1"/>
  <c r="F171" i="8" s="1"/>
  <c r="G171" i="8" s="1"/>
  <c r="C171" i="8"/>
  <c r="B171" i="8" s="1"/>
  <c r="J170" i="8"/>
  <c r="C170" i="8"/>
  <c r="N170" i="8" s="1"/>
  <c r="B170" i="8"/>
  <c r="C169" i="8"/>
  <c r="Q169" i="8" s="1"/>
  <c r="P169" i="8" s="1"/>
  <c r="N168" i="8"/>
  <c r="H168" i="8"/>
  <c r="E168" i="8" s="1"/>
  <c r="D168" i="8" a="1"/>
  <c r="D168" i="8" s="1"/>
  <c r="F168" i="8" s="1"/>
  <c r="G168" i="8" s="1"/>
  <c r="C168" i="8"/>
  <c r="M168" i="8" s="1" a="1"/>
  <c r="M168" i="8" s="1"/>
  <c r="B168" i="8"/>
  <c r="N167" i="8"/>
  <c r="M167" i="8" a="1"/>
  <c r="M167" i="8" s="1"/>
  <c r="H167" i="8"/>
  <c r="E167" i="8"/>
  <c r="C167" i="8"/>
  <c r="Q167" i="8" s="1"/>
  <c r="P167" i="8" s="1"/>
  <c r="B167" i="8"/>
  <c r="C166" i="8"/>
  <c r="M166" i="8" s="1" a="1"/>
  <c r="M166" i="8" s="1"/>
  <c r="C165" i="8"/>
  <c r="Q165" i="8" s="1"/>
  <c r="P165" i="8" s="1"/>
  <c r="N164" i="8"/>
  <c r="C164" i="8"/>
  <c r="Q164" i="8" s="1"/>
  <c r="P164" i="8" s="1"/>
  <c r="C163" i="8"/>
  <c r="B163" i="8" s="1"/>
  <c r="C162" i="8"/>
  <c r="B162" i="8" s="1"/>
  <c r="C161" i="8"/>
  <c r="Q161" i="8" s="1"/>
  <c r="P161" i="8" s="1"/>
  <c r="C160" i="8"/>
  <c r="M160" i="8" s="1" a="1"/>
  <c r="M160" i="8" s="1"/>
  <c r="M159" i="8" a="1"/>
  <c r="M159" i="8" s="1"/>
  <c r="C159" i="8"/>
  <c r="Q159" i="8" s="1"/>
  <c r="P159" i="8" s="1"/>
  <c r="M158" i="8" a="1"/>
  <c r="M158" i="8" s="1"/>
  <c r="J158" i="8"/>
  <c r="C158" i="8"/>
  <c r="C157" i="8"/>
  <c r="N157" i="8" s="1"/>
  <c r="N156" i="8"/>
  <c r="I156" i="8"/>
  <c r="H156" i="8"/>
  <c r="E156" i="8" s="1"/>
  <c r="C156" i="8"/>
  <c r="Q156" i="8" s="1"/>
  <c r="P156" i="8" s="1"/>
  <c r="B156" i="8"/>
  <c r="C155" i="8"/>
  <c r="B155" i="8" s="1"/>
  <c r="C154" i="8"/>
  <c r="I154" i="8" s="1"/>
  <c r="B154" i="8"/>
  <c r="C153" i="8"/>
  <c r="Q153" i="8" s="1"/>
  <c r="P153" i="8" s="1"/>
  <c r="C152" i="8"/>
  <c r="M152" i="8" s="1" a="1"/>
  <c r="M152" i="8" s="1"/>
  <c r="N151" i="8"/>
  <c r="M151" i="8" a="1"/>
  <c r="M151" i="8" s="1"/>
  <c r="C151" i="8"/>
  <c r="Q151" i="8" s="1"/>
  <c r="P151" i="8" s="1"/>
  <c r="B151" i="8"/>
  <c r="C150" i="8"/>
  <c r="M150" i="8" s="1" a="1"/>
  <c r="M150" i="8" s="1"/>
  <c r="N149" i="8"/>
  <c r="J149" i="8"/>
  <c r="H149" i="8"/>
  <c r="E149" i="8" s="1"/>
  <c r="C149" i="8"/>
  <c r="C148" i="8"/>
  <c r="Q148" i="8" s="1"/>
  <c r="P148" i="8" s="1"/>
  <c r="C147" i="8"/>
  <c r="J147" i="8" s="1"/>
  <c r="N146" i="8"/>
  <c r="M146" i="8" a="1"/>
  <c r="M146" i="8" s="1"/>
  <c r="J146" i="8"/>
  <c r="C146" i="8"/>
  <c r="I146" i="8" s="1"/>
  <c r="B146" i="8"/>
  <c r="C145" i="8"/>
  <c r="Q145" i="8" s="1"/>
  <c r="P145" i="8" s="1"/>
  <c r="C144" i="8"/>
  <c r="M144" i="8" s="1" a="1"/>
  <c r="M144" i="8" s="1"/>
  <c r="A144" i="8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P143" i="8"/>
  <c r="C143" i="8"/>
  <c r="Q143" i="8" s="1"/>
  <c r="B143" i="8"/>
  <c r="A143" i="8"/>
  <c r="J142" i="8"/>
  <c r="I142" i="8"/>
  <c r="C142" i="8"/>
  <c r="Q142" i="8" s="1"/>
  <c r="P142" i="8" s="1"/>
  <c r="B142" i="8"/>
  <c r="A142" i="8"/>
  <c r="C141" i="8"/>
  <c r="M141" i="8" s="1" a="1"/>
  <c r="M141" i="8" s="1"/>
  <c r="Q140" i="8"/>
  <c r="P140" i="8" s="1"/>
  <c r="M140" i="8" a="1"/>
  <c r="M140" i="8" s="1"/>
  <c r="J140" i="8"/>
  <c r="C140" i="8"/>
  <c r="I140" i="8" s="1" a="1"/>
  <c r="I140" i="8" s="1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J70" i="8"/>
  <c r="C70" i="8"/>
  <c r="N70" i="8" s="1"/>
  <c r="B70" i="8"/>
  <c r="J69" i="8"/>
  <c r="C69" i="8"/>
  <c r="Q69" i="8" s="1"/>
  <c r="P69" i="8" s="1"/>
  <c r="B69" i="8"/>
  <c r="Q68" i="8"/>
  <c r="P68" i="8" s="1"/>
  <c r="M68" i="8" a="1"/>
  <c r="M68" i="8" s="1"/>
  <c r="L68" i="8"/>
  <c r="J68" i="8"/>
  <c r="D68" i="8" a="1"/>
  <c r="D68" i="8" s="1"/>
  <c r="F68" i="8" s="1"/>
  <c r="G68" i="8" s="1"/>
  <c r="C68" i="8"/>
  <c r="N68" i="8" s="1"/>
  <c r="B68" i="8"/>
  <c r="Q67" i="8"/>
  <c r="P67" i="8" s="1"/>
  <c r="N67" i="8"/>
  <c r="M67" i="8" a="1"/>
  <c r="M67" i="8" s="1"/>
  <c r="J67" i="8"/>
  <c r="H67" i="8"/>
  <c r="E67" i="8" s="1"/>
  <c r="C67" i="8"/>
  <c r="L67" i="8" s="1"/>
  <c r="B67" i="8"/>
  <c r="Q66" i="8"/>
  <c r="P66" i="8" s="1"/>
  <c r="C66" i="8"/>
  <c r="N66" i="8" s="1"/>
  <c r="N65" i="8"/>
  <c r="C65" i="8"/>
  <c r="M65" i="8" s="1" a="1"/>
  <c r="M65" i="8" s="1"/>
  <c r="Q64" i="8"/>
  <c r="P64" i="8" s="1"/>
  <c r="M64" i="8" a="1"/>
  <c r="M64" i="8" s="1"/>
  <c r="C64" i="8"/>
  <c r="N64" i="8" s="1"/>
  <c r="B64" i="8"/>
  <c r="N63" i="8"/>
  <c r="M63" i="8" a="1"/>
  <c r="M63" i="8" s="1"/>
  <c r="C63" i="8"/>
  <c r="L63" i="8" s="1"/>
  <c r="B63" i="8"/>
  <c r="Q62" i="8"/>
  <c r="P62" i="8" s="1"/>
  <c r="M62" i="8" a="1"/>
  <c r="M62" i="8" s="1"/>
  <c r="L62" i="8"/>
  <c r="J62" i="8"/>
  <c r="D62" i="8" a="1"/>
  <c r="D62" i="8" s="1"/>
  <c r="F62" i="8" s="1"/>
  <c r="G62" i="8" s="1"/>
  <c r="C62" i="8"/>
  <c r="N62" i="8" s="1"/>
  <c r="B62" i="8"/>
  <c r="Q61" i="8"/>
  <c r="P61" i="8" s="1"/>
  <c r="N61" i="8"/>
  <c r="M61" i="8" a="1"/>
  <c r="M61" i="8" s="1"/>
  <c r="L61" i="8"/>
  <c r="J61" i="8"/>
  <c r="H61" i="8"/>
  <c r="E61" i="8" s="1"/>
  <c r="C61" i="8"/>
  <c r="B61" i="8"/>
  <c r="Q60" i="8"/>
  <c r="P60" i="8" s="1"/>
  <c r="L60" i="8"/>
  <c r="J60" i="8"/>
  <c r="D60" i="8" a="1"/>
  <c r="D60" i="8" s="1"/>
  <c r="F60" i="8" s="1"/>
  <c r="G60" i="8" s="1"/>
  <c r="C60" i="8"/>
  <c r="N60" i="8" s="1"/>
  <c r="Q59" i="8"/>
  <c r="P59" i="8" s="1"/>
  <c r="N59" i="8"/>
  <c r="L59" i="8"/>
  <c r="J59" i="8"/>
  <c r="H59" i="8"/>
  <c r="E59" i="8" s="1"/>
  <c r="C59" i="8"/>
  <c r="B59" i="8" s="1"/>
  <c r="Q58" i="8"/>
  <c r="P58" i="8" s="1"/>
  <c r="M58" i="8" a="1"/>
  <c r="M58" i="8" s="1"/>
  <c r="J58" i="8"/>
  <c r="D58" i="8" a="1"/>
  <c r="D58" i="8" s="1"/>
  <c r="F58" i="8" s="1"/>
  <c r="G58" i="8" s="1"/>
  <c r="C58" i="8"/>
  <c r="N58" i="8" s="1"/>
  <c r="N57" i="8"/>
  <c r="M57" i="8" a="1"/>
  <c r="M57" i="8" s="1"/>
  <c r="J57" i="8"/>
  <c r="H57" i="8"/>
  <c r="E57" i="8" s="1"/>
  <c r="C57" i="8"/>
  <c r="B57" i="8" s="1"/>
  <c r="C56" i="8"/>
  <c r="N56" i="8" s="1"/>
  <c r="M55" i="8" a="1"/>
  <c r="M55" i="8" s="1"/>
  <c r="L55" i="8"/>
  <c r="H55" i="8"/>
  <c r="E55" i="8"/>
  <c r="C55" i="8"/>
  <c r="Q55" i="8" s="1"/>
  <c r="P55" i="8" s="1"/>
  <c r="C54" i="8"/>
  <c r="N54" i="8" s="1"/>
  <c r="C53" i="8"/>
  <c r="L193" i="8" s="1"/>
  <c r="J52" i="8"/>
  <c r="C52" i="8"/>
  <c r="N52" i="8" s="1"/>
  <c r="B52" i="8"/>
  <c r="N51" i="8"/>
  <c r="M51" i="8" a="1"/>
  <c r="M51" i="8" s="1"/>
  <c r="H51" i="8"/>
  <c r="E51" i="8" s="1"/>
  <c r="D51" i="8" a="1"/>
  <c r="D51" i="8" s="1"/>
  <c r="F51" i="8" s="1"/>
  <c r="G51" i="8" s="1"/>
  <c r="C51" i="8"/>
  <c r="B51" i="8" s="1"/>
  <c r="Q50" i="8"/>
  <c r="P50" i="8" s="1"/>
  <c r="M50" i="8" a="1"/>
  <c r="M50" i="8" s="1"/>
  <c r="C50" i="8"/>
  <c r="J50" i="8" s="1"/>
  <c r="C49" i="8"/>
  <c r="C48" i="8"/>
  <c r="H48" i="8" s="1"/>
  <c r="E48" i="8" s="1"/>
  <c r="C47" i="8"/>
  <c r="B47" i="8" s="1"/>
  <c r="C46" i="8"/>
  <c r="H46" i="8" s="1"/>
  <c r="E46" i="8" s="1"/>
  <c r="B46" i="8"/>
  <c r="C45" i="8"/>
  <c r="B45" i="8" s="1"/>
  <c r="C44" i="8"/>
  <c r="B44" i="8"/>
  <c r="H43" i="8"/>
  <c r="E43" i="8" s="1"/>
  <c r="C43" i="8"/>
  <c r="B43" i="8" s="1"/>
  <c r="C42" i="8"/>
  <c r="B42" i="8"/>
  <c r="C41" i="8"/>
  <c r="C40" i="8"/>
  <c r="B40" i="8" s="1"/>
  <c r="C39" i="8"/>
  <c r="N39" i="8" s="1"/>
  <c r="C38" i="8"/>
  <c r="B38" i="8" s="1"/>
  <c r="H37" i="8"/>
  <c r="E37" i="8" s="1"/>
  <c r="C37" i="8"/>
  <c r="C36" i="8"/>
  <c r="B36" i="8"/>
  <c r="C35" i="8"/>
  <c r="B35" i="8" s="1"/>
  <c r="C34" i="8"/>
  <c r="B34" i="8" s="1"/>
  <c r="C33" i="8"/>
  <c r="C32" i="8"/>
  <c r="H32" i="8" s="1"/>
  <c r="E32" i="8" s="1"/>
  <c r="B32" i="8"/>
  <c r="C31" i="8"/>
  <c r="H31" i="8" s="1"/>
  <c r="E31" i="8" s="1"/>
  <c r="H30" i="8"/>
  <c r="E30" i="8" s="1"/>
  <c r="C30" i="8"/>
  <c r="B30" i="8" s="1"/>
  <c r="C29" i="8"/>
  <c r="B29" i="8" s="1"/>
  <c r="C28" i="8"/>
  <c r="B28" i="8" s="1"/>
  <c r="C27" i="8"/>
  <c r="B27" i="8" s="1"/>
  <c r="C26" i="8"/>
  <c r="B26" i="8" s="1"/>
  <c r="C25" i="8"/>
  <c r="H24" i="8"/>
  <c r="E24" i="8"/>
  <c r="C24" i="8"/>
  <c r="B24" i="8"/>
  <c r="C23" i="8"/>
  <c r="H22" i="8"/>
  <c r="E22" i="8" s="1"/>
  <c r="C22" i="8"/>
  <c r="B22" i="8"/>
  <c r="H21" i="8"/>
  <c r="E21" i="8" s="1"/>
  <c r="C21" i="8"/>
  <c r="B21" i="8" s="1"/>
  <c r="C20" i="8"/>
  <c r="B20" i="8"/>
  <c r="H19" i="8"/>
  <c r="E19" i="8" s="1"/>
  <c r="C19" i="8"/>
  <c r="B19" i="8" s="1"/>
  <c r="C18" i="8"/>
  <c r="B18" i="8"/>
  <c r="H17" i="8"/>
  <c r="E17" i="8" s="1"/>
  <c r="C17" i="8"/>
  <c r="C16" i="8"/>
  <c r="B16" i="8" s="1"/>
  <c r="H15" i="8"/>
  <c r="E15" i="8" s="1"/>
  <c r="C15" i="8"/>
  <c r="H14" i="8"/>
  <c r="E14" i="8"/>
  <c r="C14" i="8"/>
  <c r="B14" i="8"/>
  <c r="H13" i="8"/>
  <c r="E13" i="8" s="1"/>
  <c r="C13" i="8"/>
  <c r="B13" i="8" s="1"/>
  <c r="C12" i="8"/>
  <c r="B12" i="8"/>
  <c r="H11" i="8"/>
  <c r="E11" i="8" s="1"/>
  <c r="C11" i="8"/>
  <c r="B11" i="8"/>
  <c r="C10" i="8"/>
  <c r="H9" i="8"/>
  <c r="E9" i="8" s="1"/>
  <c r="C9" i="8"/>
  <c r="C8" i="8"/>
  <c r="H8" i="8" s="1"/>
  <c r="E8" i="8" s="1"/>
  <c r="C7" i="8"/>
  <c r="H7" i="8" s="1"/>
  <c r="E7" i="8" s="1"/>
  <c r="C6" i="8"/>
  <c r="C5" i="8"/>
  <c r="H5" i="8" s="1"/>
  <c r="H4" i="8"/>
  <c r="E4" i="8" s="1"/>
  <c r="C4" i="8"/>
  <c r="B4" i="8" s="1"/>
  <c r="C3" i="8"/>
  <c r="H3" i="8" s="1"/>
  <c r="E3" i="8" s="1"/>
  <c r="B3" i="8"/>
  <c r="C2" i="8"/>
  <c r="H2" i="8" s="1"/>
  <c r="E2" i="8" s="1"/>
  <c r="B2" i="8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" i="8"/>
  <c r="B1" i="8"/>
  <c r="B6" i="7"/>
  <c r="M8" i="5"/>
  <c r="L8" i="5"/>
  <c r="E8" i="5"/>
  <c r="D8" i="5"/>
  <c r="A8" i="5"/>
  <c r="M7" i="5"/>
  <c r="N7" i="5" s="1"/>
  <c r="L7" i="5"/>
  <c r="G7" i="5" s="1"/>
  <c r="H7" i="5"/>
  <c r="I7" i="5" s="1"/>
  <c r="E7" i="5"/>
  <c r="D7" i="5"/>
  <c r="A7" i="5"/>
  <c r="M6" i="5"/>
  <c r="L6" i="5"/>
  <c r="E6" i="5"/>
  <c r="D6" i="5"/>
  <c r="A6" i="5"/>
  <c r="M5" i="5"/>
  <c r="N5" i="5" s="1"/>
  <c r="H5" i="5" s="1"/>
  <c r="I5" i="5" s="1"/>
  <c r="L5" i="5"/>
  <c r="G5" i="5" s="1"/>
  <c r="E5" i="5"/>
  <c r="D5" i="5"/>
  <c r="A5" i="5"/>
  <c r="M4" i="5"/>
  <c r="L4" i="5"/>
  <c r="E4" i="5"/>
  <c r="D4" i="5"/>
  <c r="A4" i="5"/>
  <c r="M3" i="5"/>
  <c r="N3" i="5" s="1"/>
  <c r="H3" i="5" s="1"/>
  <c r="I3" i="5" s="1"/>
  <c r="L3" i="5"/>
  <c r="G3" i="5" s="1"/>
  <c r="E3" i="5"/>
  <c r="D3" i="5"/>
  <c r="A3" i="5"/>
  <c r="M2" i="5"/>
  <c r="L2" i="5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/>
  <c r="AM146" i="9" s="1"/>
  <c r="T146" i="4" a="1"/>
  <c r="T146" i="4" s="1"/>
  <c r="AL146" i="9" s="1"/>
  <c r="S146" i="4" a="1"/>
  <c r="S146" i="4"/>
  <c r="R146" i="4" a="1"/>
  <c r="R146" i="4" s="1"/>
  <c r="Q146" i="4" a="1"/>
  <c r="Q146" i="4"/>
  <c r="P146" i="4" a="1"/>
  <c r="P146" i="4" s="1"/>
  <c r="O146" i="4" a="1"/>
  <c r="O146" i="4"/>
  <c r="N146" i="4" a="1"/>
  <c r="N146" i="4" s="1"/>
  <c r="M146" i="4" a="1"/>
  <c r="M146" i="4"/>
  <c r="L146" i="4" a="1"/>
  <c r="L146" i="4" s="1"/>
  <c r="K146" i="4" a="1"/>
  <c r="K146" i="4" s="1"/>
  <c r="J146" i="4" a="1"/>
  <c r="J146" i="4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2" i="4"/>
  <c r="A2" i="4"/>
  <c r="S1" i="4" a="1"/>
  <c r="S1" i="4" s="1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34" i="12" a="1"/>
  <c r="C31" i="12" a="1"/>
  <c r="C37" i="12" a="1"/>
  <c r="C19" i="12" a="1"/>
  <c r="C12" i="12" a="1"/>
  <c r="C11" i="12" a="1"/>
  <c r="C29" i="12" a="1"/>
  <c r="C26" i="12" a="1"/>
  <c r="C20" i="12" a="1"/>
  <c r="C9" i="12" a="1"/>
  <c r="C24" i="12" a="1"/>
  <c r="C23" i="12" a="1"/>
  <c r="A7" i="9" a="1"/>
  <c r="H250" i="8" a="1"/>
  <c r="C249" i="8" a="1"/>
  <c r="H248" i="8" a="1"/>
  <c r="A6" i="9" a="1"/>
  <c r="H241" i="8" a="1"/>
  <c r="H249" i="8" a="1"/>
  <c r="C243" i="8" a="1"/>
  <c r="H240" i="8" a="1"/>
  <c r="C234" i="8" a="1"/>
  <c r="C233" i="8" a="1"/>
  <c r="H232" i="8" a="1"/>
  <c r="C231" i="8" a="1"/>
  <c r="C227" i="8" a="1"/>
  <c r="H226" i="8" a="1"/>
  <c r="C225" i="8" a="1"/>
  <c r="H224" i="8" a="1"/>
  <c r="C223" i="8" a="1"/>
  <c r="C219" i="8" a="1"/>
  <c r="H247" i="8" a="1"/>
  <c r="C242" i="8" a="1"/>
  <c r="C235" i="8" a="1"/>
  <c r="C250" i="8" a="1"/>
  <c r="C241" i="8" a="1"/>
  <c r="H225" i="8" a="1"/>
  <c r="C248" i="8" a="1"/>
  <c r="H233" i="8" a="1"/>
  <c r="C232" i="8" a="1"/>
  <c r="H242" i="8" a="1"/>
  <c r="C240" i="8" a="1"/>
  <c r="C226" i="8" a="1"/>
  <c r="H234" i="8" a="1"/>
  <c r="C239" i="8" a="1"/>
  <c r="C224" i="8" a="1"/>
  <c r="A7" i="4" a="1"/>
  <c r="A6" i="4" a="1"/>
  <c r="D54" i="8" l="1" a="1"/>
  <c r="D54" i="8" s="1"/>
  <c r="F54" i="8" s="1"/>
  <c r="G54" i="8" s="1"/>
  <c r="D56" i="8" a="1"/>
  <c r="D56" i="8" s="1"/>
  <c r="F56" i="8" s="1"/>
  <c r="G56" i="8" s="1"/>
  <c r="Q65" i="8"/>
  <c r="P65" i="8" s="1"/>
  <c r="D153" i="8" a="1"/>
  <c r="D153" i="8" s="1"/>
  <c r="F153" i="8" s="1"/>
  <c r="G153" i="8" s="1"/>
  <c r="N159" i="8"/>
  <c r="D161" i="8" a="1"/>
  <c r="D161" i="8" s="1"/>
  <c r="F161" i="8" s="1"/>
  <c r="G161" i="8" s="1"/>
  <c r="D163" i="8" a="1"/>
  <c r="D163" i="8" s="1"/>
  <c r="F163" i="8" s="1"/>
  <c r="G163" i="8" s="1"/>
  <c r="H16" i="8"/>
  <c r="E16" i="8" s="1"/>
  <c r="H27" i="8"/>
  <c r="E27" i="8" s="1"/>
  <c r="H47" i="8"/>
  <c r="E47" i="8" s="1"/>
  <c r="H53" i="8"/>
  <c r="E53" i="8" s="1"/>
  <c r="D145" i="8" a="1"/>
  <c r="D145" i="8" s="1"/>
  <c r="F145" i="8" s="1"/>
  <c r="G145" i="8" s="1"/>
  <c r="D148" i="8" a="1"/>
  <c r="D148" i="8" s="1"/>
  <c r="F148" i="8" s="1"/>
  <c r="G148" i="8" s="1"/>
  <c r="D155" i="8" a="1"/>
  <c r="D155" i="8" s="1"/>
  <c r="F155" i="8" s="1"/>
  <c r="G155" i="8" s="1"/>
  <c r="B8" i="8"/>
  <c r="H35" i="8"/>
  <c r="H38" i="8"/>
  <c r="E38" i="8" s="1"/>
  <c r="H40" i="8"/>
  <c r="E40" i="8" s="1"/>
  <c r="B48" i="8"/>
  <c r="D52" i="8" a="1"/>
  <c r="D52" i="8" s="1"/>
  <c r="F52" i="8" s="1"/>
  <c r="G52" i="8" s="1"/>
  <c r="J53" i="8"/>
  <c r="J54" i="8"/>
  <c r="J55" i="8"/>
  <c r="J56" i="8"/>
  <c r="L57" i="8"/>
  <c r="L58" i="8"/>
  <c r="M59" i="8" a="1"/>
  <c r="M59" i="8" s="1"/>
  <c r="M60" i="8" a="1"/>
  <c r="M60" i="8" s="1"/>
  <c r="Q63" i="8"/>
  <c r="P63" i="8" s="1"/>
  <c r="B65" i="8"/>
  <c r="B66" i="8"/>
  <c r="H69" i="8"/>
  <c r="E69" i="8" s="1"/>
  <c r="D70" i="8" a="1"/>
  <c r="D70" i="8" s="1"/>
  <c r="F70" i="8" s="1"/>
  <c r="G70" i="8" s="1"/>
  <c r="N140" i="8"/>
  <c r="D143" i="8" a="1"/>
  <c r="D143" i="8" s="1"/>
  <c r="F143" i="8" s="1"/>
  <c r="G143" i="8" s="1"/>
  <c r="B144" i="8"/>
  <c r="M145" i="8" a="1"/>
  <c r="M145" i="8" s="1"/>
  <c r="B147" i="8"/>
  <c r="H148" i="8"/>
  <c r="E148" i="8" s="1"/>
  <c r="B152" i="8"/>
  <c r="M153" i="8" a="1"/>
  <c r="M153" i="8" s="1"/>
  <c r="I155" i="8"/>
  <c r="M156" i="8" a="1"/>
  <c r="M156" i="8" s="1"/>
  <c r="B159" i="8"/>
  <c r="B160" i="8"/>
  <c r="M161" i="8" a="1"/>
  <c r="M161" i="8" s="1"/>
  <c r="B164" i="8"/>
  <c r="I167" i="8"/>
  <c r="I168" i="8"/>
  <c r="I170" i="8"/>
  <c r="D172" i="8" a="1"/>
  <c r="D172" i="8" s="1"/>
  <c r="F172" i="8" s="1"/>
  <c r="G172" i="8" s="1"/>
  <c r="B175" i="8"/>
  <c r="N177" i="8"/>
  <c r="J181" i="8"/>
  <c r="M183" i="8" a="1"/>
  <c r="M183" i="8" s="1"/>
  <c r="D185" i="8" a="1"/>
  <c r="D185" i="8" s="1"/>
  <c r="F185" i="8" s="1"/>
  <c r="G185" i="8" s="1"/>
  <c r="B187" i="8"/>
  <c r="I188" i="8"/>
  <c r="D191" i="8" a="1"/>
  <c r="D191" i="8" s="1"/>
  <c r="F191" i="8" s="1"/>
  <c r="G191" i="8" s="1"/>
  <c r="I192" i="8"/>
  <c r="I194" i="8"/>
  <c r="Q195" i="8"/>
  <c r="P195" i="8" s="1"/>
  <c r="N196" i="8"/>
  <c r="D199" i="8" a="1"/>
  <c r="D199" i="8" s="1"/>
  <c r="F199" i="8" s="1"/>
  <c r="G199" i="8" s="1"/>
  <c r="I200" i="8"/>
  <c r="I202" i="8"/>
  <c r="D206" i="8" a="1"/>
  <c r="D206" i="8" s="1"/>
  <c r="F206" i="8" s="1"/>
  <c r="G206" i="8" s="1"/>
  <c r="D209" i="8" a="1"/>
  <c r="D209" i="8" s="1"/>
  <c r="F209" i="8" s="1"/>
  <c r="G209" i="8" s="1"/>
  <c r="L53" i="8"/>
  <c r="L54" i="8"/>
  <c r="L56" i="8"/>
  <c r="N145" i="8"/>
  <c r="I148" i="8"/>
  <c r="N153" i="8"/>
  <c r="J155" i="8"/>
  <c r="N161" i="8"/>
  <c r="H65" i="8"/>
  <c r="E65" i="8" s="1"/>
  <c r="D66" i="8" a="1"/>
  <c r="D66" i="8" s="1"/>
  <c r="F66" i="8" s="1"/>
  <c r="G66" i="8" s="1"/>
  <c r="L69" i="8"/>
  <c r="L70" i="8"/>
  <c r="H143" i="8"/>
  <c r="E143" i="8" s="1"/>
  <c r="D144" i="8" a="1"/>
  <c r="D144" i="8" s="1"/>
  <c r="F144" i="8" s="1"/>
  <c r="G144" i="8" s="1"/>
  <c r="D147" i="8" a="1"/>
  <c r="D147" i="8" s="1"/>
  <c r="F147" i="8" s="1"/>
  <c r="G147" i="8" s="1"/>
  <c r="M148" i="8" a="1"/>
  <c r="M148" i="8" s="1"/>
  <c r="D152" i="8" a="1"/>
  <c r="D152" i="8" s="1"/>
  <c r="F152" i="8" s="1"/>
  <c r="G152" i="8" s="1"/>
  <c r="D159" i="8" a="1"/>
  <c r="D159" i="8" s="1"/>
  <c r="F159" i="8" s="1"/>
  <c r="G159" i="8" s="1"/>
  <c r="D160" i="8" a="1"/>
  <c r="D160" i="8" s="1"/>
  <c r="F160" i="8" s="1"/>
  <c r="G160" i="8" s="1"/>
  <c r="D164" i="8" a="1"/>
  <c r="D164" i="8" s="1"/>
  <c r="F164" i="8" s="1"/>
  <c r="G164" i="8" s="1"/>
  <c r="J166" i="8"/>
  <c r="M170" i="8" a="1"/>
  <c r="M170" i="8" s="1"/>
  <c r="I172" i="8"/>
  <c r="D175" i="8" a="1"/>
  <c r="D175" i="8" s="1"/>
  <c r="F175" i="8" s="1"/>
  <c r="G175" i="8" s="1"/>
  <c r="N185" i="8"/>
  <c r="I187" i="8"/>
  <c r="I191" i="8"/>
  <c r="N194" i="8"/>
  <c r="H197" i="8"/>
  <c r="E197" i="8" s="1"/>
  <c r="I199" i="8"/>
  <c r="N202" i="8"/>
  <c r="H209" i="8"/>
  <c r="E209" i="8" s="1"/>
  <c r="H39" i="8"/>
  <c r="E39" i="8" s="1"/>
  <c r="L52" i="8"/>
  <c r="M53" i="8" a="1"/>
  <c r="M53" i="8" s="1"/>
  <c r="M54" i="8" a="1"/>
  <c r="M54" i="8" s="1"/>
  <c r="M56" i="8" a="1"/>
  <c r="M56" i="8" s="1"/>
  <c r="J39" i="8"/>
  <c r="L51" i="8"/>
  <c r="M52" i="8" a="1"/>
  <c r="M52" i="8" s="1"/>
  <c r="N53" i="8"/>
  <c r="Q54" i="8"/>
  <c r="P54" i="8" s="1"/>
  <c r="N55" i="8"/>
  <c r="Q56" i="8"/>
  <c r="P56" i="8" s="1"/>
  <c r="Q57" i="8"/>
  <c r="P57" i="8" s="1"/>
  <c r="B60" i="8"/>
  <c r="H63" i="8"/>
  <c r="E63" i="8" s="1"/>
  <c r="D64" i="8" a="1"/>
  <c r="D64" i="8" s="1"/>
  <c r="F64" i="8" s="1"/>
  <c r="G64" i="8" s="1"/>
  <c r="J65" i="8"/>
  <c r="J66" i="8"/>
  <c r="M69" i="8" a="1"/>
  <c r="M69" i="8" s="1"/>
  <c r="M70" i="8" a="1"/>
  <c r="M70" i="8" s="1"/>
  <c r="D140" i="8" a="1"/>
  <c r="D140" i="8" s="1"/>
  <c r="F140" i="8" s="1"/>
  <c r="G140" i="8" s="1"/>
  <c r="H141" i="8"/>
  <c r="E141" i="8" s="1"/>
  <c r="I143" i="8"/>
  <c r="H144" i="8"/>
  <c r="E144" i="8" s="1"/>
  <c r="I147" i="8"/>
  <c r="N148" i="8"/>
  <c r="D151" i="8" a="1"/>
  <c r="D151" i="8" s="1"/>
  <c r="F151" i="8" s="1"/>
  <c r="G151" i="8" s="1"/>
  <c r="H152" i="8"/>
  <c r="E152" i="8" s="1"/>
  <c r="J157" i="8"/>
  <c r="H160" i="8"/>
  <c r="E160" i="8" s="1"/>
  <c r="I162" i="8"/>
  <c r="H164" i="8"/>
  <c r="E164" i="8" s="1"/>
  <c r="D169" i="8" a="1"/>
  <c r="D169" i="8" s="1"/>
  <c r="F169" i="8" s="1"/>
  <c r="G169" i="8" s="1"/>
  <c r="M172" i="8" a="1"/>
  <c r="M172" i="8" s="1"/>
  <c r="H175" i="8"/>
  <c r="E175" i="8" s="1"/>
  <c r="I178" i="8"/>
  <c r="D184" i="8" a="1"/>
  <c r="D184" i="8" s="1"/>
  <c r="F184" i="8" s="1"/>
  <c r="G184" i="8" s="1"/>
  <c r="B186" i="8"/>
  <c r="B188" i="8"/>
  <c r="M191" i="8" a="1"/>
  <c r="M191" i="8" s="1"/>
  <c r="D193" i="8" a="1"/>
  <c r="D193" i="8" s="1"/>
  <c r="F193" i="8" s="1"/>
  <c r="G193" i="8" s="1"/>
  <c r="B195" i="8"/>
  <c r="D196" i="8" a="1"/>
  <c r="D196" i="8" s="1"/>
  <c r="F196" i="8" s="1"/>
  <c r="G196" i="8" s="1"/>
  <c r="J197" i="8"/>
  <c r="M199" i="8" a="1"/>
  <c r="M199" i="8" s="1"/>
  <c r="D201" i="8" a="1"/>
  <c r="D201" i="8" s="1"/>
  <c r="F201" i="8" s="1"/>
  <c r="G201" i="8" s="1"/>
  <c r="I209" i="8"/>
  <c r="Q39" i="8"/>
  <c r="P39" i="8" s="1"/>
  <c r="Q52" i="8"/>
  <c r="P52" i="8" s="1"/>
  <c r="Q53" i="8"/>
  <c r="P53" i="8" s="1"/>
  <c r="B55" i="8"/>
  <c r="B58" i="8"/>
  <c r="J63" i="8"/>
  <c r="J64" i="8"/>
  <c r="L65" i="8"/>
  <c r="L66" i="8"/>
  <c r="N69" i="8"/>
  <c r="Q70" i="8"/>
  <c r="P70" i="8" s="1"/>
  <c r="J141" i="8"/>
  <c r="M143" i="8" a="1"/>
  <c r="M143" i="8" s="1"/>
  <c r="I144" i="8"/>
  <c r="H151" i="8"/>
  <c r="E151" i="8" s="1"/>
  <c r="I152" i="8"/>
  <c r="D156" i="8" a="1"/>
  <c r="D156" i="8" s="1"/>
  <c r="F156" i="8" s="1"/>
  <c r="G156" i="8" s="1"/>
  <c r="H159" i="8"/>
  <c r="E159" i="8" s="1"/>
  <c r="I160" i="8"/>
  <c r="M162" i="8" a="1"/>
  <c r="M162" i="8" s="1"/>
  <c r="I164" i="8"/>
  <c r="M169" i="8" a="1"/>
  <c r="M169" i="8" s="1"/>
  <c r="N172" i="8"/>
  <c r="I175" i="8"/>
  <c r="M178" i="8" a="1"/>
  <c r="M178" i="8" s="1"/>
  <c r="H184" i="8"/>
  <c r="E184" i="8" s="1"/>
  <c r="M193" i="8" a="1"/>
  <c r="M193" i="8" s="1"/>
  <c r="M201" i="8" a="1"/>
  <c r="M201" i="8" s="1"/>
  <c r="H207" i="8"/>
  <c r="E207" i="8" s="1"/>
  <c r="I208" i="8"/>
  <c r="M209" i="8" a="1"/>
  <c r="M209" i="8" s="1"/>
  <c r="B53" i="8"/>
  <c r="B54" i="8"/>
  <c r="B56" i="8"/>
  <c r="L64" i="8"/>
  <c r="M66" i="8" a="1"/>
  <c r="M66" i="8" s="1"/>
  <c r="H140" i="8"/>
  <c r="E140" i="8" s="1"/>
  <c r="N143" i="8"/>
  <c r="N144" i="8"/>
  <c r="B148" i="8"/>
  <c r="I151" i="8"/>
  <c r="N152" i="8"/>
  <c r="I159" i="8"/>
  <c r="N160" i="8"/>
  <c r="M164" i="8" a="1"/>
  <c r="M164" i="8" s="1"/>
  <c r="D167" i="8" a="1"/>
  <c r="D167" i="8" s="1"/>
  <c r="F167" i="8" s="1"/>
  <c r="G167" i="8" s="1"/>
  <c r="N169" i="8"/>
  <c r="I171" i="8"/>
  <c r="M175" i="8" a="1"/>
  <c r="M175" i="8" s="1"/>
  <c r="N178" i="8"/>
  <c r="I184" i="8"/>
  <c r="I186" i="8"/>
  <c r="D188" i="8" a="1"/>
  <c r="D188" i="8" s="1"/>
  <c r="F188" i="8" s="1"/>
  <c r="G188" i="8" s="1"/>
  <c r="J190" i="8"/>
  <c r="N193" i="8"/>
  <c r="H196" i="8"/>
  <c r="E196" i="8" s="1"/>
  <c r="N201" i="8"/>
  <c r="I207" i="8"/>
  <c r="Q208" i="8"/>
  <c r="P208" i="8" s="1"/>
  <c r="N209" i="8"/>
  <c r="J9" i="12"/>
  <c r="A6" i="4"/>
  <c r="A7" i="4"/>
  <c r="C224" i="8"/>
  <c r="D224" i="8" s="1"/>
  <c r="C239" i="8"/>
  <c r="D239" i="8" s="1"/>
  <c r="H234" i="8"/>
  <c r="Q234" i="8" s="1"/>
  <c r="P234" i="8" s="1"/>
  <c r="C226" i="8"/>
  <c r="D226" i="8" s="1"/>
  <c r="C240" i="8"/>
  <c r="D240" i="8" s="1"/>
  <c r="H242" i="8"/>
  <c r="Q242" i="8" s="1"/>
  <c r="P242" i="8" s="1"/>
  <c r="C232" i="8"/>
  <c r="D232" i="8" s="1"/>
  <c r="H233" i="8"/>
  <c r="Q233" i="8" s="1"/>
  <c r="P233" i="8" s="1"/>
  <c r="C248" i="8"/>
  <c r="H225" i="8"/>
  <c r="Q225" i="8" s="1"/>
  <c r="P225" i="8" s="1"/>
  <c r="C241" i="8"/>
  <c r="D241" i="8" s="1"/>
  <c r="C250" i="8"/>
  <c r="C235" i="8"/>
  <c r="D235" i="8" s="1"/>
  <c r="C242" i="8"/>
  <c r="D242" i="8" s="1"/>
  <c r="H247" i="8"/>
  <c r="Q247" i="8" s="1"/>
  <c r="P247" i="8" s="1"/>
  <c r="C219" i="8"/>
  <c r="D219" i="8" s="1"/>
  <c r="C223" i="8"/>
  <c r="D223" i="8" s="1"/>
  <c r="H224" i="8"/>
  <c r="Q224" i="8" s="1"/>
  <c r="P224" i="8" s="1"/>
  <c r="C225" i="8"/>
  <c r="D225" i="8" s="1"/>
  <c r="H226" i="8"/>
  <c r="Q226" i="8" s="1"/>
  <c r="P226" i="8" s="1"/>
  <c r="C227" i="8"/>
  <c r="D227" i="8" s="1"/>
  <c r="C231" i="8"/>
  <c r="D231" i="8" s="1"/>
  <c r="H232" i="8"/>
  <c r="Q232" i="8" s="1"/>
  <c r="P232" i="8" s="1"/>
  <c r="C233" i="8"/>
  <c r="D233" i="8" s="1"/>
  <c r="C234" i="8"/>
  <c r="D234" i="8" s="1"/>
  <c r="H240" i="8"/>
  <c r="Q240" i="8" s="1"/>
  <c r="P240" i="8" s="1"/>
  <c r="C243" i="8"/>
  <c r="D243" i="8" s="1"/>
  <c r="H249" i="8"/>
  <c r="Q249" i="8" s="1"/>
  <c r="P249" i="8" s="1"/>
  <c r="H241" i="8"/>
  <c r="Q241" i="8" s="1"/>
  <c r="P241" i="8" s="1"/>
  <c r="A6" i="9"/>
  <c r="H248" i="8"/>
  <c r="Q248" i="8" s="1"/>
  <c r="P248" i="8" s="1"/>
  <c r="C249" i="8"/>
  <c r="H250" i="8"/>
  <c r="Q250" i="8" s="1"/>
  <c r="P250" i="8" s="1"/>
  <c r="A7" i="9"/>
  <c r="C23" i="12"/>
  <c r="B23" i="12" s="1"/>
  <c r="C24" i="12"/>
  <c r="B24" i="12" s="1"/>
  <c r="C9" i="12"/>
  <c r="B9" i="12" s="1"/>
  <c r="C20" i="12"/>
  <c r="B20" i="12" s="1"/>
  <c r="C26" i="12"/>
  <c r="B26" i="12" s="1"/>
  <c r="C29" i="12"/>
  <c r="B29" i="12" s="1"/>
  <c r="C11" i="12"/>
  <c r="B11" i="12" s="1"/>
  <c r="C12" i="12"/>
  <c r="B12" i="12" s="1"/>
  <c r="C19" i="12"/>
  <c r="B19" i="12" s="1"/>
  <c r="C37" i="12"/>
  <c r="B37" i="12" s="1"/>
  <c r="C31" i="12"/>
  <c r="B31" i="12" s="1"/>
  <c r="C34" i="12"/>
  <c r="B34" i="12" s="1"/>
  <c r="I3" i="2"/>
  <c r="V3" i="9"/>
  <c r="M3" i="4"/>
  <c r="H2" i="5"/>
  <c r="G2" i="5"/>
  <c r="N2" i="5"/>
  <c r="H8" i="5"/>
  <c r="G8" i="5"/>
  <c r="N8" i="5"/>
  <c r="H4" i="5"/>
  <c r="G4" i="5"/>
  <c r="N4" i="5"/>
  <c r="H6" i="5"/>
  <c r="G6" i="5"/>
  <c r="N6" i="5"/>
  <c r="B6" i="8"/>
  <c r="H6" i="8"/>
  <c r="B7" i="8"/>
  <c r="B10" i="8"/>
  <c r="H10" i="8"/>
  <c r="E10" i="8" s="1"/>
  <c r="H29" i="8"/>
  <c r="E29" i="8" s="1"/>
  <c r="B49" i="8"/>
  <c r="H49" i="8"/>
  <c r="E49" i="8" s="1"/>
  <c r="L141" i="8"/>
  <c r="L71" i="8"/>
  <c r="B23" i="8"/>
  <c r="I39" i="8" a="1"/>
  <c r="I39" i="8" s="1"/>
  <c r="B41" i="8"/>
  <c r="H41" i="8"/>
  <c r="E41" i="8" s="1"/>
  <c r="I50" i="8" a="1"/>
  <c r="I50" i="8" s="1"/>
  <c r="B17" i="8"/>
  <c r="H26" i="8"/>
  <c r="E26" i="8" s="1"/>
  <c r="B31" i="8"/>
  <c r="L1" i="8"/>
  <c r="L142" i="8"/>
  <c r="L72" i="8"/>
  <c r="B5" i="8"/>
  <c r="B9" i="8"/>
  <c r="H23" i="8"/>
  <c r="E23" i="8" s="1"/>
  <c r="H45" i="8"/>
  <c r="E45" i="8" s="1"/>
  <c r="B25" i="8"/>
  <c r="H25" i="8"/>
  <c r="E25" i="8" s="1"/>
  <c r="H34" i="8"/>
  <c r="E34" i="8" s="1"/>
  <c r="L179" i="8"/>
  <c r="B39" i="8"/>
  <c r="M39" i="8" a="1"/>
  <c r="M39" i="8" s="1"/>
  <c r="L39" i="8"/>
  <c r="L109" i="8"/>
  <c r="L190" i="8"/>
  <c r="L120" i="8"/>
  <c r="B50" i="8"/>
  <c r="N50" i="8"/>
  <c r="H50" i="8"/>
  <c r="E50" i="8" s="1"/>
  <c r="L50" i="8"/>
  <c r="D50" i="8" a="1"/>
  <c r="D50" i="8" s="1"/>
  <c r="F50" i="8" s="1"/>
  <c r="G50" i="8" s="1"/>
  <c r="H1" i="8"/>
  <c r="E1" i="8" s="1"/>
  <c r="L2" i="8"/>
  <c r="L143" i="8"/>
  <c r="B15" i="8"/>
  <c r="H18" i="8"/>
  <c r="E18" i="8" s="1"/>
  <c r="B33" i="8"/>
  <c r="H33" i="8"/>
  <c r="E33" i="8" s="1"/>
  <c r="B37" i="8"/>
  <c r="D39" i="8" a="1"/>
  <c r="D39" i="8" s="1"/>
  <c r="F39" i="8" s="1"/>
  <c r="G39" i="8" s="1"/>
  <c r="H42" i="8"/>
  <c r="E42" i="8" s="1"/>
  <c r="L73" i="8"/>
  <c r="L123" i="8"/>
  <c r="I53" i="8" a="1"/>
  <c r="I53" i="8" s="1"/>
  <c r="L195" i="8"/>
  <c r="L125" i="8"/>
  <c r="I55" i="8" a="1"/>
  <c r="I55" i="8" s="1"/>
  <c r="L197" i="8"/>
  <c r="L127" i="8"/>
  <c r="I57" i="8" a="1"/>
  <c r="I57" i="8" s="1"/>
  <c r="L199" i="8"/>
  <c r="L129" i="8"/>
  <c r="I59" i="8" a="1"/>
  <c r="I59" i="8" s="1"/>
  <c r="L131" i="8"/>
  <c r="L201" i="8"/>
  <c r="I61" i="8" a="1"/>
  <c r="I61" i="8" s="1"/>
  <c r="L133" i="8"/>
  <c r="L203" i="8"/>
  <c r="I63" i="8" a="1"/>
  <c r="I63" i="8" s="1"/>
  <c r="L205" i="8"/>
  <c r="L135" i="8"/>
  <c r="I65" i="8" a="1"/>
  <c r="I65" i="8" s="1"/>
  <c r="L207" i="8"/>
  <c r="L137" i="8"/>
  <c r="I67" i="8" a="1"/>
  <c r="I67" i="8" s="1"/>
  <c r="L209" i="8"/>
  <c r="L139" i="8"/>
  <c r="I69" i="8" a="1"/>
  <c r="I69" i="8" s="1"/>
  <c r="L191" i="8"/>
  <c r="L121" i="8"/>
  <c r="I51" i="8" a="1"/>
  <c r="I51" i="8" s="1"/>
  <c r="H12" i="8"/>
  <c r="E12" i="8" s="1"/>
  <c r="H20" i="8"/>
  <c r="E20" i="8" s="1"/>
  <c r="H28" i="8"/>
  <c r="E28" i="8" s="1"/>
  <c r="H36" i="8"/>
  <c r="H44" i="8"/>
  <c r="E44" i="8" s="1"/>
  <c r="J51" i="8"/>
  <c r="Q51" i="8"/>
  <c r="P51" i="8" s="1"/>
  <c r="H52" i="8"/>
  <c r="E52" i="8" s="1"/>
  <c r="D53" i="8" a="1"/>
  <c r="D53" i="8" s="1"/>
  <c r="F53" i="8" s="1"/>
  <c r="G53" i="8" s="1"/>
  <c r="H54" i="8"/>
  <c r="E54" i="8" s="1"/>
  <c r="D55" i="8" a="1"/>
  <c r="D55" i="8" s="1"/>
  <c r="F55" i="8" s="1"/>
  <c r="G55" i="8" s="1"/>
  <c r="H56" i="8"/>
  <c r="E56" i="8" s="1"/>
  <c r="D57" i="8" a="1"/>
  <c r="D57" i="8" s="1"/>
  <c r="F57" i="8" s="1"/>
  <c r="G57" i="8" s="1"/>
  <c r="H58" i="8"/>
  <c r="E58" i="8" s="1"/>
  <c r="D59" i="8" a="1"/>
  <c r="D59" i="8" s="1"/>
  <c r="F59" i="8" s="1"/>
  <c r="G59" i="8" s="1"/>
  <c r="H60" i="8"/>
  <c r="E60" i="8" s="1"/>
  <c r="D61" i="8" a="1"/>
  <c r="D61" i="8" s="1"/>
  <c r="F61" i="8" s="1"/>
  <c r="G61" i="8" s="1"/>
  <c r="H62" i="8"/>
  <c r="E62" i="8" s="1"/>
  <c r="D63" i="8" a="1"/>
  <c r="D63" i="8" s="1"/>
  <c r="F63" i="8" s="1"/>
  <c r="G63" i="8" s="1"/>
  <c r="H64" i="8"/>
  <c r="E64" i="8" s="1"/>
  <c r="D65" i="8" a="1"/>
  <c r="D65" i="8" s="1"/>
  <c r="F65" i="8" s="1"/>
  <c r="G65" i="8" s="1"/>
  <c r="H66" i="8"/>
  <c r="E66" i="8" s="1"/>
  <c r="D67" i="8" a="1"/>
  <c r="D67" i="8" s="1"/>
  <c r="F67" i="8" s="1"/>
  <c r="G67" i="8" s="1"/>
  <c r="H68" i="8"/>
  <c r="E68" i="8" s="1"/>
  <c r="D69" i="8" a="1"/>
  <c r="D69" i="8" s="1"/>
  <c r="F69" i="8" s="1"/>
  <c r="G69" i="8" s="1"/>
  <c r="H70" i="8"/>
  <c r="E70" i="8" s="1"/>
  <c r="H179" i="8"/>
  <c r="E179" i="8" s="1"/>
  <c r="N179" i="8"/>
  <c r="M179" i="8" a="1"/>
  <c r="M179" i="8" s="1"/>
  <c r="Q179" i="8"/>
  <c r="P179" i="8" s="1"/>
  <c r="J179" i="8"/>
  <c r="I179" i="8"/>
  <c r="D179" i="8" a="1"/>
  <c r="D179" i="8" s="1"/>
  <c r="F179" i="8" s="1"/>
  <c r="G179" i="8" s="1"/>
  <c r="B179" i="8"/>
  <c r="L192" i="8"/>
  <c r="L122" i="8"/>
  <c r="I52" i="8" a="1"/>
  <c r="I52" i="8" s="1"/>
  <c r="L194" i="8"/>
  <c r="L124" i="8"/>
  <c r="I54" i="8" a="1"/>
  <c r="I54" i="8" s="1"/>
  <c r="L196" i="8"/>
  <c r="L126" i="8"/>
  <c r="I56" i="8" a="1"/>
  <c r="I56" i="8" s="1"/>
  <c r="L198" i="8"/>
  <c r="L128" i="8"/>
  <c r="I58" i="8" a="1"/>
  <c r="I58" i="8" s="1"/>
  <c r="L130" i="8"/>
  <c r="L200" i="8"/>
  <c r="I60" i="8" a="1"/>
  <c r="I60" i="8" s="1"/>
  <c r="L202" i="8"/>
  <c r="L132" i="8"/>
  <c r="I62" i="8" a="1"/>
  <c r="I62" i="8" s="1"/>
  <c r="L134" i="8"/>
  <c r="L204" i="8"/>
  <c r="I64" i="8" a="1"/>
  <c r="I64" i="8" s="1"/>
  <c r="L206" i="8"/>
  <c r="L136" i="8"/>
  <c r="I66" i="8" a="1"/>
  <c r="I66" i="8" s="1"/>
  <c r="L138" i="8"/>
  <c r="L208" i="8"/>
  <c r="I68" i="8" a="1"/>
  <c r="I68" i="8" s="1"/>
  <c r="L210" i="8"/>
  <c r="L140" i="8"/>
  <c r="I70" i="8" a="1"/>
  <c r="I70" i="8" s="1"/>
  <c r="I182" i="8"/>
  <c r="B182" i="8"/>
  <c r="H182" i="8"/>
  <c r="E182" i="8" s="1"/>
  <c r="N182" i="8"/>
  <c r="M182" i="8" a="1"/>
  <c r="M182" i="8" s="1"/>
  <c r="D182" i="8" a="1"/>
  <c r="D182" i="8" s="1"/>
  <c r="F182" i="8" s="1"/>
  <c r="G182" i="8" s="1"/>
  <c r="Q182" i="8"/>
  <c r="P182" i="8" s="1"/>
  <c r="J182" i="8"/>
  <c r="M165" i="8" a="1"/>
  <c r="M165" i="8" s="1"/>
  <c r="D165" i="8" a="1"/>
  <c r="D165" i="8" s="1"/>
  <c r="F165" i="8" s="1"/>
  <c r="G165" i="8" s="1"/>
  <c r="I165" i="8"/>
  <c r="B165" i="8"/>
  <c r="N165" i="8"/>
  <c r="J165" i="8"/>
  <c r="H165" i="8"/>
  <c r="E165" i="8" s="1"/>
  <c r="I174" i="8"/>
  <c r="B174" i="8"/>
  <c r="H174" i="8"/>
  <c r="E174" i="8" s="1"/>
  <c r="N174" i="8"/>
  <c r="M174" i="8" a="1"/>
  <c r="M174" i="8" s="1"/>
  <c r="D174" i="8" a="1"/>
  <c r="D174" i="8" s="1"/>
  <c r="F174" i="8" s="1"/>
  <c r="G174" i="8" s="1"/>
  <c r="J174" i="8"/>
  <c r="Q174" i="8"/>
  <c r="P174" i="8" s="1"/>
  <c r="H203" i="8"/>
  <c r="E203" i="8" s="1"/>
  <c r="N203" i="8"/>
  <c r="M203" i="8" a="1"/>
  <c r="M203" i="8" s="1"/>
  <c r="I203" i="8"/>
  <c r="B203" i="8"/>
  <c r="Q203" i="8"/>
  <c r="P203" i="8" s="1"/>
  <c r="J203" i="8"/>
  <c r="D203" i="8" a="1"/>
  <c r="D203" i="8" s="1"/>
  <c r="F203" i="8" s="1"/>
  <c r="G203" i="8" s="1"/>
  <c r="D154" i="8" a="1"/>
  <c r="D154" i="8" s="1"/>
  <c r="F154" i="8" s="1"/>
  <c r="G154" i="8" s="1"/>
  <c r="H154" i="8"/>
  <c r="E154" i="8" s="1"/>
  <c r="Q154" i="8"/>
  <c r="P154" i="8" s="1"/>
  <c r="H163" i="8"/>
  <c r="E163" i="8" s="1"/>
  <c r="N163" i="8"/>
  <c r="M163" i="8" a="1"/>
  <c r="M163" i="8" s="1"/>
  <c r="Q163" i="8"/>
  <c r="P163" i="8" s="1"/>
  <c r="H181" i="8"/>
  <c r="E181" i="8" s="1"/>
  <c r="D187" i="8" a="1"/>
  <c r="D187" i="8" s="1"/>
  <c r="F187" i="8" s="1"/>
  <c r="G187" i="8" s="1"/>
  <c r="N189" i="8"/>
  <c r="D141" i="8" a="1"/>
  <c r="D141" i="8" s="1"/>
  <c r="F141" i="8" s="1"/>
  <c r="G141" i="8" s="1"/>
  <c r="I141" i="8"/>
  <c r="B141" i="8"/>
  <c r="N141" i="8"/>
  <c r="D146" i="8" a="1"/>
  <c r="D146" i="8" s="1"/>
  <c r="F146" i="8" s="1"/>
  <c r="G146" i="8" s="1"/>
  <c r="H146" i="8"/>
  <c r="E146" i="8" s="1"/>
  <c r="Q146" i="8"/>
  <c r="P146" i="8" s="1"/>
  <c r="H155" i="8"/>
  <c r="E155" i="8" s="1"/>
  <c r="N155" i="8"/>
  <c r="M155" i="8" a="1"/>
  <c r="M155" i="8" s="1"/>
  <c r="Q155" i="8"/>
  <c r="P155" i="8" s="1"/>
  <c r="J162" i="8"/>
  <c r="J171" i="8"/>
  <c r="H173" i="8"/>
  <c r="E173" i="8" s="1"/>
  <c r="N181" i="8"/>
  <c r="J187" i="8"/>
  <c r="M205" i="8" a="1"/>
  <c r="M205" i="8" s="1"/>
  <c r="D205" i="8" a="1"/>
  <c r="D205" i="8" s="1"/>
  <c r="F205" i="8" s="1"/>
  <c r="G205" i="8" s="1"/>
  <c r="I205" i="8"/>
  <c r="B205" i="8"/>
  <c r="N205" i="8"/>
  <c r="J150" i="8"/>
  <c r="M157" i="8" a="1"/>
  <c r="M157" i="8" s="1"/>
  <c r="D157" i="8" a="1"/>
  <c r="D157" i="8" s="1"/>
  <c r="F157" i="8" s="1"/>
  <c r="G157" i="8" s="1"/>
  <c r="I157" i="8"/>
  <c r="B157" i="8"/>
  <c r="Q157" i="8"/>
  <c r="P157" i="8" s="1"/>
  <c r="I163" i="8"/>
  <c r="I166" i="8"/>
  <c r="B166" i="8"/>
  <c r="H166" i="8"/>
  <c r="E166" i="8" s="1"/>
  <c r="N166" i="8"/>
  <c r="D166" i="8" a="1"/>
  <c r="D166" i="8" s="1"/>
  <c r="F166" i="8" s="1"/>
  <c r="G166" i="8" s="1"/>
  <c r="Q166" i="8"/>
  <c r="P166" i="8" s="1"/>
  <c r="Q141" i="8"/>
  <c r="P141" i="8" s="1"/>
  <c r="H142" i="8"/>
  <c r="E142" i="8" s="1"/>
  <c r="N142" i="8"/>
  <c r="D142" i="8" a="1"/>
  <c r="D142" i="8" s="1"/>
  <c r="F142" i="8" s="1"/>
  <c r="G142" i="8" s="1"/>
  <c r="M142" i="8" a="1"/>
  <c r="M142" i="8" s="1"/>
  <c r="H147" i="8"/>
  <c r="E147" i="8" s="1"/>
  <c r="N147" i="8"/>
  <c r="M147" i="8" a="1"/>
  <c r="M147" i="8" s="1"/>
  <c r="Q147" i="8"/>
  <c r="P147" i="8" s="1"/>
  <c r="J154" i="8"/>
  <c r="N162" i="8"/>
  <c r="J163" i="8"/>
  <c r="D170" i="8" a="1"/>
  <c r="D170" i="8" s="1"/>
  <c r="F170" i="8" s="1"/>
  <c r="G170" i="8" s="1"/>
  <c r="H170" i="8"/>
  <c r="E170" i="8" s="1"/>
  <c r="Q170" i="8"/>
  <c r="P170" i="8" s="1"/>
  <c r="M189" i="8" a="1"/>
  <c r="M189" i="8" s="1"/>
  <c r="D189" i="8" a="1"/>
  <c r="D189" i="8" s="1"/>
  <c r="F189" i="8" s="1"/>
  <c r="G189" i="8" s="1"/>
  <c r="I189" i="8"/>
  <c r="B189" i="8"/>
  <c r="M149" i="8" a="1"/>
  <c r="M149" i="8" s="1"/>
  <c r="D149" i="8" a="1"/>
  <c r="D149" i="8" s="1"/>
  <c r="F149" i="8" s="1"/>
  <c r="G149" i="8" s="1"/>
  <c r="I149" i="8"/>
  <c r="B149" i="8"/>
  <c r="Q149" i="8"/>
  <c r="P149" i="8" s="1"/>
  <c r="M154" i="8" a="1"/>
  <c r="M154" i="8" s="1"/>
  <c r="I158" i="8"/>
  <c r="B158" i="8"/>
  <c r="H158" i="8"/>
  <c r="E158" i="8" s="1"/>
  <c r="N158" i="8"/>
  <c r="D158" i="8" a="1"/>
  <c r="D158" i="8" s="1"/>
  <c r="F158" i="8" s="1"/>
  <c r="G158" i="8" s="1"/>
  <c r="Q158" i="8"/>
  <c r="P158" i="8" s="1"/>
  <c r="H195" i="8"/>
  <c r="E195" i="8" s="1"/>
  <c r="N195" i="8"/>
  <c r="M195" i="8" a="1"/>
  <c r="M195" i="8" s="1"/>
  <c r="M197" i="8" a="1"/>
  <c r="M197" i="8" s="1"/>
  <c r="D197" i="8" a="1"/>
  <c r="D197" i="8" s="1"/>
  <c r="F197" i="8" s="1"/>
  <c r="G197" i="8" s="1"/>
  <c r="I197" i="8"/>
  <c r="B197" i="8"/>
  <c r="N197" i="8"/>
  <c r="N154" i="8"/>
  <c r="H157" i="8"/>
  <c r="E157" i="8" s="1"/>
  <c r="D162" i="8" a="1"/>
  <c r="D162" i="8" s="1"/>
  <c r="F162" i="8" s="1"/>
  <c r="G162" i="8" s="1"/>
  <c r="H162" i="8"/>
  <c r="E162" i="8" s="1"/>
  <c r="Q162" i="8"/>
  <c r="P162" i="8" s="1"/>
  <c r="H171" i="8"/>
  <c r="E171" i="8" s="1"/>
  <c r="N171" i="8"/>
  <c r="M171" i="8" a="1"/>
  <c r="M171" i="8" s="1"/>
  <c r="Q171" i="8"/>
  <c r="P171" i="8" s="1"/>
  <c r="M181" i="8" a="1"/>
  <c r="M181" i="8" s="1"/>
  <c r="D181" i="8" a="1"/>
  <c r="D181" i="8" s="1"/>
  <c r="F181" i="8" s="1"/>
  <c r="G181" i="8" s="1"/>
  <c r="I181" i="8"/>
  <c r="B181" i="8"/>
  <c r="H189" i="8"/>
  <c r="E189" i="8" s="1"/>
  <c r="Q205" i="8"/>
  <c r="P205" i="8" s="1"/>
  <c r="I150" i="8"/>
  <c r="B150" i="8"/>
  <c r="H150" i="8"/>
  <c r="E150" i="8" s="1"/>
  <c r="N150" i="8"/>
  <c r="D150" i="8" a="1"/>
  <c r="D150" i="8" s="1"/>
  <c r="F150" i="8" s="1"/>
  <c r="G150" i="8" s="1"/>
  <c r="Q150" i="8"/>
  <c r="P150" i="8" s="1"/>
  <c r="M173" i="8" a="1"/>
  <c r="M173" i="8" s="1"/>
  <c r="D173" i="8" a="1"/>
  <c r="D173" i="8" s="1"/>
  <c r="F173" i="8" s="1"/>
  <c r="G173" i="8" s="1"/>
  <c r="I173" i="8"/>
  <c r="B173" i="8"/>
  <c r="Q173" i="8"/>
  <c r="P173" i="8" s="1"/>
  <c r="H187" i="8"/>
  <c r="E187" i="8" s="1"/>
  <c r="N187" i="8"/>
  <c r="M187" i="8" a="1"/>
  <c r="M187" i="8" s="1"/>
  <c r="J189" i="8"/>
  <c r="I190" i="8"/>
  <c r="B190" i="8"/>
  <c r="H190" i="8"/>
  <c r="E190" i="8" s="1"/>
  <c r="N190" i="8"/>
  <c r="M190" i="8" a="1"/>
  <c r="M190" i="8" s="1"/>
  <c r="D190" i="8" a="1"/>
  <c r="D190" i="8" s="1"/>
  <c r="F190" i="8" s="1"/>
  <c r="G190" i="8" s="1"/>
  <c r="J198" i="8"/>
  <c r="Q198" i="8"/>
  <c r="P198" i="8" s="1"/>
  <c r="N210" i="8"/>
  <c r="M210" i="8" a="1"/>
  <c r="M210" i="8" s="1"/>
  <c r="J144" i="8"/>
  <c r="Q144" i="8"/>
  <c r="P144" i="8" s="1"/>
  <c r="J152" i="8"/>
  <c r="Q152" i="8"/>
  <c r="P152" i="8" s="1"/>
  <c r="J160" i="8"/>
  <c r="Q160" i="8"/>
  <c r="P160" i="8" s="1"/>
  <c r="J168" i="8"/>
  <c r="Q168" i="8"/>
  <c r="P168" i="8" s="1"/>
  <c r="J176" i="8"/>
  <c r="Q176" i="8"/>
  <c r="P176" i="8" s="1"/>
  <c r="H178" i="8"/>
  <c r="E178" i="8" s="1"/>
  <c r="N183" i="8"/>
  <c r="J184" i="8"/>
  <c r="Q184" i="8"/>
  <c r="P184" i="8" s="1"/>
  <c r="H186" i="8"/>
  <c r="E186" i="8" s="1"/>
  <c r="N191" i="8"/>
  <c r="J192" i="8"/>
  <c r="Q192" i="8"/>
  <c r="P192" i="8" s="1"/>
  <c r="H194" i="8"/>
  <c r="E194" i="8" s="1"/>
  <c r="D198" i="8" a="1"/>
  <c r="D198" i="8" s="1"/>
  <c r="F198" i="8" s="1"/>
  <c r="G198" i="8" s="1"/>
  <c r="N199" i="8"/>
  <c r="J200" i="8"/>
  <c r="Q200" i="8"/>
  <c r="P200" i="8" s="1"/>
  <c r="H202" i="8"/>
  <c r="E202" i="8" s="1"/>
  <c r="M206" i="8" a="1"/>
  <c r="M206" i="8" s="1"/>
  <c r="D210" i="8" a="1"/>
  <c r="D210" i="8" s="1"/>
  <c r="F210" i="8" s="1"/>
  <c r="G210" i="8" s="1"/>
  <c r="Q210" i="8"/>
  <c r="P210" i="8" s="1"/>
  <c r="H210" i="8"/>
  <c r="E210" i="8" s="1"/>
  <c r="J178" i="8"/>
  <c r="Q178" i="8"/>
  <c r="P178" i="8" s="1"/>
  <c r="J186" i="8"/>
  <c r="Q186" i="8"/>
  <c r="P186" i="8" s="1"/>
  <c r="J194" i="8"/>
  <c r="Q194" i="8"/>
  <c r="P194" i="8" s="1"/>
  <c r="M198" i="8" a="1"/>
  <c r="M198" i="8" s="1"/>
  <c r="J202" i="8"/>
  <c r="Q202" i="8"/>
  <c r="P202" i="8" s="1"/>
  <c r="H208" i="8"/>
  <c r="E208" i="8" s="1"/>
  <c r="N208" i="8"/>
  <c r="I210" i="8"/>
  <c r="B140" i="8"/>
  <c r="J143" i="8"/>
  <c r="H145" i="8"/>
  <c r="E145" i="8" s="1"/>
  <c r="J151" i="8"/>
  <c r="H153" i="8"/>
  <c r="E153" i="8" s="1"/>
  <c r="J159" i="8"/>
  <c r="H161" i="8"/>
  <c r="E161" i="8" s="1"/>
  <c r="J167" i="8"/>
  <c r="H169" i="8"/>
  <c r="E169" i="8" s="1"/>
  <c r="J175" i="8"/>
  <c r="H177" i="8"/>
  <c r="E177" i="8" s="1"/>
  <c r="J183" i="8"/>
  <c r="H185" i="8"/>
  <c r="E185" i="8" s="1"/>
  <c r="J191" i="8"/>
  <c r="H193" i="8"/>
  <c r="E193" i="8" s="1"/>
  <c r="N198" i="8"/>
  <c r="J199" i="8"/>
  <c r="H201" i="8"/>
  <c r="E201" i="8" s="1"/>
  <c r="H206" i="8"/>
  <c r="E206" i="8" s="1"/>
  <c r="Q206" i="8"/>
  <c r="P206" i="8" s="1"/>
  <c r="J207" i="8"/>
  <c r="J210" i="8"/>
  <c r="B145" i="8"/>
  <c r="I145" i="8"/>
  <c r="J148" i="8"/>
  <c r="B153" i="8"/>
  <c r="I153" i="8"/>
  <c r="J156" i="8"/>
  <c r="B161" i="8"/>
  <c r="I161" i="8"/>
  <c r="J164" i="8"/>
  <c r="B169" i="8"/>
  <c r="I169" i="8"/>
  <c r="J172" i="8"/>
  <c r="B177" i="8"/>
  <c r="I177" i="8"/>
  <c r="J180" i="8"/>
  <c r="B185" i="8"/>
  <c r="I185" i="8"/>
  <c r="J188" i="8"/>
  <c r="B193" i="8"/>
  <c r="I193" i="8"/>
  <c r="J196" i="8"/>
  <c r="H198" i="8"/>
  <c r="E198" i="8" s="1"/>
  <c r="B201" i="8"/>
  <c r="I201" i="8"/>
  <c r="J204" i="8"/>
  <c r="D208" i="8" a="1"/>
  <c r="D208" i="8" s="1"/>
  <c r="F208" i="8" s="1"/>
  <c r="G208" i="8" s="1"/>
  <c r="M208" i="8" a="1"/>
  <c r="M208" i="8" s="1"/>
  <c r="J145" i="8"/>
  <c r="J153" i="8"/>
  <c r="J161" i="8"/>
  <c r="J169" i="8"/>
  <c r="J177" i="8"/>
  <c r="J185" i="8"/>
  <c r="J193" i="8"/>
  <c r="B198" i="8"/>
  <c r="J201" i="8"/>
  <c r="I206" i="8"/>
  <c r="B206" i="8"/>
  <c r="B210" i="8"/>
  <c r="J209" i="8"/>
  <c r="H9" i="10"/>
  <c r="F4" i="11"/>
  <c r="R103" i="12"/>
  <c r="T103" i="12"/>
  <c r="L4" i="11"/>
  <c r="T111" i="12"/>
  <c r="F2" i="11"/>
  <c r="M2" i="11"/>
  <c r="Q4" i="11"/>
  <c r="Q8" i="11"/>
  <c r="O3" i="12"/>
  <c r="F3" i="12"/>
  <c r="M3" i="12"/>
  <c r="E3" i="12"/>
  <c r="L3" i="12"/>
  <c r="D3" i="12" a="1"/>
  <c r="D3" i="12" s="1"/>
  <c r="K3" i="12"/>
  <c r="I3" i="12"/>
  <c r="R104" i="12"/>
  <c r="T104" i="12"/>
  <c r="F5" i="11"/>
  <c r="T114" i="12"/>
  <c r="M5" i="11"/>
  <c r="O2" i="12"/>
  <c r="F2" i="12"/>
  <c r="M2" i="12"/>
  <c r="E2" i="12"/>
  <c r="L2" i="12"/>
  <c r="D2" i="12" a="1"/>
  <c r="D2" i="12" s="1"/>
  <c r="K2" i="12"/>
  <c r="I2" i="12"/>
  <c r="G3" i="12"/>
  <c r="H3" i="12"/>
  <c r="T115" i="12"/>
  <c r="G6" i="11"/>
  <c r="O1" i="12"/>
  <c r="F1" i="12"/>
  <c r="M1" i="12"/>
  <c r="E1" i="12"/>
  <c r="L1" i="12"/>
  <c r="D1" i="12" a="1"/>
  <c r="D1" i="12" s="1"/>
  <c r="K1" i="12"/>
  <c r="I1" i="12"/>
  <c r="G2" i="12"/>
  <c r="O5" i="12"/>
  <c r="F5" i="12"/>
  <c r="M5" i="12"/>
  <c r="E5" i="12"/>
  <c r="L5" i="12"/>
  <c r="D5" i="12" a="1"/>
  <c r="D5" i="12" s="1"/>
  <c r="K5" i="12"/>
  <c r="I5" i="12"/>
  <c r="M6" i="11"/>
  <c r="H2" i="12"/>
  <c r="G5" i="11"/>
  <c r="G1" i="12"/>
  <c r="O4" i="12"/>
  <c r="F4" i="12"/>
  <c r="M4" i="12"/>
  <c r="E4" i="12"/>
  <c r="L4" i="12"/>
  <c r="D4" i="12" a="1"/>
  <c r="D4" i="12" s="1"/>
  <c r="K4" i="12"/>
  <c r="I4" i="12"/>
  <c r="J4" i="12" s="1"/>
  <c r="G5" i="12"/>
  <c r="Q7" i="11"/>
  <c r="H1" i="12"/>
  <c r="G6" i="12"/>
  <c r="G7" i="12"/>
  <c r="G8" i="12"/>
  <c r="K27" i="12"/>
  <c r="H27" i="12"/>
  <c r="O27" i="12"/>
  <c r="F27" i="12"/>
  <c r="G27" i="12"/>
  <c r="E27" i="12"/>
  <c r="D27" i="12" a="1"/>
  <c r="D27" i="12" s="1"/>
  <c r="H16" i="12"/>
  <c r="M16" i="12"/>
  <c r="D16" i="12" a="1"/>
  <c r="D16" i="12" s="1"/>
  <c r="L16" i="12"/>
  <c r="R102" i="12"/>
  <c r="T102" i="12"/>
  <c r="I6" i="12"/>
  <c r="I7" i="12"/>
  <c r="I8" i="12"/>
  <c r="H15" i="12"/>
  <c r="O15" i="12"/>
  <c r="E15" i="12"/>
  <c r="M15" i="12"/>
  <c r="D15" i="12" a="1"/>
  <c r="D15" i="12" s="1"/>
  <c r="K15" i="12"/>
  <c r="I27" i="12"/>
  <c r="L3" i="11"/>
  <c r="H14" i="12"/>
  <c r="F14" i="12"/>
  <c r="O14" i="12"/>
  <c r="E14" i="12"/>
  <c r="L14" i="12"/>
  <c r="M14" i="12"/>
  <c r="E16" i="12"/>
  <c r="K29" i="12"/>
  <c r="H29" i="12"/>
  <c r="O29" i="12"/>
  <c r="F29" i="12"/>
  <c r="I29" i="12"/>
  <c r="G29" i="12"/>
  <c r="E29" i="12"/>
  <c r="K38" i="12"/>
  <c r="H38" i="12"/>
  <c r="O38" i="12"/>
  <c r="F38" i="12"/>
  <c r="I38" i="12"/>
  <c r="G38" i="12"/>
  <c r="E38" i="12"/>
  <c r="D38" i="12" a="1"/>
  <c r="D38" i="12" s="1"/>
  <c r="M38" i="12"/>
  <c r="K6" i="12"/>
  <c r="K7" i="12"/>
  <c r="K8" i="12"/>
  <c r="H13" i="12"/>
  <c r="G13" i="12"/>
  <c r="F13" i="12"/>
  <c r="M13" i="12"/>
  <c r="D13" i="12" a="1"/>
  <c r="D13" i="12" s="1"/>
  <c r="L13" i="12"/>
  <c r="F16" i="12"/>
  <c r="H21" i="12"/>
  <c r="O21" i="12"/>
  <c r="F21" i="12"/>
  <c r="D21" i="12" a="1"/>
  <c r="D21" i="12" s="1"/>
  <c r="M21" i="12"/>
  <c r="L21" i="12"/>
  <c r="K21" i="12"/>
  <c r="L38" i="12"/>
  <c r="R107" i="12"/>
  <c r="T107" i="12"/>
  <c r="D6" i="12" a="1"/>
  <c r="D6" i="12" s="1"/>
  <c r="L6" i="12"/>
  <c r="D7" i="12" a="1"/>
  <c r="D7" i="12" s="1"/>
  <c r="L7" i="12"/>
  <c r="D8" i="12" a="1"/>
  <c r="D8" i="12" s="1"/>
  <c r="L8" i="12"/>
  <c r="O13" i="12"/>
  <c r="F15" i="12"/>
  <c r="G16" i="12"/>
  <c r="L18" i="12"/>
  <c r="E21" i="12"/>
  <c r="M27" i="12"/>
  <c r="K32" i="12"/>
  <c r="H32" i="12"/>
  <c r="O32" i="12"/>
  <c r="F32" i="12"/>
  <c r="I32" i="12"/>
  <c r="G32" i="12"/>
  <c r="E32" i="12"/>
  <c r="D32" i="12" a="1"/>
  <c r="D32" i="12" s="1"/>
  <c r="R106" i="12"/>
  <c r="T106" i="12"/>
  <c r="L8" i="11"/>
  <c r="E6" i="12"/>
  <c r="M6" i="12"/>
  <c r="E7" i="12"/>
  <c r="M7" i="12"/>
  <c r="E8" i="12"/>
  <c r="M8" i="12"/>
  <c r="H10" i="12"/>
  <c r="K10" i="12"/>
  <c r="G10" i="12"/>
  <c r="O10" i="12"/>
  <c r="D14" i="12" a="1"/>
  <c r="D14" i="12" s="1"/>
  <c r="G15" i="12"/>
  <c r="I16" i="12"/>
  <c r="G21" i="12"/>
  <c r="K24" i="12"/>
  <c r="H24" i="12"/>
  <c r="O24" i="12"/>
  <c r="F24" i="12"/>
  <c r="I24" i="12"/>
  <c r="G24" i="12"/>
  <c r="E24" i="12"/>
  <c r="D24" i="12" a="1"/>
  <c r="D24" i="12" s="1"/>
  <c r="D29" i="12" a="1"/>
  <c r="D29" i="12" s="1"/>
  <c r="K30" i="12"/>
  <c r="H30" i="12"/>
  <c r="O30" i="12"/>
  <c r="F30" i="12"/>
  <c r="E30" i="12"/>
  <c r="D30" i="12" a="1"/>
  <c r="D30" i="12" s="1"/>
  <c r="M30" i="12"/>
  <c r="R105" i="12"/>
  <c r="T105" i="12"/>
  <c r="L7" i="11"/>
  <c r="F6" i="12"/>
  <c r="F7" i="12"/>
  <c r="F8" i="12"/>
  <c r="G14" i="12"/>
  <c r="I15" i="12"/>
  <c r="K16" i="12"/>
  <c r="H18" i="12"/>
  <c r="K18" i="12"/>
  <c r="G18" i="12"/>
  <c r="O18" i="12"/>
  <c r="I21" i="12"/>
  <c r="L29" i="12"/>
  <c r="G30" i="12"/>
  <c r="K35" i="12"/>
  <c r="H35" i="12"/>
  <c r="O35" i="12"/>
  <c r="F35" i="12"/>
  <c r="I35" i="12"/>
  <c r="G35" i="12"/>
  <c r="E35" i="12"/>
  <c r="D35" i="12" a="1"/>
  <c r="D35" i="12" s="1"/>
  <c r="E12" i="12"/>
  <c r="O12" i="12"/>
  <c r="H17" i="12"/>
  <c r="I17" i="12"/>
  <c r="K25" i="12"/>
  <c r="H25" i="12"/>
  <c r="J25" i="12" s="1"/>
  <c r="O25" i="12"/>
  <c r="F25" i="12"/>
  <c r="L25" i="12"/>
  <c r="K33" i="12"/>
  <c r="H33" i="12"/>
  <c r="J33" i="12" s="1"/>
  <c r="O33" i="12"/>
  <c r="F33" i="12"/>
  <c r="L33" i="12"/>
  <c r="E39" i="12"/>
  <c r="H22" i="12"/>
  <c r="J22" i="12" s="1"/>
  <c r="O22" i="12"/>
  <c r="F22" i="12"/>
  <c r="K28" i="12"/>
  <c r="H28" i="12"/>
  <c r="J28" i="12" s="1"/>
  <c r="O28" i="12"/>
  <c r="F28" i="12"/>
  <c r="L28" i="12"/>
  <c r="K36" i="12"/>
  <c r="H36" i="12"/>
  <c r="J36" i="12" s="1"/>
  <c r="O36" i="12"/>
  <c r="F36" i="12"/>
  <c r="L36" i="12"/>
  <c r="G39" i="12"/>
  <c r="K40" i="12"/>
  <c r="I40" i="12"/>
  <c r="H40" i="12"/>
  <c r="O40" i="12"/>
  <c r="F40" i="12"/>
  <c r="H11" i="12"/>
  <c r="I11" i="12"/>
  <c r="K17" i="12"/>
  <c r="H19" i="12"/>
  <c r="I19" i="12"/>
  <c r="K22" i="12"/>
  <c r="M28" i="12"/>
  <c r="K31" i="12"/>
  <c r="H31" i="12"/>
  <c r="J31" i="12" s="1"/>
  <c r="O31" i="12"/>
  <c r="F31" i="12"/>
  <c r="L31" i="12"/>
  <c r="M36" i="12"/>
  <c r="H12" i="12"/>
  <c r="I12" i="12"/>
  <c r="L17" i="12"/>
  <c r="H20" i="12"/>
  <c r="I20" i="12"/>
  <c r="L22" i="12"/>
  <c r="H23" i="12"/>
  <c r="J23" i="12" s="1"/>
  <c r="O23" i="12"/>
  <c r="F23" i="12"/>
  <c r="D25" i="12" a="1"/>
  <c r="D25" i="12" s="1"/>
  <c r="K26" i="12"/>
  <c r="H26" i="12"/>
  <c r="J26" i="12" s="1"/>
  <c r="O26" i="12"/>
  <c r="F26" i="12"/>
  <c r="L26" i="12"/>
  <c r="M31" i="12"/>
  <c r="D33" i="12" a="1"/>
  <c r="D33" i="12" s="1"/>
  <c r="K34" i="12"/>
  <c r="H34" i="12"/>
  <c r="J34" i="12" s="1"/>
  <c r="O34" i="12"/>
  <c r="F34" i="12"/>
  <c r="L34" i="12"/>
  <c r="L39" i="12"/>
  <c r="D40" i="12" a="1"/>
  <c r="D40" i="12" s="1"/>
  <c r="D36" i="12" a="1"/>
  <c r="D36" i="12" s="1"/>
  <c r="K37" i="12"/>
  <c r="H37" i="12"/>
  <c r="J37" i="12" s="1"/>
  <c r="O37" i="12"/>
  <c r="F37" i="12"/>
  <c r="L37" i="12"/>
  <c r="E40" i="12"/>
  <c r="K39" i="12"/>
  <c r="I39" i="12"/>
  <c r="H39" i="12"/>
  <c r="O39" i="12"/>
  <c r="F39" i="12"/>
  <c r="G40" i="12"/>
  <c r="Y119" i="12"/>
  <c r="AC119" i="12"/>
  <c r="Y128" i="12"/>
  <c r="AC128" i="12"/>
  <c r="W137" i="12"/>
  <c r="R137" i="12"/>
  <c r="W119" i="12"/>
  <c r="AC109" i="12"/>
  <c r="AC136" i="12"/>
  <c r="C5" i="12" a="1"/>
  <c r="C27" i="12" a="1"/>
  <c r="C13" i="12" a="1"/>
  <c r="C4" i="12" a="1"/>
  <c r="C38" i="12" a="1"/>
  <c r="C245" i="8" a="1"/>
  <c r="H245" i="8" a="1"/>
  <c r="H237" i="8" a="1"/>
  <c r="C237" i="8" a="1"/>
  <c r="H244" i="8" a="1"/>
  <c r="C244" i="8" a="1"/>
  <c r="C236" i="8" a="1"/>
  <c r="H236" i="8" a="1"/>
  <c r="C25" i="12" a="1"/>
  <c r="C33" i="12" a="1"/>
  <c r="C36" i="12" a="1"/>
  <c r="C1" i="12" a="1"/>
  <c r="C30" i="12" a="1"/>
  <c r="C35" i="12" a="1"/>
  <c r="C28" i="12" a="1"/>
  <c r="C15" i="12" a="1"/>
  <c r="C6" i="12" a="1"/>
  <c r="C3" i="12" a="1"/>
  <c r="B1" i="6" a="1"/>
  <c r="C16" i="12" a="1"/>
  <c r="C7" i="12" a="1"/>
  <c r="C32" i="12" a="1"/>
  <c r="C17" i="12" a="1"/>
  <c r="C40" i="12" a="1"/>
  <c r="C22" i="12" a="1"/>
  <c r="C39" i="12" a="1"/>
  <c r="H229" i="8" a="1"/>
  <c r="C229" i="8" a="1"/>
  <c r="C2" i="12" a="1"/>
  <c r="C8" i="12" a="1"/>
  <c r="C14" i="12" a="1"/>
  <c r="C10" i="12" a="1"/>
  <c r="H221" i="8" a="1"/>
  <c r="C221" i="8" a="1"/>
  <c r="C228" i="8" a="1"/>
  <c r="H228" i="8" a="1"/>
  <c r="C21" i="12" a="1"/>
  <c r="C18" i="12" a="1"/>
  <c r="C220" i="8" a="1"/>
  <c r="H220" i="8" a="1"/>
  <c r="J11" i="12" l="1"/>
  <c r="J17" i="12"/>
  <c r="J1" i="12"/>
  <c r="P2" i="12"/>
  <c r="P36" i="12"/>
  <c r="J30" i="12"/>
  <c r="J10" i="12"/>
  <c r="J20" i="12"/>
  <c r="J19" i="12"/>
  <c r="P39" i="12"/>
  <c r="J7" i="12"/>
  <c r="J3" i="12"/>
  <c r="J40" i="12"/>
  <c r="P28" i="12"/>
  <c r="P10" i="12"/>
  <c r="J18" i="12"/>
  <c r="P15" i="12"/>
  <c r="P21" i="12"/>
  <c r="H220" i="8"/>
  <c r="Q220" i="8" s="1"/>
  <c r="P220" i="8" s="1"/>
  <c r="C220" i="8"/>
  <c r="D220" i="8" s="1"/>
  <c r="C18" i="12"/>
  <c r="B18" i="12" s="1"/>
  <c r="C21" i="12"/>
  <c r="B21" i="12" s="1"/>
  <c r="H228" i="8"/>
  <c r="Q228" i="8" s="1"/>
  <c r="P228" i="8" s="1"/>
  <c r="C228" i="8"/>
  <c r="D228" i="8" s="1"/>
  <c r="C221" i="8"/>
  <c r="D221" i="8" s="1"/>
  <c r="H221" i="8"/>
  <c r="Q221" i="8" s="1"/>
  <c r="P221" i="8" s="1"/>
  <c r="C10" i="12"/>
  <c r="B10" i="12" s="1"/>
  <c r="C14" i="12"/>
  <c r="B14" i="12" s="1"/>
  <c r="C8" i="12"/>
  <c r="B8" i="12" s="1"/>
  <c r="C2" i="12"/>
  <c r="B2" i="12" s="1"/>
  <c r="C229" i="8"/>
  <c r="D229" i="8" s="1"/>
  <c r="H229" i="8"/>
  <c r="Q229" i="8" s="1"/>
  <c r="P229" i="8" s="1"/>
  <c r="C39" i="12"/>
  <c r="B39" i="12" s="1"/>
  <c r="C22" i="12"/>
  <c r="B22" i="12" s="1"/>
  <c r="C40" i="12"/>
  <c r="B40" i="12" s="1"/>
  <c r="C17" i="12"/>
  <c r="B17" i="12" s="1"/>
  <c r="C32" i="12"/>
  <c r="B32" i="12" s="1"/>
  <c r="C7" i="12"/>
  <c r="B7" i="12" s="1"/>
  <c r="C16" i="12"/>
  <c r="B16" i="12" s="1"/>
  <c r="B1" i="6"/>
  <c r="C3" i="12"/>
  <c r="B3" i="12" s="1"/>
  <c r="C6" i="12"/>
  <c r="B6" i="12" s="1"/>
  <c r="C15" i="12"/>
  <c r="B15" i="12" s="1"/>
  <c r="C28" i="12"/>
  <c r="B28" i="12" s="1"/>
  <c r="C35" i="12"/>
  <c r="B35" i="12" s="1"/>
  <c r="C30" i="12"/>
  <c r="B30" i="12" s="1"/>
  <c r="C1" i="12"/>
  <c r="B1" i="12" s="1"/>
  <c r="C36" i="12"/>
  <c r="B36" i="12" s="1"/>
  <c r="C33" i="12"/>
  <c r="B33" i="12" s="1"/>
  <c r="C25" i="12"/>
  <c r="B25" i="12" s="1"/>
  <c r="H236" i="8"/>
  <c r="Q236" i="8" s="1"/>
  <c r="P236" i="8" s="1"/>
  <c r="C236" i="8"/>
  <c r="D236" i="8" s="1"/>
  <c r="C244" i="8"/>
  <c r="D244" i="8" s="1"/>
  <c r="H244" i="8"/>
  <c r="Q244" i="8" s="1"/>
  <c r="P244" i="8" s="1"/>
  <c r="C237" i="8"/>
  <c r="D237" i="8" s="1"/>
  <c r="H237" i="8"/>
  <c r="Q237" i="8" s="1"/>
  <c r="P237" i="8" s="1"/>
  <c r="H245" i="8"/>
  <c r="Q245" i="8" s="1"/>
  <c r="P245" i="8" s="1"/>
  <c r="C245" i="8"/>
  <c r="D245" i="8" s="1"/>
  <c r="C38" i="12"/>
  <c r="B38" i="12" s="1"/>
  <c r="C4" i="12"/>
  <c r="B4" i="12" s="1"/>
  <c r="C13" i="12"/>
  <c r="B13" i="12" s="1"/>
  <c r="C27" i="12"/>
  <c r="B27" i="12" s="1"/>
  <c r="C5" i="12"/>
  <c r="B5" i="12" s="1"/>
  <c r="A8" i="9" a="1"/>
  <c r="A8" i="9" s="1"/>
  <c r="J231" i="8"/>
  <c r="A242" i="8"/>
  <c r="F242" i="8"/>
  <c r="G242" i="8" s="1"/>
  <c r="J242" i="8"/>
  <c r="A17" i="10"/>
  <c r="P16" i="12"/>
  <c r="I2" i="5"/>
  <c r="J227" i="8"/>
  <c r="A240" i="8"/>
  <c r="J240" i="8"/>
  <c r="F240" i="8"/>
  <c r="G240" i="8" s="1"/>
  <c r="J12" i="12"/>
  <c r="J29" i="12"/>
  <c r="P19" i="12"/>
  <c r="J27" i="12"/>
  <c r="J8" i="12"/>
  <c r="P4" i="12"/>
  <c r="W115" i="12"/>
  <c r="R115" i="12"/>
  <c r="T123" i="12"/>
  <c r="N5" i="11"/>
  <c r="T132" i="12" s="1"/>
  <c r="H5" i="11"/>
  <c r="I5" i="11" s="1"/>
  <c r="T113" i="12"/>
  <c r="M4" i="11"/>
  <c r="G4" i="11"/>
  <c r="I4" i="5"/>
  <c r="X3" i="9"/>
  <c r="N3" i="4"/>
  <c r="F250" i="8"/>
  <c r="G250" i="8" s="1"/>
  <c r="J250" i="8"/>
  <c r="A250" i="8"/>
  <c r="A226" i="8"/>
  <c r="J226" i="8"/>
  <c r="F226" i="8"/>
  <c r="G226" i="8" s="1"/>
  <c r="AC106" i="12"/>
  <c r="W106" i="12"/>
  <c r="Y106" i="12"/>
  <c r="P7" i="12"/>
  <c r="P27" i="12"/>
  <c r="J235" i="8"/>
  <c r="P40" i="12"/>
  <c r="P35" i="12"/>
  <c r="T116" i="12"/>
  <c r="G7" i="11"/>
  <c r="M7" i="11"/>
  <c r="P30" i="12"/>
  <c r="P24" i="12"/>
  <c r="J21" i="12"/>
  <c r="P6" i="12"/>
  <c r="P32" i="12"/>
  <c r="P5" i="12"/>
  <c r="R114" i="12"/>
  <c r="W114" i="12"/>
  <c r="W3" i="9"/>
  <c r="X4" i="9"/>
  <c r="J243" i="8"/>
  <c r="A225" i="8"/>
  <c r="F225" i="8"/>
  <c r="G225" i="8" s="1"/>
  <c r="J225" i="8"/>
  <c r="F241" i="8"/>
  <c r="G241" i="8" s="1"/>
  <c r="J241" i="8"/>
  <c r="A241" i="8"/>
  <c r="Y137" i="12"/>
  <c r="AC137" i="12"/>
  <c r="P34" i="12"/>
  <c r="P38" i="12"/>
  <c r="AC102" i="12"/>
  <c r="W102" i="12"/>
  <c r="Y102" i="12"/>
  <c r="J38" i="12"/>
  <c r="J35" i="12"/>
  <c r="J24" i="12"/>
  <c r="T117" i="12"/>
  <c r="M8" i="11"/>
  <c r="G8" i="11" s="1"/>
  <c r="F8" i="11"/>
  <c r="W107" i="12"/>
  <c r="AC107" i="12"/>
  <c r="Y107" i="12"/>
  <c r="P14" i="12"/>
  <c r="J6" i="12"/>
  <c r="J5" i="12"/>
  <c r="P11" i="12"/>
  <c r="W103" i="12"/>
  <c r="AC103" i="12"/>
  <c r="Y103" i="12"/>
  <c r="L3" i="8"/>
  <c r="I4" i="2"/>
  <c r="A9" i="9" a="1"/>
  <c r="A9" i="9" s="1"/>
  <c r="J239" i="8"/>
  <c r="J16" i="12"/>
  <c r="W111" i="12"/>
  <c r="R111" i="12"/>
  <c r="P33" i="12"/>
  <c r="P29" i="12"/>
  <c r="P25" i="12"/>
  <c r="P31" i="12"/>
  <c r="P13" i="12"/>
  <c r="J32" i="12"/>
  <c r="P9" i="12"/>
  <c r="J39" i="12"/>
  <c r="W105" i="12"/>
  <c r="AC105" i="12"/>
  <c r="Y105" i="12"/>
  <c r="J15" i="12"/>
  <c r="T112" i="12"/>
  <c r="M3" i="11"/>
  <c r="G3" i="11"/>
  <c r="F3" i="11"/>
  <c r="P26" i="12"/>
  <c r="T124" i="12"/>
  <c r="N6" i="11"/>
  <c r="T133" i="12" s="1"/>
  <c r="P99" i="12"/>
  <c r="P97" i="12"/>
  <c r="P95" i="12"/>
  <c r="P93" i="12"/>
  <c r="P100" i="12"/>
  <c r="P98" i="12"/>
  <c r="P96" i="12"/>
  <c r="P94" i="12"/>
  <c r="P20" i="12"/>
  <c r="P17" i="12"/>
  <c r="P23" i="12"/>
  <c r="P18" i="12"/>
  <c r="P1" i="12"/>
  <c r="F7" i="11"/>
  <c r="P3" i="12"/>
  <c r="A234" i="8"/>
  <c r="F234" i="8"/>
  <c r="G234" i="8" s="1"/>
  <c r="J234" i="8"/>
  <c r="J223" i="8"/>
  <c r="J248" i="8"/>
  <c r="F248" i="8"/>
  <c r="G248" i="8" s="1"/>
  <c r="A248" i="8"/>
  <c r="A224" i="8"/>
  <c r="J224" i="8"/>
  <c r="F224" i="8"/>
  <c r="G224" i="8" s="1"/>
  <c r="I6" i="5"/>
  <c r="I8" i="5"/>
  <c r="J249" i="8"/>
  <c r="F249" i="8"/>
  <c r="G249" i="8" s="1"/>
  <c r="A249" i="8"/>
  <c r="F233" i="8"/>
  <c r="G233" i="8" s="1"/>
  <c r="A233" i="8"/>
  <c r="J233" i="8"/>
  <c r="J219" i="8"/>
  <c r="W7" i="4"/>
  <c r="AN7" i="9" s="1"/>
  <c r="O7" i="4"/>
  <c r="AB7" i="9" s="1"/>
  <c r="G7" i="4"/>
  <c r="L7" i="9" s="1"/>
  <c r="V7" i="4"/>
  <c r="AM7" i="9" s="1"/>
  <c r="N7" i="4"/>
  <c r="Z7" i="9" s="1"/>
  <c r="F7" i="4"/>
  <c r="J7" i="9" s="1"/>
  <c r="K7" i="4"/>
  <c r="T7" i="9" s="1"/>
  <c r="S7" i="4"/>
  <c r="AJ7" i="9" s="1"/>
  <c r="I7" i="4"/>
  <c r="P7" i="9" s="1"/>
  <c r="M7" i="4"/>
  <c r="X7" i="9" s="1"/>
  <c r="C7" i="4"/>
  <c r="D7" i="9" s="1"/>
  <c r="R7" i="4"/>
  <c r="AH7" i="9" s="1"/>
  <c r="B7" i="4"/>
  <c r="P7" i="4"/>
  <c r="AD7" i="9" s="1"/>
  <c r="Q7" i="4"/>
  <c r="AF7" i="9" s="1"/>
  <c r="A9" i="4" a="1"/>
  <c r="A9" i="4" s="1"/>
  <c r="L7" i="4"/>
  <c r="V7" i="9" s="1"/>
  <c r="T7" i="4"/>
  <c r="AL7" i="9" s="1"/>
  <c r="J7" i="4"/>
  <c r="U7" i="4" s="1"/>
  <c r="H7" i="4"/>
  <c r="N7" i="9" s="1"/>
  <c r="E7" i="4"/>
  <c r="H7" i="9" s="1"/>
  <c r="D7" i="4"/>
  <c r="F7" i="9" s="1"/>
  <c r="T120" i="12"/>
  <c r="H2" i="11"/>
  <c r="I2" i="11" s="1"/>
  <c r="N2" i="11"/>
  <c r="T129" i="12" s="1"/>
  <c r="G2" i="11"/>
  <c r="P12" i="12"/>
  <c r="J14" i="12"/>
  <c r="P8" i="12"/>
  <c r="P37" i="12"/>
  <c r="J13" i="12"/>
  <c r="J2" i="12"/>
  <c r="P22" i="12"/>
  <c r="AC104" i="12"/>
  <c r="W104" i="12"/>
  <c r="Y104" i="12"/>
  <c r="J232" i="8"/>
  <c r="F232" i="8"/>
  <c r="G232" i="8" s="1"/>
  <c r="A232" i="8"/>
  <c r="W6" i="4"/>
  <c r="AN6" i="9" s="1"/>
  <c r="O6" i="4"/>
  <c r="AB6" i="9" s="1"/>
  <c r="G6" i="4"/>
  <c r="L6" i="9" s="1"/>
  <c r="V6" i="4"/>
  <c r="N6" i="4"/>
  <c r="Z6" i="9" s="1"/>
  <c r="F6" i="4"/>
  <c r="J6" i="9" s="1"/>
  <c r="M6" i="4"/>
  <c r="X6" i="9" s="1"/>
  <c r="C6" i="4"/>
  <c r="D6" i="9" s="1"/>
  <c r="K6" i="4"/>
  <c r="T6" i="9" s="1"/>
  <c r="A8" i="4" a="1"/>
  <c r="A8" i="4" s="1"/>
  <c r="Q6" i="4"/>
  <c r="AF6" i="9" s="1"/>
  <c r="E6" i="4"/>
  <c r="H6" i="9" s="1"/>
  <c r="I6" i="4"/>
  <c r="P6" i="9" s="1"/>
  <c r="T6" i="4"/>
  <c r="AL6" i="9" s="1"/>
  <c r="H6" i="4"/>
  <c r="N6" i="9" s="1"/>
  <c r="D6" i="4"/>
  <c r="F6" i="9" s="1"/>
  <c r="S6" i="4"/>
  <c r="AJ6" i="9" s="1"/>
  <c r="B6" i="4"/>
  <c r="R6" i="4"/>
  <c r="AH6" i="9" s="1"/>
  <c r="P6" i="4"/>
  <c r="AD6" i="9" s="1"/>
  <c r="J6" i="4"/>
  <c r="U6" i="4" s="1"/>
  <c r="L6" i="4"/>
  <c r="V6" i="9" s="1"/>
  <c r="P1" i="2"/>
  <c r="C230" i="8" a="1"/>
  <c r="H230" i="8" a="1"/>
  <c r="C222" i="8" a="1"/>
  <c r="H222" i="8" a="1"/>
  <c r="C238" i="8" a="1"/>
  <c r="H238" i="8" a="1"/>
  <c r="B2" i="6" a="1"/>
  <c r="S1" i="2"/>
  <c r="C246" i="8" a="1"/>
  <c r="H246" i="8" a="1"/>
  <c r="B6" i="9" l="1"/>
  <c r="R7" i="9"/>
  <c r="H246" i="8"/>
  <c r="Q246" i="8" s="1"/>
  <c r="P246" i="8" s="1"/>
  <c r="C246" i="8"/>
  <c r="D246" i="8" s="1"/>
  <c r="B2" i="6"/>
  <c r="H238" i="8"/>
  <c r="Q238" i="8" s="1"/>
  <c r="P238" i="8" s="1"/>
  <c r="C238" i="8"/>
  <c r="D238" i="8" s="1"/>
  <c r="H222" i="8"/>
  <c r="Q222" i="8" s="1"/>
  <c r="P222" i="8" s="1"/>
  <c r="C222" i="8"/>
  <c r="D222" i="8" s="1"/>
  <c r="H230" i="8"/>
  <c r="Q230" i="8" s="1"/>
  <c r="P230" i="8" s="1"/>
  <c r="C230" i="8"/>
  <c r="D230" i="8" s="1"/>
  <c r="K1" i="8"/>
  <c r="W124" i="12"/>
  <c r="R124" i="12"/>
  <c r="P9" i="4"/>
  <c r="H9" i="4"/>
  <c r="A11" i="4" a="1"/>
  <c r="A11" i="4" s="1"/>
  <c r="O9" i="4"/>
  <c r="G9" i="4"/>
  <c r="R9" i="4"/>
  <c r="F9" i="4"/>
  <c r="N9" i="4"/>
  <c r="D9" i="4"/>
  <c r="T9" i="4"/>
  <c r="AL9" i="9" s="1"/>
  <c r="J9" i="4"/>
  <c r="W9" i="4"/>
  <c r="AN9" i="9" s="1"/>
  <c r="E9" i="4"/>
  <c r="B9" i="4"/>
  <c r="V9" i="4"/>
  <c r="AM9" i="9" s="1"/>
  <c r="C9" i="4"/>
  <c r="S9" i="4"/>
  <c r="Q9" i="4"/>
  <c r="I9" i="4"/>
  <c r="M9" i="4"/>
  <c r="L9" i="4"/>
  <c r="K9" i="4"/>
  <c r="W133" i="12"/>
  <c r="R133" i="12"/>
  <c r="I5" i="2"/>
  <c r="L144" i="8"/>
  <c r="L74" i="8"/>
  <c r="L4" i="8"/>
  <c r="T125" i="12"/>
  <c r="N7" i="11"/>
  <c r="T134" i="12" s="1"/>
  <c r="W113" i="12"/>
  <c r="R113" i="12"/>
  <c r="A245" i="8"/>
  <c r="J245" i="8"/>
  <c r="F245" i="8"/>
  <c r="G245" i="8" s="1"/>
  <c r="R6" i="9"/>
  <c r="A221" i="8"/>
  <c r="F221" i="8"/>
  <c r="G221" i="8" s="1"/>
  <c r="J221" i="8"/>
  <c r="A228" i="8"/>
  <c r="F228" i="8"/>
  <c r="G228" i="8" s="1"/>
  <c r="J228" i="8"/>
  <c r="Q45" i="12" a="1"/>
  <c r="Q45" i="12" s="1"/>
  <c r="Q46" i="12" a="1"/>
  <c r="Q46" i="12" s="1"/>
  <c r="Q49" i="12" a="1"/>
  <c r="Q49" i="12" s="1"/>
  <c r="Q48" i="12" a="1"/>
  <c r="Q48" i="12" s="1"/>
  <c r="Q47" i="12" a="1"/>
  <c r="Q47" i="12" s="1"/>
  <c r="Q40" i="12" a="1"/>
  <c r="Q40" i="12" s="1"/>
  <c r="Q39" i="12" a="1"/>
  <c r="Q39" i="12" s="1"/>
  <c r="Q38" i="12" a="1"/>
  <c r="Q38" i="12" s="1"/>
  <c r="Q41" i="12" a="1"/>
  <c r="Q41" i="12" s="1"/>
  <c r="Q50" i="12" a="1"/>
  <c r="Q50" i="12" s="1"/>
  <c r="Q43" i="12" a="1"/>
  <c r="Q43" i="12" s="1"/>
  <c r="Q42" i="12" a="1"/>
  <c r="Q42" i="12" s="1"/>
  <c r="Q44" i="12" a="1"/>
  <c r="Q44" i="12" s="1"/>
  <c r="Q36" i="12" a="1"/>
  <c r="Q36" i="12" s="1"/>
  <c r="Q33" i="12" a="1"/>
  <c r="Q33" i="12" s="1"/>
  <c r="Q25" i="12" a="1"/>
  <c r="Q25" i="12" s="1"/>
  <c r="Q13" i="12" a="1"/>
  <c r="Q13" i="12" s="1"/>
  <c r="Q30" i="12" a="1"/>
  <c r="Q30" i="12" s="1"/>
  <c r="Q20" i="12" a="1"/>
  <c r="Q20" i="12" s="1"/>
  <c r="Q12" i="12" a="1"/>
  <c r="Q12" i="12" s="1"/>
  <c r="Q35" i="12" a="1"/>
  <c r="Q35" i="12" s="1"/>
  <c r="Q27" i="12" a="1"/>
  <c r="Q27" i="12" s="1"/>
  <c r="Q19" i="12" a="1"/>
  <c r="Q19" i="12" s="1"/>
  <c r="Q32" i="12" a="1"/>
  <c r="Q32" i="12" s="1"/>
  <c r="Q24" i="12" a="1"/>
  <c r="Q24" i="12" s="1"/>
  <c r="Q23" i="12" a="1"/>
  <c r="Q23" i="12" s="1"/>
  <c r="Q18" i="12" a="1"/>
  <c r="Q18" i="12" s="1"/>
  <c r="Q10" i="12" a="1"/>
  <c r="Q10" i="12" s="1"/>
  <c r="Q28" i="12" a="1"/>
  <c r="Q28" i="12" s="1"/>
  <c r="Q9" i="12" a="1"/>
  <c r="Q9" i="12" s="1"/>
  <c r="Q31" i="12" a="1"/>
  <c r="Q31" i="12" s="1"/>
  <c r="Q26" i="12" a="1"/>
  <c r="Q26" i="12" s="1"/>
  <c r="Q14" i="12" a="1"/>
  <c r="Q14" i="12" s="1"/>
  <c r="Q15" i="12" a="1"/>
  <c r="Q15" i="12" s="1"/>
  <c r="Q29" i="12" a="1"/>
  <c r="Q29" i="12" s="1"/>
  <c r="Q17" i="12" a="1"/>
  <c r="Q17" i="12" s="1"/>
  <c r="Q16" i="12" a="1"/>
  <c r="Q16" i="12" s="1"/>
  <c r="Q7" i="12" a="1"/>
  <c r="Q7" i="12" s="1"/>
  <c r="Q6" i="12" a="1"/>
  <c r="Q6" i="12" s="1"/>
  <c r="Q5" i="12" a="1"/>
  <c r="Q5" i="12" s="1"/>
  <c r="Q4" i="12" a="1"/>
  <c r="Q4" i="12" s="1"/>
  <c r="Q3" i="12" a="1"/>
  <c r="Q3" i="12" s="1"/>
  <c r="Q2" i="12" a="1"/>
  <c r="Q2" i="12" s="1"/>
  <c r="Q1" i="12" a="1"/>
  <c r="Q1" i="12" s="1"/>
  <c r="Q34" i="12" a="1"/>
  <c r="Q34" i="12" s="1"/>
  <c r="Q21" i="12" a="1"/>
  <c r="Q21" i="12" s="1"/>
  <c r="Q37" i="12" a="1"/>
  <c r="Q37" i="12" s="1"/>
  <c r="Q22" i="12" a="1"/>
  <c r="Q22" i="12" s="1"/>
  <c r="Q11" i="12" a="1"/>
  <c r="Q11" i="12" s="1"/>
  <c r="Q8" i="12" a="1"/>
  <c r="Q8" i="12" s="1"/>
  <c r="R116" i="12"/>
  <c r="W116" i="12"/>
  <c r="AC111" i="12"/>
  <c r="Y111" i="12"/>
  <c r="Z3" i="9"/>
  <c r="O3" i="4"/>
  <c r="R123" i="12"/>
  <c r="W123" i="12"/>
  <c r="A237" i="8"/>
  <c r="J237" i="8"/>
  <c r="F237" i="8"/>
  <c r="G237" i="8" s="1"/>
  <c r="A229" i="8"/>
  <c r="J229" i="8"/>
  <c r="F229" i="8"/>
  <c r="G229" i="8" s="1"/>
  <c r="W117" i="12"/>
  <c r="R117" i="12"/>
  <c r="Z4" i="9"/>
  <c r="Y3" i="9"/>
  <c r="AC115" i="12"/>
  <c r="Y115" i="12"/>
  <c r="H17" i="10"/>
  <c r="T126" i="12"/>
  <c r="H8" i="11"/>
  <c r="I8" i="11" s="1"/>
  <c r="N8" i="11"/>
  <c r="T135" i="12" s="1"/>
  <c r="AC114" i="12"/>
  <c r="Y114" i="12"/>
  <c r="AM6" i="9"/>
  <c r="A244" i="8"/>
  <c r="J244" i="8"/>
  <c r="F244" i="8"/>
  <c r="G244" i="8" s="1"/>
  <c r="R120" i="12"/>
  <c r="W120" i="12"/>
  <c r="B7" i="9"/>
  <c r="A236" i="8"/>
  <c r="F236" i="8"/>
  <c r="G236" i="8" s="1"/>
  <c r="J236" i="8"/>
  <c r="J220" i="8"/>
  <c r="F220" i="8"/>
  <c r="G220" i="8" s="1"/>
  <c r="A220" i="8"/>
  <c r="A11" i="9" a="1"/>
  <c r="A11" i="9" s="1"/>
  <c r="W132" i="12"/>
  <c r="R132" i="12"/>
  <c r="T121" i="12"/>
  <c r="H3" i="11"/>
  <c r="I3" i="11" s="1"/>
  <c r="N3" i="11"/>
  <c r="T130" i="12" s="1"/>
  <c r="R112" i="12"/>
  <c r="W112" i="12"/>
  <c r="A10" i="4" a="1"/>
  <c r="A10" i="4" s="1"/>
  <c r="O8" i="4"/>
  <c r="AB8" i="9" s="1"/>
  <c r="G8" i="4"/>
  <c r="L8" i="9" s="1"/>
  <c r="W8" i="4"/>
  <c r="AN8" i="9" s="1"/>
  <c r="N8" i="4"/>
  <c r="Z8" i="9" s="1"/>
  <c r="F8" i="4"/>
  <c r="J8" i="9" s="1"/>
  <c r="S8" i="4"/>
  <c r="AJ8" i="9" s="1"/>
  <c r="I8" i="4"/>
  <c r="P8" i="9" s="1"/>
  <c r="Q8" i="4"/>
  <c r="AF8" i="9" s="1"/>
  <c r="E8" i="4"/>
  <c r="H8" i="9" s="1"/>
  <c r="V8" i="4"/>
  <c r="AM8" i="9" s="1"/>
  <c r="K8" i="4"/>
  <c r="T8" i="9" s="1"/>
  <c r="L8" i="4"/>
  <c r="V8" i="9" s="1"/>
  <c r="J8" i="4"/>
  <c r="R8" i="9" s="1"/>
  <c r="H8" i="4"/>
  <c r="N8" i="9" s="1"/>
  <c r="D8" i="4"/>
  <c r="F8" i="9" s="1"/>
  <c r="M8" i="4"/>
  <c r="X8" i="9" s="1"/>
  <c r="T8" i="4"/>
  <c r="AL8" i="9" s="1"/>
  <c r="C8" i="4"/>
  <c r="D8" i="9" s="1"/>
  <c r="R8" i="4"/>
  <c r="AH8" i="9" s="1"/>
  <c r="B8" i="4"/>
  <c r="B8" i="9" s="1"/>
  <c r="P8" i="4"/>
  <c r="AD8" i="9" s="1"/>
  <c r="W129" i="12"/>
  <c r="R129" i="12"/>
  <c r="H6" i="11"/>
  <c r="I6" i="11" s="1"/>
  <c r="T122" i="12"/>
  <c r="N4" i="11"/>
  <c r="T131" i="12" s="1"/>
  <c r="H4" i="11"/>
  <c r="I4" i="11" s="1"/>
  <c r="A10" i="9" a="1"/>
  <c r="A10" i="9" s="1"/>
  <c r="S2" i="2"/>
  <c r="T1" i="2" a="1"/>
  <c r="Q1" i="2" a="1"/>
  <c r="M1" i="8" a="1"/>
  <c r="P2" i="2"/>
  <c r="B3" i="6" a="1"/>
  <c r="J1" i="2" a="1"/>
  <c r="M1" i="2" a="1"/>
  <c r="AF9" i="9" l="1"/>
  <c r="N9" i="9"/>
  <c r="AJ9" i="9"/>
  <c r="F9" i="9"/>
  <c r="AD9" i="9"/>
  <c r="D9" i="9"/>
  <c r="Z9" i="9"/>
  <c r="J9" i="9"/>
  <c r="T9" i="9"/>
  <c r="AH9" i="9"/>
  <c r="V9" i="9"/>
  <c r="H9" i="9"/>
  <c r="L9" i="9"/>
  <c r="X9" i="9"/>
  <c r="AB9" i="9"/>
  <c r="P9" i="9"/>
  <c r="R9" i="9"/>
  <c r="B9" i="9"/>
  <c r="T1" i="2"/>
  <c r="Q1" i="2"/>
  <c r="K71" i="8" s="1"/>
  <c r="M1" i="8"/>
  <c r="M1" i="2"/>
  <c r="J1" i="2"/>
  <c r="B3" i="6"/>
  <c r="K2" i="8"/>
  <c r="R131" i="12"/>
  <c r="W131" i="12"/>
  <c r="W122" i="12"/>
  <c r="R122" i="12"/>
  <c r="W130" i="12"/>
  <c r="R130" i="12"/>
  <c r="Z34" i="12"/>
  <c r="AA34" i="12" s="1"/>
  <c r="S34" i="12"/>
  <c r="V34" i="12"/>
  <c r="Y34" i="12"/>
  <c r="X34" i="12" a="1"/>
  <c r="X34" i="12" s="1"/>
  <c r="W34" i="12"/>
  <c r="U34" i="12"/>
  <c r="T34" i="12"/>
  <c r="R34" i="12"/>
  <c r="AC34" i="12" s="1"/>
  <c r="V16" i="12"/>
  <c r="U16" i="12"/>
  <c r="S16" i="12"/>
  <c r="Y16" i="12"/>
  <c r="X16" i="12" a="1"/>
  <c r="X16" i="12" s="1"/>
  <c r="W16" i="12"/>
  <c r="T16" i="12"/>
  <c r="R16" i="12"/>
  <c r="AC16" i="12" s="1"/>
  <c r="Z16" i="12"/>
  <c r="AA16" i="12" s="1"/>
  <c r="Z28" i="12"/>
  <c r="AA28" i="12" s="1"/>
  <c r="S28" i="12"/>
  <c r="V28" i="12"/>
  <c r="Y28" i="12"/>
  <c r="X28" i="12" a="1"/>
  <c r="X28" i="12" s="1"/>
  <c r="W28" i="12"/>
  <c r="U28" i="12"/>
  <c r="T28" i="12"/>
  <c r="R28" i="12"/>
  <c r="AC28" i="12" s="1"/>
  <c r="Z35" i="12"/>
  <c r="AA35" i="12" s="1"/>
  <c r="S35" i="12"/>
  <c r="V35" i="12"/>
  <c r="W35" i="12"/>
  <c r="U35" i="12"/>
  <c r="T35" i="12"/>
  <c r="R35" i="12"/>
  <c r="AC35" i="12" s="1"/>
  <c r="Y35" i="12"/>
  <c r="X35" i="12" a="1"/>
  <c r="X35" i="12" s="1"/>
  <c r="W44" i="12"/>
  <c r="T44" i="12"/>
  <c r="Y44" i="12"/>
  <c r="V44" i="12"/>
  <c r="U44" i="12"/>
  <c r="S44" i="12"/>
  <c r="Z44" i="12"/>
  <c r="AA44" i="12" s="1"/>
  <c r="X44" i="12" a="1"/>
  <c r="X44" i="12" s="1"/>
  <c r="R44" i="12"/>
  <c r="AC44" i="12" s="1"/>
  <c r="Z47" i="12"/>
  <c r="AA47" i="12" s="1"/>
  <c r="S47" i="12"/>
  <c r="Y47" i="12"/>
  <c r="R47" i="12"/>
  <c r="AC47" i="12" s="1"/>
  <c r="W47" i="12"/>
  <c r="T47" i="12"/>
  <c r="X47" i="12" a="1"/>
  <c r="X47" i="12" s="1"/>
  <c r="U47" i="12"/>
  <c r="V47" i="12"/>
  <c r="Y133" i="12"/>
  <c r="AC133" i="12"/>
  <c r="Y124" i="12"/>
  <c r="AC124" i="12"/>
  <c r="A238" i="8"/>
  <c r="J238" i="8"/>
  <c r="F238" i="8"/>
  <c r="G238" i="8" s="1"/>
  <c r="V1" i="12"/>
  <c r="U1" i="12"/>
  <c r="T1" i="12"/>
  <c r="Z1" i="12"/>
  <c r="AA1" i="12" s="1"/>
  <c r="S1" i="12"/>
  <c r="Y1" i="12"/>
  <c r="R1" i="12"/>
  <c r="X1" i="12" a="1"/>
  <c r="X1" i="12" s="1"/>
  <c r="W1" i="12"/>
  <c r="T10" i="12"/>
  <c r="S10" i="12"/>
  <c r="Y10" i="12"/>
  <c r="Z10" i="12"/>
  <c r="AA10" i="12" s="1"/>
  <c r="X10" i="12" a="1"/>
  <c r="X10" i="12" s="1"/>
  <c r="W10" i="12"/>
  <c r="V10" i="12"/>
  <c r="R10" i="12"/>
  <c r="AC10" i="12" s="1"/>
  <c r="U10" i="12"/>
  <c r="AC113" i="12"/>
  <c r="Y113" i="12"/>
  <c r="A12" i="9" a="1"/>
  <c r="A12" i="9" s="1"/>
  <c r="R121" i="12"/>
  <c r="W121" i="12"/>
  <c r="R135" i="12"/>
  <c r="W135" i="12"/>
  <c r="AC116" i="12"/>
  <c r="Y116" i="12"/>
  <c r="V2" i="12"/>
  <c r="U2" i="12"/>
  <c r="T2" i="12"/>
  <c r="Z2" i="12"/>
  <c r="AA2" i="12" s="1"/>
  <c r="S2" i="12"/>
  <c r="Y2" i="12"/>
  <c r="R2" i="12"/>
  <c r="AC2" i="12" s="1"/>
  <c r="X2" i="12" a="1"/>
  <c r="X2" i="12" s="1"/>
  <c r="W2" i="12"/>
  <c r="Z29" i="12"/>
  <c r="AA29" i="12" s="1"/>
  <c r="S29" i="12"/>
  <c r="V29" i="12"/>
  <c r="W29" i="12"/>
  <c r="U29" i="12"/>
  <c r="T29" i="12"/>
  <c r="R29" i="12"/>
  <c r="AC29" i="12" s="1"/>
  <c r="Y29" i="12"/>
  <c r="X29" i="12" a="1"/>
  <c r="X29" i="12" s="1"/>
  <c r="T18" i="12"/>
  <c r="S18" i="12"/>
  <c r="Y18" i="12"/>
  <c r="Z18" i="12"/>
  <c r="AA18" i="12" s="1"/>
  <c r="X18" i="12" a="1"/>
  <c r="X18" i="12" s="1"/>
  <c r="W18" i="12"/>
  <c r="V18" i="12"/>
  <c r="U18" i="12"/>
  <c r="R18" i="12"/>
  <c r="AC18" i="12" s="1"/>
  <c r="V20" i="12"/>
  <c r="R20" i="12"/>
  <c r="AC20" i="12" s="1"/>
  <c r="Z20" i="12"/>
  <c r="AA20" i="12" s="1"/>
  <c r="Y20" i="12"/>
  <c r="X20" i="12" a="1"/>
  <c r="X20" i="12" s="1"/>
  <c r="U20" i="12"/>
  <c r="T20" i="12"/>
  <c r="S20" i="12"/>
  <c r="W20" i="12"/>
  <c r="V43" i="12"/>
  <c r="Z43" i="12"/>
  <c r="AA43" i="12" s="1"/>
  <c r="S43" i="12"/>
  <c r="W43" i="12"/>
  <c r="T43" i="12"/>
  <c r="R43" i="12"/>
  <c r="AC43" i="12" s="1"/>
  <c r="Y43" i="12"/>
  <c r="X43" i="12" a="1"/>
  <c r="X43" i="12" s="1"/>
  <c r="U43" i="12"/>
  <c r="U49" i="12"/>
  <c r="T49" i="12"/>
  <c r="X49" i="12" a="1"/>
  <c r="X49" i="12" s="1"/>
  <c r="R49" i="12"/>
  <c r="AC49" i="12" s="1"/>
  <c r="Z49" i="12"/>
  <c r="AA49" i="12" s="1"/>
  <c r="Y49" i="12"/>
  <c r="W49" i="12"/>
  <c r="S49" i="12"/>
  <c r="V49" i="12"/>
  <c r="Z12" i="12"/>
  <c r="AA12" i="12" s="1"/>
  <c r="R12" i="12"/>
  <c r="AC12" i="12" s="1"/>
  <c r="Y12" i="12"/>
  <c r="W12" i="12"/>
  <c r="X12" i="12" a="1"/>
  <c r="X12" i="12" s="1"/>
  <c r="V12" i="12"/>
  <c r="U12" i="12"/>
  <c r="T12" i="12"/>
  <c r="S12" i="12"/>
  <c r="AC117" i="12"/>
  <c r="Y117" i="12"/>
  <c r="V3" i="12"/>
  <c r="U3" i="12"/>
  <c r="T3" i="12"/>
  <c r="Z3" i="12"/>
  <c r="AA3" i="12" s="1"/>
  <c r="S3" i="12"/>
  <c r="Y3" i="12"/>
  <c r="R3" i="12"/>
  <c r="AC3" i="12" s="1"/>
  <c r="X3" i="12" a="1"/>
  <c r="X3" i="12" s="1"/>
  <c r="W3" i="12"/>
  <c r="W15" i="12"/>
  <c r="V15" i="12"/>
  <c r="T15" i="12"/>
  <c r="X15" i="12" a="1"/>
  <c r="X15" i="12" s="1"/>
  <c r="U15" i="12"/>
  <c r="S15" i="12"/>
  <c r="R15" i="12"/>
  <c r="AC15" i="12" s="1"/>
  <c r="Z15" i="12"/>
  <c r="AA15" i="12" s="1"/>
  <c r="Y15" i="12"/>
  <c r="V23" i="12"/>
  <c r="T23" i="12"/>
  <c r="S23" i="12"/>
  <c r="R23" i="12"/>
  <c r="AC23" i="12" s="1"/>
  <c r="Z23" i="12"/>
  <c r="AA23" i="12" s="1"/>
  <c r="Y23" i="12"/>
  <c r="X23" i="12" a="1"/>
  <c r="X23" i="12" s="1"/>
  <c r="W23" i="12"/>
  <c r="U23" i="12"/>
  <c r="Z30" i="12"/>
  <c r="AA30" i="12" s="1"/>
  <c r="S30" i="12"/>
  <c r="V30" i="12"/>
  <c r="R30" i="12"/>
  <c r="AC30" i="12" s="1"/>
  <c r="Y30" i="12"/>
  <c r="X30" i="12" a="1"/>
  <c r="X30" i="12" s="1"/>
  <c r="W30" i="12"/>
  <c r="U30" i="12"/>
  <c r="T30" i="12"/>
  <c r="V50" i="12"/>
  <c r="U50" i="12"/>
  <c r="Y50" i="12"/>
  <c r="R50" i="12"/>
  <c r="AC50" i="12" s="1"/>
  <c r="X50" i="12" a="1"/>
  <c r="X50" i="12" s="1"/>
  <c r="W50" i="12"/>
  <c r="T50" i="12"/>
  <c r="S50" i="12"/>
  <c r="Z50" i="12"/>
  <c r="AA50" i="12" s="1"/>
  <c r="Y46" i="12"/>
  <c r="R46" i="12"/>
  <c r="AC46" i="12" s="1"/>
  <c r="X46" i="12" a="1"/>
  <c r="X46" i="12" s="1"/>
  <c r="V46" i="12"/>
  <c r="T46" i="12"/>
  <c r="S46" i="12"/>
  <c r="Z46" i="12"/>
  <c r="AA46" i="12" s="1"/>
  <c r="U46" i="12"/>
  <c r="W46" i="12"/>
  <c r="W134" i="12"/>
  <c r="R134" i="12"/>
  <c r="T48" i="12"/>
  <c r="Z48" i="12"/>
  <c r="AA48" i="12" s="1"/>
  <c r="S48" i="12"/>
  <c r="R48" i="12"/>
  <c r="AC48" i="12" s="1"/>
  <c r="Y48" i="12"/>
  <c r="X48" i="12" a="1"/>
  <c r="X48" i="12" s="1"/>
  <c r="W48" i="12"/>
  <c r="U48" i="12"/>
  <c r="V48" i="12"/>
  <c r="Y132" i="12"/>
  <c r="AC132" i="12"/>
  <c r="W8" i="12"/>
  <c r="V8" i="12"/>
  <c r="U8" i="12"/>
  <c r="T8" i="12"/>
  <c r="S8" i="12"/>
  <c r="Z8" i="12"/>
  <c r="AA8" i="12" s="1"/>
  <c r="R8" i="12"/>
  <c r="AC8" i="12" s="1"/>
  <c r="X8" i="12" a="1"/>
  <c r="X8" i="12" s="1"/>
  <c r="Y8" i="12"/>
  <c r="W126" i="12"/>
  <c r="R126" i="12"/>
  <c r="AC123" i="12"/>
  <c r="Y123" i="12"/>
  <c r="S11" i="12"/>
  <c r="Z11" i="12"/>
  <c r="AA11" i="12" s="1"/>
  <c r="R11" i="12"/>
  <c r="AC11" i="12" s="1"/>
  <c r="X11" i="12" a="1"/>
  <c r="X11" i="12" s="1"/>
  <c r="Y11" i="12"/>
  <c r="W11" i="12"/>
  <c r="V11" i="12"/>
  <c r="U11" i="12"/>
  <c r="T11" i="12"/>
  <c r="V4" i="12"/>
  <c r="U4" i="12"/>
  <c r="T4" i="12"/>
  <c r="Z4" i="12"/>
  <c r="AA4" i="12" s="1"/>
  <c r="S4" i="12"/>
  <c r="Y4" i="12"/>
  <c r="R4" i="12"/>
  <c r="AC4" i="12" s="1"/>
  <c r="X4" i="12" a="1"/>
  <c r="X4" i="12" s="1"/>
  <c r="W4" i="12"/>
  <c r="X14" i="12" a="1"/>
  <c r="X14" i="12" s="1"/>
  <c r="W14" i="12"/>
  <c r="U14" i="12"/>
  <c r="T14" i="12"/>
  <c r="S14" i="12"/>
  <c r="R14" i="12"/>
  <c r="AC14" i="12" s="1"/>
  <c r="Z14" i="12"/>
  <c r="AA14" i="12" s="1"/>
  <c r="Y14" i="12"/>
  <c r="V14" i="12"/>
  <c r="Z24" i="12"/>
  <c r="AA24" i="12" s="1"/>
  <c r="S24" i="12"/>
  <c r="V24" i="12"/>
  <c r="U24" i="12"/>
  <c r="T24" i="12"/>
  <c r="R24" i="12"/>
  <c r="AC24" i="12" s="1"/>
  <c r="Y24" i="12"/>
  <c r="X24" i="12" a="1"/>
  <c r="X24" i="12" s="1"/>
  <c r="W24" i="12"/>
  <c r="Y13" i="12"/>
  <c r="X13" i="12" a="1"/>
  <c r="X13" i="12" s="1"/>
  <c r="V13" i="12"/>
  <c r="S13" i="12"/>
  <c r="R13" i="12"/>
  <c r="AC13" i="12" s="1"/>
  <c r="Z13" i="12"/>
  <c r="AA13" i="12" s="1"/>
  <c r="W13" i="12"/>
  <c r="U13" i="12"/>
  <c r="T13" i="12"/>
  <c r="T41" i="12"/>
  <c r="Y41" i="12"/>
  <c r="R41" i="12"/>
  <c r="AC41" i="12" s="1"/>
  <c r="X41" i="12" a="1"/>
  <c r="X41" i="12" s="1"/>
  <c r="W41" i="12"/>
  <c r="Z41" i="12"/>
  <c r="AA41" i="12" s="1"/>
  <c r="V41" i="12"/>
  <c r="U41" i="12"/>
  <c r="S41" i="12"/>
  <c r="X45" i="12" a="1"/>
  <c r="X45" i="12" s="1"/>
  <c r="U45" i="12"/>
  <c r="T45" i="12"/>
  <c r="R45" i="12"/>
  <c r="AC45" i="12" s="1"/>
  <c r="Z45" i="12"/>
  <c r="AA45" i="12" s="1"/>
  <c r="Y45" i="12"/>
  <c r="V45" i="12"/>
  <c r="S45" i="12"/>
  <c r="W45" i="12"/>
  <c r="H7" i="11"/>
  <c r="I7" i="11" s="1"/>
  <c r="J230" i="8"/>
  <c r="A230" i="8"/>
  <c r="F230" i="8"/>
  <c r="G230" i="8" s="1"/>
  <c r="A13" i="9" a="1"/>
  <c r="A13" i="9" s="1"/>
  <c r="Y120" i="12"/>
  <c r="AC120" i="12"/>
  <c r="U42" i="12"/>
  <c r="Z42" i="12"/>
  <c r="AA42" i="12" s="1"/>
  <c r="S42" i="12"/>
  <c r="Y42" i="12"/>
  <c r="R42" i="12"/>
  <c r="AC42" i="12" s="1"/>
  <c r="X42" i="12" a="1"/>
  <c r="X42" i="12" s="1"/>
  <c r="V42" i="12"/>
  <c r="W42" i="12"/>
  <c r="T42" i="12"/>
  <c r="V22" i="12"/>
  <c r="W22" i="12"/>
  <c r="U22" i="12"/>
  <c r="T22" i="12"/>
  <c r="S22" i="12"/>
  <c r="Z22" i="12"/>
  <c r="AA22" i="12" s="1"/>
  <c r="Y22" i="12"/>
  <c r="X22" i="12" a="1"/>
  <c r="X22" i="12" s="1"/>
  <c r="R22" i="12"/>
  <c r="AC22" i="12" s="1"/>
  <c r="V5" i="12"/>
  <c r="U5" i="12"/>
  <c r="T5" i="12"/>
  <c r="Z5" i="12"/>
  <c r="AA5" i="12" s="1"/>
  <c r="S5" i="12"/>
  <c r="Y5" i="12"/>
  <c r="R5" i="12"/>
  <c r="AC5" i="12" s="1"/>
  <c r="X5" i="12" a="1"/>
  <c r="X5" i="12" s="1"/>
  <c r="W5" i="12"/>
  <c r="Z26" i="12"/>
  <c r="AA26" i="12" s="1"/>
  <c r="S26" i="12"/>
  <c r="V26" i="12"/>
  <c r="X26" i="12" a="1"/>
  <c r="X26" i="12" s="1"/>
  <c r="W26" i="12"/>
  <c r="U26" i="12"/>
  <c r="T26" i="12"/>
  <c r="Y26" i="12"/>
  <c r="R26" i="12"/>
  <c r="AC26" i="12" s="1"/>
  <c r="Z32" i="12"/>
  <c r="AA32" i="12" s="1"/>
  <c r="S32" i="12"/>
  <c r="V32" i="12"/>
  <c r="W32" i="12"/>
  <c r="U32" i="12"/>
  <c r="T32" i="12"/>
  <c r="R32" i="12"/>
  <c r="AC32" i="12" s="1"/>
  <c r="Y32" i="12"/>
  <c r="X32" i="12" a="1"/>
  <c r="X32" i="12" s="1"/>
  <c r="Z25" i="12"/>
  <c r="AA25" i="12" s="1"/>
  <c r="S25" i="12"/>
  <c r="V25" i="12"/>
  <c r="Y25" i="12"/>
  <c r="X25" i="12" a="1"/>
  <c r="X25" i="12" s="1"/>
  <c r="R25" i="12"/>
  <c r="AC25" i="12" s="1"/>
  <c r="W25" i="12"/>
  <c r="U25" i="12"/>
  <c r="T25" i="12"/>
  <c r="Z38" i="12"/>
  <c r="AA38" i="12" s="1"/>
  <c r="S38" i="12"/>
  <c r="X38" i="12" a="1"/>
  <c r="X38" i="12" s="1"/>
  <c r="V38" i="12"/>
  <c r="W38" i="12"/>
  <c r="U38" i="12"/>
  <c r="T38" i="12"/>
  <c r="R38" i="12"/>
  <c r="AC38" i="12" s="1"/>
  <c r="Y38" i="12"/>
  <c r="W125" i="12"/>
  <c r="R125" i="12"/>
  <c r="R11" i="4"/>
  <c r="AH11" i="9" s="1"/>
  <c r="J11" i="4"/>
  <c r="R11" i="9" s="1"/>
  <c r="B11" i="4"/>
  <c r="Q11" i="4"/>
  <c r="AF11" i="9" s="1"/>
  <c r="I11" i="4"/>
  <c r="P11" i="9" s="1"/>
  <c r="N11" i="4"/>
  <c r="Z11" i="9" s="1"/>
  <c r="D11" i="4"/>
  <c r="F11" i="9" s="1"/>
  <c r="W11" i="4"/>
  <c r="AN11" i="9" s="1"/>
  <c r="L11" i="4"/>
  <c r="V11" i="9" s="1"/>
  <c r="P11" i="4"/>
  <c r="AD11" i="9" s="1"/>
  <c r="F11" i="4"/>
  <c r="J11" i="9" s="1"/>
  <c r="K11" i="4"/>
  <c r="T11" i="9" s="1"/>
  <c r="G11" i="4"/>
  <c r="L11" i="9" s="1"/>
  <c r="H11" i="4"/>
  <c r="N11" i="9" s="1"/>
  <c r="V11" i="4"/>
  <c r="AM11" i="9" s="1"/>
  <c r="E11" i="4"/>
  <c r="H11" i="9" s="1"/>
  <c r="T11" i="4"/>
  <c r="AL11" i="9" s="1"/>
  <c r="C11" i="4"/>
  <c r="D11" i="9" s="1"/>
  <c r="A13" i="4" a="1"/>
  <c r="A13" i="4" s="1"/>
  <c r="S11" i="4"/>
  <c r="AJ11" i="9" s="1"/>
  <c r="M11" i="4"/>
  <c r="X11" i="9" s="1"/>
  <c r="O11" i="4"/>
  <c r="AB11" i="9" s="1"/>
  <c r="A25" i="10"/>
  <c r="AB4" i="9"/>
  <c r="AA3" i="9"/>
  <c r="Z37" i="12"/>
  <c r="AA37" i="12" s="1"/>
  <c r="S37" i="12"/>
  <c r="V37" i="12"/>
  <c r="Y37" i="12"/>
  <c r="X37" i="12" a="1"/>
  <c r="X37" i="12" s="1"/>
  <c r="W37" i="12"/>
  <c r="U37" i="12"/>
  <c r="T37" i="12"/>
  <c r="R37" i="12"/>
  <c r="AC37" i="12" s="1"/>
  <c r="V6" i="12"/>
  <c r="U6" i="12"/>
  <c r="T6" i="12"/>
  <c r="Z6" i="12"/>
  <c r="AA6" i="12" s="1"/>
  <c r="S6" i="12"/>
  <c r="Y6" i="12"/>
  <c r="R6" i="12"/>
  <c r="AC6" i="12" s="1"/>
  <c r="X6" i="12" a="1"/>
  <c r="X6" i="12" s="1"/>
  <c r="W6" i="12"/>
  <c r="Z31" i="12"/>
  <c r="AA31" i="12" s="1"/>
  <c r="S31" i="12"/>
  <c r="V31" i="12"/>
  <c r="Y31" i="12"/>
  <c r="X31" i="12" a="1"/>
  <c r="X31" i="12" s="1"/>
  <c r="W31" i="12"/>
  <c r="U31" i="12"/>
  <c r="T31" i="12"/>
  <c r="R31" i="12"/>
  <c r="AC31" i="12" s="1"/>
  <c r="S19" i="12"/>
  <c r="Z19" i="12"/>
  <c r="AA19" i="12" s="1"/>
  <c r="R19" i="12"/>
  <c r="AC19" i="12" s="1"/>
  <c r="Y19" i="12"/>
  <c r="X19" i="12" a="1"/>
  <c r="X19" i="12" s="1"/>
  <c r="W19" i="12"/>
  <c r="V19" i="12"/>
  <c r="U19" i="12"/>
  <c r="T19" i="12"/>
  <c r="Z33" i="12"/>
  <c r="AA33" i="12" s="1"/>
  <c r="S33" i="12"/>
  <c r="V33" i="12"/>
  <c r="R33" i="12"/>
  <c r="AC33" i="12" s="1"/>
  <c r="Y33" i="12"/>
  <c r="X33" i="12" a="1"/>
  <c r="X33" i="12" s="1"/>
  <c r="W33" i="12"/>
  <c r="U33" i="12"/>
  <c r="T33" i="12"/>
  <c r="Z39" i="12"/>
  <c r="AA39" i="12" s="1"/>
  <c r="S39" i="12"/>
  <c r="X39" i="12" a="1"/>
  <c r="X39" i="12" s="1"/>
  <c r="V39" i="12"/>
  <c r="Y39" i="12"/>
  <c r="W39" i="12"/>
  <c r="U39" i="12"/>
  <c r="T39" i="12"/>
  <c r="R39" i="12"/>
  <c r="AC39" i="12" s="1"/>
  <c r="I6" i="2"/>
  <c r="L5" i="8"/>
  <c r="L75" i="8"/>
  <c r="L145" i="8"/>
  <c r="J222" i="8"/>
  <c r="F222" i="8"/>
  <c r="G222" i="8" s="1"/>
  <c r="A222" i="8"/>
  <c r="A223" i="8" s="1"/>
  <c r="A227" i="8" s="1"/>
  <c r="A246" i="8"/>
  <c r="J246" i="8"/>
  <c r="F246" i="8"/>
  <c r="G246" i="8" s="1"/>
  <c r="Y129" i="12"/>
  <c r="AC129" i="12"/>
  <c r="U17" i="12"/>
  <c r="T17" i="12"/>
  <c r="Z17" i="12"/>
  <c r="AA17" i="12" s="1"/>
  <c r="R17" i="12"/>
  <c r="AC17" i="12" s="1"/>
  <c r="Y17" i="12"/>
  <c r="X17" i="12" a="1"/>
  <c r="X17" i="12" s="1"/>
  <c r="W17" i="12"/>
  <c r="V17" i="12"/>
  <c r="S17" i="12"/>
  <c r="Q10" i="4"/>
  <c r="AF10" i="9" s="1"/>
  <c r="I10" i="4"/>
  <c r="P10" i="9" s="1"/>
  <c r="P10" i="4"/>
  <c r="AD10" i="9" s="1"/>
  <c r="H10" i="4"/>
  <c r="N10" i="9" s="1"/>
  <c r="A12" i="4" a="1"/>
  <c r="A12" i="4" s="1"/>
  <c r="O10" i="4"/>
  <c r="AB10" i="9" s="1"/>
  <c r="E10" i="4"/>
  <c r="H10" i="9" s="1"/>
  <c r="M10" i="4"/>
  <c r="X10" i="9" s="1"/>
  <c r="C10" i="4"/>
  <c r="D10" i="9" s="1"/>
  <c r="S10" i="4"/>
  <c r="AJ10" i="9" s="1"/>
  <c r="G10" i="4"/>
  <c r="L10" i="9" s="1"/>
  <c r="R10" i="4"/>
  <c r="AH10" i="9" s="1"/>
  <c r="L10" i="4"/>
  <c r="V10" i="9" s="1"/>
  <c r="N10" i="4"/>
  <c r="Z10" i="9" s="1"/>
  <c r="K10" i="4"/>
  <c r="T10" i="9" s="1"/>
  <c r="B10" i="4"/>
  <c r="J10" i="4"/>
  <c r="R10" i="9" s="1"/>
  <c r="W10" i="4"/>
  <c r="AN10" i="9" s="1"/>
  <c r="F10" i="4"/>
  <c r="J10" i="9" s="1"/>
  <c r="T10" i="4"/>
  <c r="AL10" i="9" s="1"/>
  <c r="V10" i="4"/>
  <c r="AM10" i="9" s="1"/>
  <c r="D10" i="4"/>
  <c r="F10" i="9" s="1"/>
  <c r="AB3" i="9"/>
  <c r="P3" i="4"/>
  <c r="AC112" i="12"/>
  <c r="Y112" i="12"/>
  <c r="V21" i="12"/>
  <c r="Y21" i="12"/>
  <c r="X21" i="12" a="1"/>
  <c r="X21" i="12" s="1"/>
  <c r="W21" i="12"/>
  <c r="U21" i="12"/>
  <c r="Z21" i="12"/>
  <c r="AA21" i="12" s="1"/>
  <c r="T21" i="12"/>
  <c r="S21" i="12"/>
  <c r="R21" i="12"/>
  <c r="AC21" i="12" s="1"/>
  <c r="V7" i="12"/>
  <c r="U7" i="12"/>
  <c r="T7" i="12"/>
  <c r="Z7" i="12"/>
  <c r="AA7" i="12" s="1"/>
  <c r="S7" i="12"/>
  <c r="Y7" i="12"/>
  <c r="R7" i="12"/>
  <c r="AC7" i="12" s="1"/>
  <c r="X7" i="12" a="1"/>
  <c r="X7" i="12" s="1"/>
  <c r="W7" i="12"/>
  <c r="W9" i="12"/>
  <c r="U9" i="12"/>
  <c r="R9" i="12"/>
  <c r="AC9" i="12" s="1"/>
  <c r="Z9" i="12"/>
  <c r="AA9" i="12" s="1"/>
  <c r="Y9" i="12"/>
  <c r="X9" i="12" a="1"/>
  <c r="X9" i="12" s="1"/>
  <c r="V9" i="12"/>
  <c r="S9" i="12"/>
  <c r="T9" i="12"/>
  <c r="Z27" i="12"/>
  <c r="AA27" i="12" s="1"/>
  <c r="S27" i="12"/>
  <c r="V27" i="12"/>
  <c r="T27" i="12"/>
  <c r="R27" i="12"/>
  <c r="AC27" i="12" s="1"/>
  <c r="W27" i="12"/>
  <c r="U27" i="12"/>
  <c r="Y27" i="12"/>
  <c r="X27" i="12" a="1"/>
  <c r="X27" i="12" s="1"/>
  <c r="Z36" i="12"/>
  <c r="AA36" i="12" s="1"/>
  <c r="S36" i="12"/>
  <c r="V36" i="12"/>
  <c r="R36" i="12"/>
  <c r="AC36" i="12" s="1"/>
  <c r="Y36" i="12"/>
  <c r="X36" i="12" a="1"/>
  <c r="X36" i="12" s="1"/>
  <c r="W36" i="12"/>
  <c r="U36" i="12"/>
  <c r="T36" i="12"/>
  <c r="Z40" i="12"/>
  <c r="AA40" i="12" s="1"/>
  <c r="S40" i="12"/>
  <c r="X40" i="12" a="1"/>
  <c r="X40" i="12" s="1"/>
  <c r="V40" i="12"/>
  <c r="W40" i="12"/>
  <c r="U40" i="12"/>
  <c r="T40" i="12"/>
  <c r="R40" i="12"/>
  <c r="AC40" i="12" s="1"/>
  <c r="Y40" i="12"/>
  <c r="Q2" i="2" a="1"/>
  <c r="T2" i="2" a="1"/>
  <c r="S3" i="2"/>
  <c r="U1" i="2" a="1"/>
  <c r="N1" i="2" a="1"/>
  <c r="R1" i="2" a="1"/>
  <c r="K1" i="2" a="1"/>
  <c r="J2" i="2" a="1"/>
  <c r="B4" i="6" a="1"/>
  <c r="P3" i="2"/>
  <c r="M2" i="2" a="1"/>
  <c r="M2" i="8" a="1"/>
  <c r="D1" i="8" a="1"/>
  <c r="T2" i="2" l="1"/>
  <c r="Q2" i="2"/>
  <c r="B11" i="9"/>
  <c r="U1" i="2"/>
  <c r="N1" i="2"/>
  <c r="R1" i="2"/>
  <c r="K1" i="2"/>
  <c r="D1" i="8"/>
  <c r="M2" i="8"/>
  <c r="M2" i="2"/>
  <c r="K3" i="8"/>
  <c r="B4" i="6"/>
  <c r="J2" i="2"/>
  <c r="AD3" i="9"/>
  <c r="Q3" i="4"/>
  <c r="AC135" i="12"/>
  <c r="Y135" i="12"/>
  <c r="AC121" i="12"/>
  <c r="Y121" i="12"/>
  <c r="Y122" i="12"/>
  <c r="AC122" i="12"/>
  <c r="S12" i="4"/>
  <c r="AJ12" i="9" s="1"/>
  <c r="K12" i="4"/>
  <c r="T12" i="9" s="1"/>
  <c r="C12" i="4"/>
  <c r="D12" i="9" s="1"/>
  <c r="R12" i="4"/>
  <c r="AH12" i="9" s="1"/>
  <c r="J12" i="4"/>
  <c r="R12" i="9" s="1"/>
  <c r="B12" i="4"/>
  <c r="M12" i="4"/>
  <c r="X12" i="9" s="1"/>
  <c r="V12" i="4"/>
  <c r="AM12" i="9" s="1"/>
  <c r="I12" i="4"/>
  <c r="P12" i="9" s="1"/>
  <c r="A14" i="4" a="1"/>
  <c r="A14" i="4" s="1"/>
  <c r="O12" i="4"/>
  <c r="AB12" i="9" s="1"/>
  <c r="E12" i="4"/>
  <c r="H12" i="9" s="1"/>
  <c r="W12" i="4"/>
  <c r="AN12" i="9" s="1"/>
  <c r="F12" i="4"/>
  <c r="J12" i="9" s="1"/>
  <c r="Q12" i="4"/>
  <c r="AF12" i="9" s="1"/>
  <c r="T12" i="4"/>
  <c r="AL12" i="9" s="1"/>
  <c r="D12" i="4"/>
  <c r="F12" i="9" s="1"/>
  <c r="P12" i="4"/>
  <c r="AD12" i="9" s="1"/>
  <c r="G12" i="4"/>
  <c r="L12" i="9" s="1"/>
  <c r="N12" i="4"/>
  <c r="Z12" i="9" s="1"/>
  <c r="L12" i="4"/>
  <c r="V12" i="9" s="1"/>
  <c r="H12" i="4"/>
  <c r="N12" i="9" s="1"/>
  <c r="R139" i="12" a="1"/>
  <c r="R139" i="12" s="1"/>
  <c r="R138" i="12" a="1"/>
  <c r="R138" i="12" s="1"/>
  <c r="AC1" i="12"/>
  <c r="I7" i="2"/>
  <c r="L6" i="8"/>
  <c r="L146" i="8"/>
  <c r="L76" i="8"/>
  <c r="T13" i="4"/>
  <c r="AL13" i="9" s="1"/>
  <c r="L13" i="4"/>
  <c r="V13" i="9" s="1"/>
  <c r="D13" i="4"/>
  <c r="F13" i="9" s="1"/>
  <c r="S13" i="4"/>
  <c r="AJ13" i="9" s="1"/>
  <c r="K13" i="4"/>
  <c r="T13" i="9" s="1"/>
  <c r="C13" i="4"/>
  <c r="D13" i="9" s="1"/>
  <c r="W13" i="4"/>
  <c r="AN13" i="9" s="1"/>
  <c r="J13" i="4"/>
  <c r="R13" i="9" s="1"/>
  <c r="R13" i="4"/>
  <c r="AH13" i="9" s="1"/>
  <c r="H13" i="4"/>
  <c r="N13" i="9" s="1"/>
  <c r="N13" i="4"/>
  <c r="Z13" i="9" s="1"/>
  <c r="B13" i="4"/>
  <c r="P13" i="4"/>
  <c r="AD13" i="9" s="1"/>
  <c r="M13" i="4"/>
  <c r="X13" i="9" s="1"/>
  <c r="O13" i="4"/>
  <c r="AB13" i="9" s="1"/>
  <c r="A15" i="4" a="1"/>
  <c r="A15" i="4" s="1"/>
  <c r="I13" i="4"/>
  <c r="P13" i="9" s="1"/>
  <c r="G13" i="4"/>
  <c r="L13" i="9" s="1"/>
  <c r="F13" i="4"/>
  <c r="J13" i="9" s="1"/>
  <c r="Q13" i="4"/>
  <c r="AF13" i="9" s="1"/>
  <c r="V13" i="4"/>
  <c r="AM13" i="9" s="1"/>
  <c r="E13" i="4"/>
  <c r="H13" i="9" s="1"/>
  <c r="H25" i="10"/>
  <c r="B10" i="9"/>
  <c r="AC131" i="12"/>
  <c r="Y131" i="12"/>
  <c r="A14" i="9" a="1"/>
  <c r="A14" i="9" s="1"/>
  <c r="Y130" i="12"/>
  <c r="AC130" i="12"/>
  <c r="Y134" i="12"/>
  <c r="AC134" i="12"/>
  <c r="AC3" i="9"/>
  <c r="AD4" i="9"/>
  <c r="A231" i="8"/>
  <c r="A235" i="8" s="1"/>
  <c r="A239" i="8" s="1"/>
  <c r="A243" i="8" s="1"/>
  <c r="Y125" i="12"/>
  <c r="AC125" i="12"/>
  <c r="A15" i="9" a="1"/>
  <c r="A15" i="9" s="1"/>
  <c r="Y126" i="12"/>
  <c r="AC126" i="12"/>
  <c r="Q3" i="2" a="1"/>
  <c r="T3" i="2" a="1"/>
  <c r="N2" i="2" a="1"/>
  <c r="K2" i="2" a="1"/>
  <c r="S4" i="2"/>
  <c r="O1" i="2" a="1"/>
  <c r="L1" i="2" a="1"/>
  <c r="J3" i="2" a="1"/>
  <c r="D2" i="8" a="1"/>
  <c r="P4" i="2"/>
  <c r="M3" i="2" a="1"/>
  <c r="M3" i="8" a="1"/>
  <c r="B5" i="6" a="1"/>
  <c r="K2" i="2" l="1"/>
  <c r="N2" i="2"/>
  <c r="T3" i="2"/>
  <c r="Q3" i="2"/>
  <c r="K72" i="8"/>
  <c r="O1" i="2"/>
  <c r="L1" i="2"/>
  <c r="K141" i="8"/>
  <c r="V1" i="2"/>
  <c r="B5" i="6"/>
  <c r="M3" i="8"/>
  <c r="M3" i="2"/>
  <c r="K4" i="8"/>
  <c r="D2" i="8"/>
  <c r="J3" i="2"/>
  <c r="AC138" i="12"/>
  <c r="U138" i="12" a="1"/>
  <c r="U138" i="12" s="1"/>
  <c r="Q138" i="12"/>
  <c r="Z138" i="12" s="1"/>
  <c r="AA138" i="12" s="1"/>
  <c r="T138" i="12" a="1"/>
  <c r="T138" i="12" s="1"/>
  <c r="W138" i="12" a="1"/>
  <c r="W138" i="12" s="1"/>
  <c r="S138" i="12" a="1"/>
  <c r="S138" i="12" s="1"/>
  <c r="V138" i="12" a="1"/>
  <c r="V138" i="12" s="1"/>
  <c r="Y138" i="12"/>
  <c r="I8" i="2"/>
  <c r="L147" i="8"/>
  <c r="L7" i="8"/>
  <c r="L77" i="8"/>
  <c r="AF4" i="9"/>
  <c r="AE3" i="9"/>
  <c r="A33" i="10"/>
  <c r="W15" i="4"/>
  <c r="AN15" i="9" s="1"/>
  <c r="N15" i="4"/>
  <c r="Z15" i="9" s="1"/>
  <c r="F15" i="4"/>
  <c r="J15" i="9" s="1"/>
  <c r="V15" i="4"/>
  <c r="AM15" i="9" s="1"/>
  <c r="M15" i="4"/>
  <c r="X15" i="9" s="1"/>
  <c r="E15" i="4"/>
  <c r="H15" i="9" s="1"/>
  <c r="R15" i="4"/>
  <c r="AH15" i="9" s="1"/>
  <c r="H15" i="4"/>
  <c r="N15" i="9" s="1"/>
  <c r="P15" i="4"/>
  <c r="AD15" i="9" s="1"/>
  <c r="D15" i="4"/>
  <c r="F15" i="9" s="1"/>
  <c r="T15" i="4"/>
  <c r="AL15" i="9" s="1"/>
  <c r="J15" i="4"/>
  <c r="R15" i="9" s="1"/>
  <c r="C15" i="4"/>
  <c r="D15" i="9" s="1"/>
  <c r="S15" i="4"/>
  <c r="AJ15" i="9" s="1"/>
  <c r="B15" i="4"/>
  <c r="Q15" i="4"/>
  <c r="AF15" i="9" s="1"/>
  <c r="O15" i="4"/>
  <c r="AB15" i="9" s="1"/>
  <c r="G15" i="4"/>
  <c r="L15" i="9" s="1"/>
  <c r="A17" i="4" a="1"/>
  <c r="A17" i="4" s="1"/>
  <c r="L15" i="4"/>
  <c r="V15" i="9" s="1"/>
  <c r="K15" i="4"/>
  <c r="T15" i="9" s="1"/>
  <c r="I15" i="4"/>
  <c r="P15" i="9" s="1"/>
  <c r="A17" i="9" a="1"/>
  <c r="A17" i="9" s="1"/>
  <c r="B13" i="9"/>
  <c r="B12" i="9"/>
  <c r="V14" i="4"/>
  <c r="AM14" i="9" s="1"/>
  <c r="M14" i="4"/>
  <c r="X14" i="9" s="1"/>
  <c r="E14" i="4"/>
  <c r="H14" i="9" s="1"/>
  <c r="T14" i="4"/>
  <c r="AL14" i="9" s="1"/>
  <c r="L14" i="4"/>
  <c r="V14" i="9" s="1"/>
  <c r="D14" i="4"/>
  <c r="F14" i="9" s="1"/>
  <c r="S14" i="4"/>
  <c r="AJ14" i="9" s="1"/>
  <c r="I14" i="4"/>
  <c r="P14" i="9" s="1"/>
  <c r="Q14" i="4"/>
  <c r="AF14" i="9" s="1"/>
  <c r="G14" i="4"/>
  <c r="L14" i="9" s="1"/>
  <c r="K14" i="4"/>
  <c r="T14" i="9" s="1"/>
  <c r="J14" i="4"/>
  <c r="R14" i="9" s="1"/>
  <c r="F14" i="4"/>
  <c r="J14" i="9" s="1"/>
  <c r="H14" i="4"/>
  <c r="N14" i="9" s="1"/>
  <c r="W14" i="4"/>
  <c r="AN14" i="9" s="1"/>
  <c r="C14" i="4"/>
  <c r="D14" i="9" s="1"/>
  <c r="R14" i="4"/>
  <c r="AH14" i="9" s="1"/>
  <c r="B14" i="4"/>
  <c r="P14" i="4"/>
  <c r="AD14" i="9" s="1"/>
  <c r="N14" i="4"/>
  <c r="Z14" i="9" s="1"/>
  <c r="O14" i="4"/>
  <c r="AB14" i="9" s="1"/>
  <c r="A16" i="4" a="1"/>
  <c r="A16" i="4" s="1"/>
  <c r="F1" i="8"/>
  <c r="G1" i="8" s="1"/>
  <c r="J1" i="8"/>
  <c r="N1" i="8"/>
  <c r="Q1" i="8" s="1"/>
  <c r="P1" i="8" s="1"/>
  <c r="A16" i="9" a="1"/>
  <c r="A16" i="9" s="1"/>
  <c r="Y139" i="12"/>
  <c r="W139" i="12" a="1"/>
  <c r="W139" i="12" s="1"/>
  <c r="S139" i="12" a="1"/>
  <c r="S139" i="12" s="1"/>
  <c r="V139" i="12" a="1"/>
  <c r="V139" i="12" s="1"/>
  <c r="U139" i="12" a="1"/>
  <c r="U139" i="12" s="1"/>
  <c r="T139" i="12" a="1"/>
  <c r="T139" i="12" s="1"/>
  <c r="Q139" i="12"/>
  <c r="Z139" i="12" s="1"/>
  <c r="AA139" i="12" s="1"/>
  <c r="AC139" i="12"/>
  <c r="AF3" i="9"/>
  <c r="R3" i="4"/>
  <c r="Q4" i="2" a="1"/>
  <c r="T4" i="2" a="1"/>
  <c r="U2" i="2" a="1"/>
  <c r="S5" i="2"/>
  <c r="N3" i="2" a="1"/>
  <c r="R2" i="2" a="1"/>
  <c r="K3" i="2" a="1"/>
  <c r="M4" i="2" a="1"/>
  <c r="D3" i="8" a="1"/>
  <c r="M4" i="8" a="1"/>
  <c r="J4" i="2" a="1"/>
  <c r="B6" i="6" a="1"/>
  <c r="P5" i="2"/>
  <c r="K3" i="2" l="1"/>
  <c r="R2" i="2"/>
  <c r="N3" i="2"/>
  <c r="U2" i="2"/>
  <c r="T4" i="2"/>
  <c r="Q4" i="2"/>
  <c r="K73" i="8"/>
  <c r="O1" i="8"/>
  <c r="W1" i="2"/>
  <c r="C71" i="8" s="1"/>
  <c r="K5" i="8"/>
  <c r="M5" i="8" s="1" a="1"/>
  <c r="M5" i="8" s="1"/>
  <c r="W5" i="2"/>
  <c r="B6" i="6"/>
  <c r="J4" i="2"/>
  <c r="M4" i="8"/>
  <c r="D3" i="8"/>
  <c r="M4" i="2"/>
  <c r="AH3" i="9"/>
  <c r="S3" i="4"/>
  <c r="AJ3" i="9" s="1"/>
  <c r="AG3" i="9"/>
  <c r="AH4" i="9"/>
  <c r="B14" i="9"/>
  <c r="B15" i="9"/>
  <c r="L8" i="8"/>
  <c r="I9" i="2"/>
  <c r="L148" i="8"/>
  <c r="L78" i="8"/>
  <c r="A18" i="4" a="1"/>
  <c r="A18" i="4" s="1"/>
  <c r="O16" i="4"/>
  <c r="AB16" i="9" s="1"/>
  <c r="G16" i="4"/>
  <c r="L16" i="9" s="1"/>
  <c r="W16" i="4"/>
  <c r="AN16" i="9" s="1"/>
  <c r="N16" i="4"/>
  <c r="Z16" i="9" s="1"/>
  <c r="F16" i="4"/>
  <c r="J16" i="9" s="1"/>
  <c r="Q16" i="4"/>
  <c r="AF16" i="9" s="1"/>
  <c r="E16" i="4"/>
  <c r="H16" i="9" s="1"/>
  <c r="M16" i="4"/>
  <c r="X16" i="9" s="1"/>
  <c r="C16" i="4"/>
  <c r="D16" i="9" s="1"/>
  <c r="S16" i="4"/>
  <c r="AJ16" i="9" s="1"/>
  <c r="I16" i="4"/>
  <c r="P16" i="9" s="1"/>
  <c r="P16" i="4"/>
  <c r="AD16" i="9" s="1"/>
  <c r="L16" i="4"/>
  <c r="V16" i="9" s="1"/>
  <c r="K16" i="4"/>
  <c r="T16" i="9" s="1"/>
  <c r="J16" i="4"/>
  <c r="R16" i="9" s="1"/>
  <c r="H16" i="4"/>
  <c r="N16" i="9" s="1"/>
  <c r="V16" i="4"/>
  <c r="AM16" i="9" s="1"/>
  <c r="D16" i="4"/>
  <c r="F16" i="9" s="1"/>
  <c r="R16" i="4"/>
  <c r="AH16" i="9" s="1"/>
  <c r="T16" i="4"/>
  <c r="AL16" i="9" s="1"/>
  <c r="B16" i="4"/>
  <c r="A18" i="9" a="1"/>
  <c r="A18" i="9" s="1"/>
  <c r="H33" i="10"/>
  <c r="A19" i="9" a="1"/>
  <c r="A19" i="9" s="1"/>
  <c r="P17" i="4"/>
  <c r="AD17" i="9" s="1"/>
  <c r="H17" i="4"/>
  <c r="N17" i="9" s="1"/>
  <c r="A19" i="4" a="1"/>
  <c r="A19" i="4" s="1"/>
  <c r="O17" i="4"/>
  <c r="AB17" i="9" s="1"/>
  <c r="G17" i="4"/>
  <c r="L17" i="9" s="1"/>
  <c r="N17" i="4"/>
  <c r="Z17" i="9" s="1"/>
  <c r="D17" i="4"/>
  <c r="F17" i="9" s="1"/>
  <c r="W17" i="4"/>
  <c r="AN17" i="9" s="1"/>
  <c r="L17" i="4"/>
  <c r="V17" i="9" s="1"/>
  <c r="B17" i="4"/>
  <c r="R17" i="4"/>
  <c r="AH17" i="9" s="1"/>
  <c r="F17" i="4"/>
  <c r="J17" i="9" s="1"/>
  <c r="J17" i="4"/>
  <c r="R17" i="9" s="1"/>
  <c r="I17" i="4"/>
  <c r="P17" i="9" s="1"/>
  <c r="V17" i="4"/>
  <c r="AM17" i="9" s="1"/>
  <c r="E17" i="4"/>
  <c r="H17" i="9" s="1"/>
  <c r="T17" i="4"/>
  <c r="AL17" i="9" s="1"/>
  <c r="C17" i="4"/>
  <c r="D17" i="9" s="1"/>
  <c r="S17" i="4"/>
  <c r="AJ17" i="9" s="1"/>
  <c r="Q17" i="4"/>
  <c r="AF17" i="9" s="1"/>
  <c r="M17" i="4"/>
  <c r="X17" i="9" s="1"/>
  <c r="K17" i="4"/>
  <c r="T17" i="9" s="1"/>
  <c r="N2" i="8"/>
  <c r="Q2" i="8" s="1"/>
  <c r="P2" i="8" s="1"/>
  <c r="F2" i="8"/>
  <c r="G2" i="8" s="1"/>
  <c r="J2" i="8"/>
  <c r="D71" i="8" a="1"/>
  <c r="M71" i="8" a="1"/>
  <c r="B71" i="8"/>
  <c r="Q5" i="2" a="1"/>
  <c r="R3" i="2" a="1"/>
  <c r="L2" i="2" a="1"/>
  <c r="U3" i="2" a="1"/>
  <c r="S6" i="2"/>
  <c r="T5" i="2" a="1"/>
  <c r="O2" i="2" a="1"/>
  <c r="N4" i="2" a="1"/>
  <c r="K4" i="2" a="1"/>
  <c r="D4" i="8" a="1"/>
  <c r="B7" i="6" a="1"/>
  <c r="M5" i="2" a="1"/>
  <c r="B8" i="6" a="1"/>
  <c r="P6" i="2"/>
  <c r="J5" i="2" a="1"/>
  <c r="M71" i="8" l="1"/>
  <c r="D71" i="8"/>
  <c r="F71" i="8" s="1"/>
  <c r="G71" i="8" s="1"/>
  <c r="H71" i="8"/>
  <c r="E71" i="8" s="1"/>
  <c r="J71" i="8"/>
  <c r="N71" i="8"/>
  <c r="Q71" i="8" s="1"/>
  <c r="P71" i="8" s="1"/>
  <c r="I1" i="8" a="1"/>
  <c r="I1" i="8" s="1"/>
  <c r="K4" i="2"/>
  <c r="N4" i="2"/>
  <c r="O2" i="2"/>
  <c r="T5" i="2"/>
  <c r="U3" i="2"/>
  <c r="L2" i="2"/>
  <c r="R3" i="2"/>
  <c r="Q5" i="2"/>
  <c r="K74" i="8"/>
  <c r="K142" i="8"/>
  <c r="V2" i="2"/>
  <c r="O141" i="8"/>
  <c r="O71" i="8"/>
  <c r="I71" i="8" s="1" a="1"/>
  <c r="I71" i="8" s="1"/>
  <c r="J5" i="2"/>
  <c r="K6" i="8"/>
  <c r="M6" i="8" s="1" a="1"/>
  <c r="M6" i="8" s="1"/>
  <c r="W6" i="2"/>
  <c r="B8" i="6"/>
  <c r="M5" i="2"/>
  <c r="B7" i="6"/>
  <c r="D4" i="8"/>
  <c r="A41" i="10"/>
  <c r="L9" i="8"/>
  <c r="I10" i="2"/>
  <c r="L149" i="8"/>
  <c r="L79" i="8"/>
  <c r="C75" i="8"/>
  <c r="B16" i="9"/>
  <c r="A21" i="9" a="1"/>
  <c r="A21" i="9" s="1"/>
  <c r="B17" i="9"/>
  <c r="AK3" i="9"/>
  <c r="A20" i="9" a="1"/>
  <c r="A20" i="9" s="1"/>
  <c r="Q18" i="4"/>
  <c r="AF18" i="9" s="1"/>
  <c r="I18" i="4"/>
  <c r="P18" i="9" s="1"/>
  <c r="P18" i="4"/>
  <c r="AD18" i="9" s="1"/>
  <c r="H18" i="4"/>
  <c r="N18" i="9" s="1"/>
  <c r="M18" i="4"/>
  <c r="X18" i="9" s="1"/>
  <c r="C18" i="4"/>
  <c r="D18" i="9" s="1"/>
  <c r="V18" i="4"/>
  <c r="AM18" i="9" s="1"/>
  <c r="K18" i="4"/>
  <c r="T18" i="9" s="1"/>
  <c r="A20" i="4" a="1"/>
  <c r="A20" i="4" s="1"/>
  <c r="O18" i="4"/>
  <c r="AB18" i="9" s="1"/>
  <c r="E18" i="4"/>
  <c r="H18" i="9" s="1"/>
  <c r="T18" i="4"/>
  <c r="AL18" i="9" s="1"/>
  <c r="D18" i="4"/>
  <c r="F18" i="9" s="1"/>
  <c r="S18" i="4"/>
  <c r="AJ18" i="9" s="1"/>
  <c r="B18" i="4"/>
  <c r="B18" i="9" s="1"/>
  <c r="R18" i="4"/>
  <c r="AH18" i="9" s="1"/>
  <c r="N18" i="4"/>
  <c r="Z18" i="9" s="1"/>
  <c r="L18" i="4"/>
  <c r="V18" i="9" s="1"/>
  <c r="J18" i="4"/>
  <c r="R18" i="9" s="1"/>
  <c r="W18" i="4"/>
  <c r="AN18" i="9" s="1"/>
  <c r="G18" i="4"/>
  <c r="L18" i="9" s="1"/>
  <c r="F18" i="4"/>
  <c r="J18" i="9" s="1"/>
  <c r="AJ4" i="9"/>
  <c r="AI3" i="9"/>
  <c r="R19" i="4"/>
  <c r="AH19" i="9" s="1"/>
  <c r="J19" i="4"/>
  <c r="R19" i="9" s="1"/>
  <c r="B19" i="4"/>
  <c r="Q19" i="4"/>
  <c r="AF19" i="9" s="1"/>
  <c r="I19" i="4"/>
  <c r="P19" i="9" s="1"/>
  <c r="W19" i="4"/>
  <c r="AN19" i="9" s="1"/>
  <c r="L19" i="4"/>
  <c r="V19" i="9" s="1"/>
  <c r="T19" i="4"/>
  <c r="AL19" i="9" s="1"/>
  <c r="H19" i="4"/>
  <c r="N19" i="9" s="1"/>
  <c r="N19" i="4"/>
  <c r="Z19" i="9" s="1"/>
  <c r="D19" i="4"/>
  <c r="F19" i="9" s="1"/>
  <c r="O19" i="4"/>
  <c r="AB19" i="9" s="1"/>
  <c r="A21" i="4" a="1"/>
  <c r="A21" i="4" s="1"/>
  <c r="M19" i="4"/>
  <c r="X19" i="9" s="1"/>
  <c r="K19" i="4"/>
  <c r="T19" i="9" s="1"/>
  <c r="G19" i="4"/>
  <c r="L19" i="9" s="1"/>
  <c r="F19" i="4"/>
  <c r="J19" i="9" s="1"/>
  <c r="V19" i="4"/>
  <c r="AM19" i="9" s="1"/>
  <c r="E19" i="4"/>
  <c r="H19" i="9" s="1"/>
  <c r="S19" i="4"/>
  <c r="AJ19" i="9" s="1"/>
  <c r="C19" i="4"/>
  <c r="D19" i="9" s="1"/>
  <c r="P19" i="4"/>
  <c r="AD19" i="9" s="1"/>
  <c r="N3" i="8"/>
  <c r="Q3" i="8" s="1"/>
  <c r="P3" i="8" s="1"/>
  <c r="F3" i="8"/>
  <c r="G3" i="8" s="1"/>
  <c r="J3" i="8"/>
  <c r="Q6" i="2" a="1"/>
  <c r="L3" i="2" a="1"/>
  <c r="K5" i="2" a="1"/>
  <c r="R4" i="2" a="1"/>
  <c r="N5" i="2" a="1"/>
  <c r="T6" i="2" a="1"/>
  <c r="S7" i="2"/>
  <c r="O3" i="2" a="1"/>
  <c r="U4" i="2" a="1"/>
  <c r="M6" i="2" a="1"/>
  <c r="P7" i="2"/>
  <c r="J6" i="2" a="1"/>
  <c r="U4" i="2" l="1"/>
  <c r="O3" i="2"/>
  <c r="T6" i="2"/>
  <c r="N5" i="2"/>
  <c r="R4" i="2"/>
  <c r="K5" i="2"/>
  <c r="L3" i="2"/>
  <c r="Q6" i="2"/>
  <c r="B19" i="9"/>
  <c r="K75" i="8"/>
  <c r="O2" i="8"/>
  <c r="W2" i="2"/>
  <c r="K143" i="8"/>
  <c r="V3" i="2"/>
  <c r="J6" i="2"/>
  <c r="K7" i="8"/>
  <c r="M6" i="2"/>
  <c r="T21" i="4"/>
  <c r="AL21" i="9" s="1"/>
  <c r="L21" i="4"/>
  <c r="V21" i="9" s="1"/>
  <c r="D21" i="4"/>
  <c r="F21" i="9" s="1"/>
  <c r="S21" i="4"/>
  <c r="AJ21" i="9" s="1"/>
  <c r="K21" i="4"/>
  <c r="T21" i="9" s="1"/>
  <c r="C21" i="4"/>
  <c r="D21" i="9" s="1"/>
  <c r="R21" i="4"/>
  <c r="AH21" i="9" s="1"/>
  <c r="H21" i="4"/>
  <c r="N21" i="9" s="1"/>
  <c r="P21" i="4"/>
  <c r="AD21" i="9" s="1"/>
  <c r="F21" i="4"/>
  <c r="J21" i="9" s="1"/>
  <c r="W21" i="4"/>
  <c r="AN21" i="9" s="1"/>
  <c r="J21" i="4"/>
  <c r="R21" i="9" s="1"/>
  <c r="V21" i="4"/>
  <c r="AM21" i="9" s="1"/>
  <c r="B21" i="4"/>
  <c r="Q21" i="4"/>
  <c r="AF21" i="9" s="1"/>
  <c r="O21" i="4"/>
  <c r="AB21" i="9" s="1"/>
  <c r="A23" i="4" a="1"/>
  <c r="A23" i="4" s="1"/>
  <c r="N21" i="4"/>
  <c r="M21" i="4"/>
  <c r="X21" i="9" s="1"/>
  <c r="I21" i="4"/>
  <c r="P21" i="9" s="1"/>
  <c r="G21" i="4"/>
  <c r="L21" i="9" s="1"/>
  <c r="E21" i="4"/>
  <c r="D75" i="8" a="1"/>
  <c r="D75" i="8" s="1"/>
  <c r="F75" i="8" s="1"/>
  <c r="G75" i="8" s="1"/>
  <c r="J75" i="8"/>
  <c r="Q75" i="8"/>
  <c r="P75" i="8" s="1"/>
  <c r="I75" i="8" a="1"/>
  <c r="I75" i="8" s="1"/>
  <c r="B75" i="8"/>
  <c r="H75" i="8"/>
  <c r="E75" i="8" s="1"/>
  <c r="N75" i="8"/>
  <c r="M75" i="8" a="1"/>
  <c r="M75" i="8" s="1"/>
  <c r="S20" i="4"/>
  <c r="AJ20" i="9" s="1"/>
  <c r="K20" i="4"/>
  <c r="T20" i="9" s="1"/>
  <c r="C20" i="4"/>
  <c r="D20" i="9" s="1"/>
  <c r="R20" i="4"/>
  <c r="AH20" i="9" s="1"/>
  <c r="J20" i="4"/>
  <c r="R20" i="9" s="1"/>
  <c r="B20" i="4"/>
  <c r="B20" i="9" s="1"/>
  <c r="V20" i="4"/>
  <c r="AM20" i="9" s="1"/>
  <c r="I20" i="4"/>
  <c r="P20" i="9" s="1"/>
  <c r="Q20" i="4"/>
  <c r="AF20" i="9" s="1"/>
  <c r="G20" i="4"/>
  <c r="L20" i="9" s="1"/>
  <c r="M20" i="4"/>
  <c r="X20" i="9" s="1"/>
  <c r="H20" i="4"/>
  <c r="N20" i="9" s="1"/>
  <c r="F20" i="4"/>
  <c r="J20" i="9" s="1"/>
  <c r="W20" i="4"/>
  <c r="AN20" i="9" s="1"/>
  <c r="E20" i="4"/>
  <c r="H20" i="9" s="1"/>
  <c r="T20" i="4"/>
  <c r="AL20" i="9" s="1"/>
  <c r="D20" i="4"/>
  <c r="F20" i="9" s="1"/>
  <c r="P20" i="4"/>
  <c r="AD20" i="9" s="1"/>
  <c r="O20" i="4"/>
  <c r="AB20" i="9" s="1"/>
  <c r="A22" i="4" a="1"/>
  <c r="A22" i="4" s="1"/>
  <c r="N20" i="4"/>
  <c r="Z20" i="9" s="1"/>
  <c r="L20" i="4"/>
  <c r="V20" i="9" s="1"/>
  <c r="H41" i="10"/>
  <c r="F4" i="8"/>
  <c r="G4" i="8" s="1"/>
  <c r="N4" i="8"/>
  <c r="Q4" i="8" s="1"/>
  <c r="P4" i="8" s="1"/>
  <c r="J4" i="8"/>
  <c r="Z21" i="9"/>
  <c r="B21" i="9"/>
  <c r="A23" i="9" a="1"/>
  <c r="A23" i="9" s="1"/>
  <c r="H21" i="9"/>
  <c r="A22" i="9" a="1"/>
  <c r="A22" i="9" s="1"/>
  <c r="C76" i="8"/>
  <c r="I11" i="2"/>
  <c r="L80" i="8"/>
  <c r="L150" i="8"/>
  <c r="L10" i="8"/>
  <c r="Q7" i="2" a="1"/>
  <c r="T7" i="2" a="1"/>
  <c r="U5" i="2" a="1"/>
  <c r="N6" i="2" a="1"/>
  <c r="R5" i="2" a="1"/>
  <c r="O4" i="2" a="1"/>
  <c r="K6" i="2" a="1"/>
  <c r="S8" i="2"/>
  <c r="L4" i="2" a="1"/>
  <c r="M7" i="8" a="1"/>
  <c r="J7" i="2" a="1"/>
  <c r="M7" i="2" a="1"/>
  <c r="P8" i="2"/>
  <c r="L4" i="2" l="1"/>
  <c r="K6" i="2"/>
  <c r="O4" i="2"/>
  <c r="R5" i="2"/>
  <c r="N6" i="2"/>
  <c r="U5" i="2"/>
  <c r="T7" i="2"/>
  <c r="Q7" i="2"/>
  <c r="O72" i="8"/>
  <c r="O142" i="8"/>
  <c r="K144" i="8"/>
  <c r="V4" i="2"/>
  <c r="K76" i="8"/>
  <c r="O3" i="8"/>
  <c r="W3" i="2"/>
  <c r="I2" i="8" a="1"/>
  <c r="I2" i="8" s="1"/>
  <c r="C72" i="8"/>
  <c r="K8" i="8"/>
  <c r="M7" i="2"/>
  <c r="J7" i="2"/>
  <c r="M7" i="8"/>
  <c r="N76" i="8"/>
  <c r="H76" i="8"/>
  <c r="E76" i="8" s="1"/>
  <c r="D76" i="8" a="1"/>
  <c r="D76" i="8" s="1"/>
  <c r="F76" i="8" s="1"/>
  <c r="G76" i="8" s="1"/>
  <c r="J76" i="8"/>
  <c r="Q76" i="8"/>
  <c r="P76" i="8" s="1"/>
  <c r="I76" i="8" a="1"/>
  <c r="I76" i="8" s="1"/>
  <c r="B76" i="8"/>
  <c r="M76" i="8" a="1"/>
  <c r="M76" i="8" s="1"/>
  <c r="A24" i="9" a="1"/>
  <c r="A24" i="9" s="1"/>
  <c r="I12" i="2"/>
  <c r="L151" i="8"/>
  <c r="L11" i="8"/>
  <c r="L81" i="8"/>
  <c r="A25" i="9" a="1"/>
  <c r="A25" i="9" s="1"/>
  <c r="W23" i="4"/>
  <c r="AN23" i="9" s="1"/>
  <c r="N23" i="4"/>
  <c r="Z23" i="9" s="1"/>
  <c r="F23" i="4"/>
  <c r="J23" i="9" s="1"/>
  <c r="V23" i="4"/>
  <c r="AM23" i="9" s="1"/>
  <c r="M23" i="4"/>
  <c r="X23" i="9" s="1"/>
  <c r="E23" i="4"/>
  <c r="H23" i="9" s="1"/>
  <c r="P23" i="4"/>
  <c r="AD23" i="9" s="1"/>
  <c r="D23" i="4"/>
  <c r="F23" i="9" s="1"/>
  <c r="L23" i="4"/>
  <c r="V23" i="9" s="1"/>
  <c r="B23" i="4"/>
  <c r="R23" i="4"/>
  <c r="AH23" i="9" s="1"/>
  <c r="H23" i="4"/>
  <c r="N23" i="9" s="1"/>
  <c r="I23" i="4"/>
  <c r="P23" i="9" s="1"/>
  <c r="T23" i="4"/>
  <c r="AL23" i="9" s="1"/>
  <c r="G23" i="4"/>
  <c r="L23" i="9" s="1"/>
  <c r="C23" i="4"/>
  <c r="D23" i="9" s="1"/>
  <c r="S23" i="4"/>
  <c r="AJ23" i="9" s="1"/>
  <c r="Q23" i="4"/>
  <c r="AF23" i="9" s="1"/>
  <c r="O23" i="4"/>
  <c r="AB23" i="9" s="1"/>
  <c r="J23" i="4"/>
  <c r="R23" i="9" s="1"/>
  <c r="A25" i="4" a="1"/>
  <c r="A25" i="4" s="1"/>
  <c r="K23" i="4"/>
  <c r="T23" i="9" s="1"/>
  <c r="V22" i="4"/>
  <c r="AM22" i="9" s="1"/>
  <c r="M22" i="4"/>
  <c r="X22" i="9" s="1"/>
  <c r="E22" i="4"/>
  <c r="H22" i="9" s="1"/>
  <c r="T22" i="4"/>
  <c r="AL22" i="9" s="1"/>
  <c r="L22" i="4"/>
  <c r="V22" i="9" s="1"/>
  <c r="D22" i="4"/>
  <c r="F22" i="9" s="1"/>
  <c r="Q22" i="4"/>
  <c r="AF22" i="9" s="1"/>
  <c r="G22" i="4"/>
  <c r="L22" i="9" s="1"/>
  <c r="A24" i="4" a="1"/>
  <c r="A24" i="4" s="1"/>
  <c r="O22" i="4"/>
  <c r="AB22" i="9" s="1"/>
  <c r="C22" i="4"/>
  <c r="D22" i="9" s="1"/>
  <c r="S22" i="4"/>
  <c r="AJ22" i="9" s="1"/>
  <c r="I22" i="4"/>
  <c r="P22" i="9" s="1"/>
  <c r="N22" i="4"/>
  <c r="Z22" i="9" s="1"/>
  <c r="K22" i="4"/>
  <c r="T22" i="9" s="1"/>
  <c r="J22" i="4"/>
  <c r="R22" i="9" s="1"/>
  <c r="H22" i="4"/>
  <c r="N22" i="9" s="1"/>
  <c r="P22" i="4"/>
  <c r="AD22" i="9" s="1"/>
  <c r="F22" i="4"/>
  <c r="J22" i="9" s="1"/>
  <c r="W22" i="4"/>
  <c r="AN22" i="9" s="1"/>
  <c r="B22" i="4"/>
  <c r="B22" i="9" s="1"/>
  <c r="R22" i="4"/>
  <c r="AH22" i="9" s="1"/>
  <c r="P1" i="10"/>
  <c r="Q8" i="2" a="1"/>
  <c r="N7" i="2" a="1"/>
  <c r="R6" i="2" a="1"/>
  <c r="K7" i="2" a="1"/>
  <c r="U6" i="2" a="1"/>
  <c r="T8" i="2" a="1"/>
  <c r="L5" i="2" a="1"/>
  <c r="O5" i="2" a="1"/>
  <c r="S9" i="2"/>
  <c r="M8" i="8" a="1"/>
  <c r="P9" i="2"/>
  <c r="M8" i="2" a="1"/>
  <c r="J8" i="2" a="1"/>
  <c r="D7" i="8" a="1"/>
  <c r="O5" i="2" l="1"/>
  <c r="L5" i="2"/>
  <c r="T8" i="2"/>
  <c r="U6" i="2"/>
  <c r="K7" i="2"/>
  <c r="R6" i="2"/>
  <c r="N7" i="2"/>
  <c r="Q8" i="2"/>
  <c r="B23" i="9"/>
  <c r="O4" i="8"/>
  <c r="W4" i="2"/>
  <c r="K145" i="8"/>
  <c r="V5" i="2"/>
  <c r="O5" i="8" s="1"/>
  <c r="J72" i="8"/>
  <c r="I72" i="8" a="1"/>
  <c r="I72" i="8" s="1"/>
  <c r="B72" i="8"/>
  <c r="N72" i="8"/>
  <c r="D72" i="8" a="1"/>
  <c r="D72" i="8" s="1"/>
  <c r="F72" i="8" s="1"/>
  <c r="G72" i="8" s="1"/>
  <c r="Q72" i="8"/>
  <c r="P72" i="8" s="1"/>
  <c r="H72" i="8"/>
  <c r="E72" i="8" s="1"/>
  <c r="M72" i="8" a="1"/>
  <c r="M72" i="8" s="1"/>
  <c r="C73" i="8"/>
  <c r="I3" i="8" a="1"/>
  <c r="I3" i="8" s="1"/>
  <c r="O143" i="8"/>
  <c r="O73" i="8"/>
  <c r="K77" i="8"/>
  <c r="D7" i="8"/>
  <c r="J8" i="2"/>
  <c r="M8" i="2"/>
  <c r="K9" i="8"/>
  <c r="M8" i="8"/>
  <c r="W1" i="10"/>
  <c r="A26" i="9" a="1"/>
  <c r="A26" i="9" s="1"/>
  <c r="R25" i="4"/>
  <c r="AH25" i="9" s="1"/>
  <c r="J25" i="4"/>
  <c r="R25" i="9" s="1"/>
  <c r="P25" i="4"/>
  <c r="AD25" i="9" s="1"/>
  <c r="H25" i="4"/>
  <c r="N25" i="9" s="1"/>
  <c r="A27" i="4" a="1"/>
  <c r="A27" i="4" s="1"/>
  <c r="O25" i="4"/>
  <c r="AB25" i="9" s="1"/>
  <c r="G25" i="4"/>
  <c r="L25" i="9" s="1"/>
  <c r="M25" i="4"/>
  <c r="X25" i="9" s="1"/>
  <c r="B25" i="4"/>
  <c r="W25" i="4"/>
  <c r="AN25" i="9" s="1"/>
  <c r="K25" i="4"/>
  <c r="T25" i="9" s="1"/>
  <c r="Q25" i="4"/>
  <c r="AF25" i="9" s="1"/>
  <c r="D25" i="4"/>
  <c r="F25" i="9" s="1"/>
  <c r="N25" i="4"/>
  <c r="Z25" i="9" s="1"/>
  <c r="I25" i="4"/>
  <c r="P25" i="9" s="1"/>
  <c r="L25" i="4"/>
  <c r="V25" i="9" s="1"/>
  <c r="F25" i="4"/>
  <c r="J25" i="9" s="1"/>
  <c r="E25" i="4"/>
  <c r="H25" i="9" s="1"/>
  <c r="V25" i="4"/>
  <c r="AM25" i="9" s="1"/>
  <c r="C25" i="4"/>
  <c r="D25" i="9" s="1"/>
  <c r="T25" i="4"/>
  <c r="AL25" i="9" s="1"/>
  <c r="S25" i="4"/>
  <c r="AJ25" i="9" s="1"/>
  <c r="A27" i="9" a="1"/>
  <c r="A27" i="9" s="1"/>
  <c r="L12" i="8"/>
  <c r="I13" i="2"/>
  <c r="L82" i="8"/>
  <c r="L152" i="8"/>
  <c r="A26" i="4" a="1"/>
  <c r="A26" i="4" s="1"/>
  <c r="O24" i="4"/>
  <c r="AB24" i="9" s="1"/>
  <c r="G24" i="4"/>
  <c r="L24" i="9" s="1"/>
  <c r="W24" i="4"/>
  <c r="AN24" i="9" s="1"/>
  <c r="N24" i="4"/>
  <c r="Z24" i="9" s="1"/>
  <c r="F24" i="4"/>
  <c r="J24" i="9" s="1"/>
  <c r="M24" i="4"/>
  <c r="X24" i="9" s="1"/>
  <c r="C24" i="4"/>
  <c r="D24" i="9" s="1"/>
  <c r="V24" i="4"/>
  <c r="AM24" i="9" s="1"/>
  <c r="K24" i="4"/>
  <c r="T24" i="9" s="1"/>
  <c r="Q24" i="4"/>
  <c r="AF24" i="9" s="1"/>
  <c r="E24" i="4"/>
  <c r="H24" i="9" s="1"/>
  <c r="S24" i="4"/>
  <c r="AJ24" i="9" s="1"/>
  <c r="B24" i="4"/>
  <c r="B24" i="9" s="1"/>
  <c r="R24" i="4"/>
  <c r="AH24" i="9" s="1"/>
  <c r="P24" i="4"/>
  <c r="AD24" i="9" s="1"/>
  <c r="L24" i="4"/>
  <c r="V24" i="9" s="1"/>
  <c r="J24" i="4"/>
  <c r="R24" i="9" s="1"/>
  <c r="T24" i="4"/>
  <c r="AL24" i="9" s="1"/>
  <c r="I24" i="4"/>
  <c r="P24" i="9" s="1"/>
  <c r="H24" i="4"/>
  <c r="N24" i="9" s="1"/>
  <c r="D24" i="4"/>
  <c r="F24" i="9" s="1"/>
  <c r="S10" i="2"/>
  <c r="Q9" i="2" a="1"/>
  <c r="T9" i="2" a="1"/>
  <c r="K8" i="2" a="1"/>
  <c r="L6" i="2" a="1"/>
  <c r="R7" i="2" a="1"/>
  <c r="N8" i="2" a="1"/>
  <c r="O6" i="2" a="1"/>
  <c r="U7" i="2" a="1"/>
  <c r="J9" i="2" a="1"/>
  <c r="P10" i="2"/>
  <c r="M9" i="2" a="1"/>
  <c r="M9" i="8" a="1"/>
  <c r="D8" i="8" a="1"/>
  <c r="B25" i="9" l="1"/>
  <c r="U7" i="2"/>
  <c r="O6" i="2"/>
  <c r="N8" i="2"/>
  <c r="R7" i="2"/>
  <c r="L6" i="2"/>
  <c r="K8" i="2"/>
  <c r="T9" i="2"/>
  <c r="Q9" i="2"/>
  <c r="N73" i="8"/>
  <c r="H73" i="8"/>
  <c r="E73" i="8" s="1"/>
  <c r="M73" i="8" a="1"/>
  <c r="M73" i="8" s="1"/>
  <c r="D73" i="8" a="1"/>
  <c r="D73" i="8" s="1"/>
  <c r="F73" i="8" s="1"/>
  <c r="G73" i="8" s="1"/>
  <c r="Q73" i="8"/>
  <c r="P73" i="8" s="1"/>
  <c r="J73" i="8"/>
  <c r="I73" i="8" a="1"/>
  <c r="I73" i="8" s="1"/>
  <c r="B73" i="8"/>
  <c r="C74" i="8"/>
  <c r="I4" i="8" a="1"/>
  <c r="I4" i="8" s="1"/>
  <c r="O144" i="8"/>
  <c r="O74" i="8"/>
  <c r="I5" i="8" a="1"/>
  <c r="I5" i="8" s="1"/>
  <c r="E5" i="8" s="1"/>
  <c r="O145" i="8"/>
  <c r="O75" i="8"/>
  <c r="K146" i="8"/>
  <c r="V6" i="2"/>
  <c r="O6" i="8" s="1"/>
  <c r="K78" i="8"/>
  <c r="D8" i="8"/>
  <c r="M9" i="8"/>
  <c r="M9" i="2"/>
  <c r="K10" i="8"/>
  <c r="J9" i="2"/>
  <c r="T27" i="4"/>
  <c r="AL27" i="9" s="1"/>
  <c r="L27" i="4"/>
  <c r="V27" i="9" s="1"/>
  <c r="D27" i="4"/>
  <c r="F27" i="9" s="1"/>
  <c r="R27" i="4"/>
  <c r="AH27" i="9" s="1"/>
  <c r="J27" i="4"/>
  <c r="R27" i="9" s="1"/>
  <c r="B27" i="4"/>
  <c r="Q27" i="4"/>
  <c r="AF27" i="9" s="1"/>
  <c r="I27" i="4"/>
  <c r="P27" i="9" s="1"/>
  <c r="S27" i="4"/>
  <c r="AJ27" i="9" s="1"/>
  <c r="F27" i="4"/>
  <c r="J27" i="9" s="1"/>
  <c r="O27" i="4"/>
  <c r="AB27" i="9" s="1"/>
  <c r="C27" i="4"/>
  <c r="D27" i="9" s="1"/>
  <c r="A29" i="4" a="1"/>
  <c r="A29" i="4" s="1"/>
  <c r="W27" i="4"/>
  <c r="AN27" i="9" s="1"/>
  <c r="H27" i="4"/>
  <c r="N27" i="9" s="1"/>
  <c r="K27" i="4"/>
  <c r="T27" i="9" s="1"/>
  <c r="G27" i="4"/>
  <c r="L27" i="9" s="1"/>
  <c r="E27" i="4"/>
  <c r="H27" i="9" s="1"/>
  <c r="V27" i="4"/>
  <c r="AM27" i="9" s="1"/>
  <c r="P27" i="4"/>
  <c r="AD27" i="9" s="1"/>
  <c r="N27" i="4"/>
  <c r="Z27" i="9" s="1"/>
  <c r="M27" i="4"/>
  <c r="X27" i="9" s="1"/>
  <c r="P9" i="10"/>
  <c r="A29" i="9" a="1"/>
  <c r="A29" i="9" s="1"/>
  <c r="S26" i="4"/>
  <c r="AJ26" i="9" s="1"/>
  <c r="K26" i="4"/>
  <c r="T26" i="9" s="1"/>
  <c r="C26" i="4"/>
  <c r="D26" i="9" s="1"/>
  <c r="Q26" i="4"/>
  <c r="AF26" i="9" s="1"/>
  <c r="I26" i="4"/>
  <c r="P26" i="9" s="1"/>
  <c r="P26" i="4"/>
  <c r="AD26" i="9" s="1"/>
  <c r="H26" i="4"/>
  <c r="N26" i="9" s="1"/>
  <c r="O26" i="4"/>
  <c r="AB26" i="9" s="1"/>
  <c r="D26" i="4"/>
  <c r="F26" i="9" s="1"/>
  <c r="M26" i="4"/>
  <c r="X26" i="9" s="1"/>
  <c r="T26" i="4"/>
  <c r="AL26" i="9" s="1"/>
  <c r="F26" i="4"/>
  <c r="J26" i="9" s="1"/>
  <c r="L26" i="4"/>
  <c r="V26" i="9" s="1"/>
  <c r="G26" i="4"/>
  <c r="L26" i="9" s="1"/>
  <c r="J26" i="4"/>
  <c r="R26" i="9" s="1"/>
  <c r="A28" i="4" a="1"/>
  <c r="A28" i="4" s="1"/>
  <c r="E26" i="4"/>
  <c r="H26" i="9" s="1"/>
  <c r="W26" i="4"/>
  <c r="AN26" i="9" s="1"/>
  <c r="B26" i="4"/>
  <c r="B26" i="9" s="1"/>
  <c r="N26" i="4"/>
  <c r="Z26" i="9" s="1"/>
  <c r="V26" i="4"/>
  <c r="AM26" i="9" s="1"/>
  <c r="R26" i="4"/>
  <c r="AH26" i="9" s="1"/>
  <c r="N7" i="8"/>
  <c r="Q7" i="8" s="1"/>
  <c r="P7" i="8" s="1"/>
  <c r="F7" i="8"/>
  <c r="G7" i="8" s="1"/>
  <c r="J7" i="8"/>
  <c r="I14" i="2"/>
  <c r="L153" i="8"/>
  <c r="L13" i="8"/>
  <c r="L83" i="8"/>
  <c r="A28" i="9" a="1"/>
  <c r="A28" i="9" s="1"/>
  <c r="Q10" i="2" a="1"/>
  <c r="T10" i="2" a="1"/>
  <c r="S11" i="2"/>
  <c r="O7" i="2" a="1"/>
  <c r="U8" i="2" a="1"/>
  <c r="R8" i="2" a="1"/>
  <c r="L7" i="2" a="1"/>
  <c r="N9" i="2" a="1"/>
  <c r="D5" i="8" a="1"/>
  <c r="K9" i="2" a="1"/>
  <c r="M10" i="2" a="1"/>
  <c r="M10" i="8" a="1"/>
  <c r="D9" i="8" a="1"/>
  <c r="P11" i="2"/>
  <c r="J10" i="2" a="1"/>
  <c r="T10" i="2" l="1"/>
  <c r="Q10" i="2"/>
  <c r="B27" i="9"/>
  <c r="K9" i="2"/>
  <c r="D5" i="8"/>
  <c r="N9" i="2"/>
  <c r="L7" i="2"/>
  <c r="R8" i="2"/>
  <c r="U8" i="2"/>
  <c r="O7" i="2"/>
  <c r="K79" i="8"/>
  <c r="K147" i="8"/>
  <c r="V7" i="2"/>
  <c r="O146" i="8"/>
  <c r="O76" i="8"/>
  <c r="I6" i="8" a="1"/>
  <c r="I6" i="8" s="1"/>
  <c r="E6" i="8" s="1"/>
  <c r="B74" i="8"/>
  <c r="Q74" i="8"/>
  <c r="P74" i="8" s="1"/>
  <c r="H74" i="8"/>
  <c r="E74" i="8" s="1"/>
  <c r="M74" i="8" a="1"/>
  <c r="M74" i="8" s="1"/>
  <c r="I74" i="8" a="1"/>
  <c r="I74" i="8" s="1"/>
  <c r="J74" i="8"/>
  <c r="N74" i="8"/>
  <c r="D74" i="8" a="1"/>
  <c r="D74" i="8" s="1"/>
  <c r="F74" i="8" s="1"/>
  <c r="G74" i="8" s="1"/>
  <c r="J10" i="2"/>
  <c r="K11" i="8"/>
  <c r="D9" i="8"/>
  <c r="M10" i="8"/>
  <c r="M10" i="2"/>
  <c r="V28" i="4"/>
  <c r="AM28" i="9" s="1"/>
  <c r="M28" i="4"/>
  <c r="X28" i="9" s="1"/>
  <c r="E28" i="4"/>
  <c r="H28" i="9" s="1"/>
  <c r="S28" i="4"/>
  <c r="AJ28" i="9" s="1"/>
  <c r="K28" i="4"/>
  <c r="T28" i="9" s="1"/>
  <c r="C28" i="4"/>
  <c r="D28" i="9" s="1"/>
  <c r="R28" i="4"/>
  <c r="AH28" i="9" s="1"/>
  <c r="J28" i="4"/>
  <c r="R28" i="9" s="1"/>
  <c r="B28" i="4"/>
  <c r="B28" i="9" s="1"/>
  <c r="A30" i="4" a="1"/>
  <c r="A30" i="4" s="1"/>
  <c r="W28" i="4"/>
  <c r="AN28" i="9" s="1"/>
  <c r="H28" i="4"/>
  <c r="N28" i="9" s="1"/>
  <c r="Q28" i="4"/>
  <c r="AF28" i="9" s="1"/>
  <c r="F28" i="4"/>
  <c r="J28" i="9" s="1"/>
  <c r="L28" i="4"/>
  <c r="V28" i="9" s="1"/>
  <c r="G28" i="4"/>
  <c r="L28" i="9" s="1"/>
  <c r="D28" i="4"/>
  <c r="F28" i="9" s="1"/>
  <c r="T28" i="4"/>
  <c r="AL28" i="9" s="1"/>
  <c r="P28" i="4"/>
  <c r="AD28" i="9" s="1"/>
  <c r="I28" i="4"/>
  <c r="P28" i="9" s="1"/>
  <c r="O28" i="4"/>
  <c r="AB28" i="9" s="1"/>
  <c r="N28" i="4"/>
  <c r="Z28" i="9" s="1"/>
  <c r="A31" i="9" a="1"/>
  <c r="A31" i="9" s="1"/>
  <c r="W9" i="10"/>
  <c r="L84" i="8"/>
  <c r="L14" i="8"/>
  <c r="I15" i="2"/>
  <c r="L154" i="8"/>
  <c r="A30" i="9" a="1"/>
  <c r="A30" i="9" s="1"/>
  <c r="W29" i="4"/>
  <c r="AN29" i="9" s="1"/>
  <c r="N29" i="4"/>
  <c r="Z29" i="9" s="1"/>
  <c r="F29" i="4"/>
  <c r="J29" i="9" s="1"/>
  <c r="T29" i="4"/>
  <c r="AL29" i="9" s="1"/>
  <c r="L29" i="4"/>
  <c r="V29" i="9" s="1"/>
  <c r="D29" i="4"/>
  <c r="F29" i="9" s="1"/>
  <c r="S29" i="4"/>
  <c r="AJ29" i="9" s="1"/>
  <c r="K29" i="4"/>
  <c r="T29" i="9" s="1"/>
  <c r="C29" i="4"/>
  <c r="D29" i="9" s="1"/>
  <c r="J29" i="4"/>
  <c r="R29" i="9" s="1"/>
  <c r="A31" i="4" a="1"/>
  <c r="A31" i="4" s="1"/>
  <c r="V29" i="4"/>
  <c r="AM29" i="9" s="1"/>
  <c r="H29" i="4"/>
  <c r="N29" i="9" s="1"/>
  <c r="O29" i="4"/>
  <c r="AB29" i="9" s="1"/>
  <c r="E29" i="4"/>
  <c r="H29" i="9" s="1"/>
  <c r="B29" i="4"/>
  <c r="R29" i="4"/>
  <c r="AH29" i="9" s="1"/>
  <c r="Q29" i="4"/>
  <c r="AF29" i="9" s="1"/>
  <c r="P29" i="4"/>
  <c r="AD29" i="9" s="1"/>
  <c r="M29" i="4"/>
  <c r="X29" i="9" s="1"/>
  <c r="I29" i="4"/>
  <c r="P29" i="9" s="1"/>
  <c r="G29" i="4"/>
  <c r="L29" i="9" s="1"/>
  <c r="F8" i="8"/>
  <c r="G8" i="8" s="1"/>
  <c r="J8" i="8"/>
  <c r="N8" i="8"/>
  <c r="Q8" i="8" s="1"/>
  <c r="P8" i="8" s="1"/>
  <c r="Q11" i="2" a="1"/>
  <c r="T11" i="2" a="1"/>
  <c r="N10" i="2" a="1"/>
  <c r="S12" i="2"/>
  <c r="K10" i="2" a="1"/>
  <c r="U9" i="2" a="1"/>
  <c r="L8" i="2" a="1"/>
  <c r="O8" i="2" a="1"/>
  <c r="R9" i="2" a="1"/>
  <c r="D6" i="8" a="1"/>
  <c r="J11" i="2" a="1"/>
  <c r="D10" i="8" a="1"/>
  <c r="M11" i="2" a="1"/>
  <c r="M11" i="8" a="1"/>
  <c r="P12" i="2"/>
  <c r="K10" i="2" l="1"/>
  <c r="N10" i="2"/>
  <c r="T11" i="2"/>
  <c r="Q11" i="2"/>
  <c r="K80" i="8"/>
  <c r="D6" i="8"/>
  <c r="R9" i="2"/>
  <c r="O8" i="2"/>
  <c r="L8" i="2"/>
  <c r="U9" i="2"/>
  <c r="O7" i="8"/>
  <c r="W7" i="2"/>
  <c r="K148" i="8"/>
  <c r="V8" i="2"/>
  <c r="F5" i="8"/>
  <c r="G5" i="8" s="1"/>
  <c r="J5" i="8"/>
  <c r="N5" i="8"/>
  <c r="Q5" i="8" s="1"/>
  <c r="P5" i="8" s="1"/>
  <c r="K12" i="8"/>
  <c r="M11" i="8"/>
  <c r="M11" i="2"/>
  <c r="D10" i="8"/>
  <c r="J11" i="2"/>
  <c r="A32" i="9" a="1"/>
  <c r="A32" i="9" s="1"/>
  <c r="P17" i="10"/>
  <c r="A32" i="4" a="1"/>
  <c r="A32" i="4" s="1"/>
  <c r="O30" i="4"/>
  <c r="AB30" i="9" s="1"/>
  <c r="G30" i="4"/>
  <c r="L30" i="9" s="1"/>
  <c r="V30" i="4"/>
  <c r="AM30" i="9" s="1"/>
  <c r="M30" i="4"/>
  <c r="X30" i="9" s="1"/>
  <c r="E30" i="4"/>
  <c r="H30" i="9" s="1"/>
  <c r="T30" i="4"/>
  <c r="AL30" i="9" s="1"/>
  <c r="L30" i="4"/>
  <c r="V30" i="9" s="1"/>
  <c r="D30" i="4"/>
  <c r="F30" i="9" s="1"/>
  <c r="N30" i="4"/>
  <c r="Z30" i="9" s="1"/>
  <c r="J30" i="4"/>
  <c r="R30" i="9" s="1"/>
  <c r="Q30" i="4"/>
  <c r="AF30" i="9" s="1"/>
  <c r="C30" i="4"/>
  <c r="D30" i="9" s="1"/>
  <c r="W30" i="4"/>
  <c r="AN30" i="9" s="1"/>
  <c r="B30" i="4"/>
  <c r="S30" i="4"/>
  <c r="AJ30" i="9" s="1"/>
  <c r="R30" i="4"/>
  <c r="AH30" i="9" s="1"/>
  <c r="P30" i="4"/>
  <c r="AD30" i="9" s="1"/>
  <c r="K30" i="4"/>
  <c r="T30" i="9" s="1"/>
  <c r="I30" i="4"/>
  <c r="P30" i="9" s="1"/>
  <c r="H30" i="4"/>
  <c r="N30" i="9" s="1"/>
  <c r="F30" i="4"/>
  <c r="J30" i="9" s="1"/>
  <c r="N9" i="8"/>
  <c r="Q9" i="8" s="1"/>
  <c r="P9" i="8" s="1"/>
  <c r="F9" i="8"/>
  <c r="G9" i="8" s="1"/>
  <c r="J9" i="8"/>
  <c r="B29" i="9"/>
  <c r="I16" i="2"/>
  <c r="L15" i="8"/>
  <c r="L155" i="8"/>
  <c r="L85" i="8"/>
  <c r="P31" i="4"/>
  <c r="AD31" i="9" s="1"/>
  <c r="H31" i="4"/>
  <c r="N31" i="9" s="1"/>
  <c r="W31" i="4"/>
  <c r="AN31" i="9" s="1"/>
  <c r="N31" i="4"/>
  <c r="Z31" i="9" s="1"/>
  <c r="F31" i="4"/>
  <c r="J31" i="9" s="1"/>
  <c r="V31" i="4"/>
  <c r="AM31" i="9" s="1"/>
  <c r="M31" i="4"/>
  <c r="X31" i="9" s="1"/>
  <c r="E31" i="4"/>
  <c r="H31" i="9" s="1"/>
  <c r="Q31" i="4"/>
  <c r="AF31" i="9" s="1"/>
  <c r="C31" i="4"/>
  <c r="D31" i="9" s="1"/>
  <c r="L31" i="4"/>
  <c r="V31" i="9" s="1"/>
  <c r="S31" i="4"/>
  <c r="AJ31" i="9" s="1"/>
  <c r="G31" i="4"/>
  <c r="L31" i="9" s="1"/>
  <c r="T31" i="4"/>
  <c r="AL31" i="9" s="1"/>
  <c r="R31" i="4"/>
  <c r="AH31" i="9" s="1"/>
  <c r="O31" i="4"/>
  <c r="AB31" i="9" s="1"/>
  <c r="K31" i="4"/>
  <c r="T31" i="9" s="1"/>
  <c r="J31" i="4"/>
  <c r="R31" i="9" s="1"/>
  <c r="B31" i="4"/>
  <c r="I31" i="4"/>
  <c r="P31" i="9" s="1"/>
  <c r="A33" i="4" a="1"/>
  <c r="A33" i="4" s="1"/>
  <c r="D31" i="4"/>
  <c r="F31" i="9" s="1"/>
  <c r="A33" i="9" a="1"/>
  <c r="A33" i="9" s="1"/>
  <c r="Q12" i="2" a="1"/>
  <c r="S13" i="2"/>
  <c r="U10" i="2" a="1"/>
  <c r="T12" i="2" a="1"/>
  <c r="N11" i="2" a="1"/>
  <c r="K11" i="2" a="1"/>
  <c r="R10" i="2" a="1"/>
  <c r="L9" i="2" a="1"/>
  <c r="O9" i="2" a="1"/>
  <c r="J12" i="2" a="1"/>
  <c r="D11" i="8" a="1"/>
  <c r="M12" i="8" a="1"/>
  <c r="P13" i="2"/>
  <c r="M12" i="2" a="1"/>
  <c r="R10" i="2" l="1"/>
  <c r="K11" i="2"/>
  <c r="N11" i="2"/>
  <c r="T12" i="2"/>
  <c r="U10" i="2"/>
  <c r="Q12" i="2"/>
  <c r="K81" i="8"/>
  <c r="O9" i="2"/>
  <c r="L9" i="2"/>
  <c r="C77" i="8"/>
  <c r="I7" i="8" a="1"/>
  <c r="I7" i="8" s="1"/>
  <c r="O147" i="8"/>
  <c r="O77" i="8"/>
  <c r="K149" i="8"/>
  <c r="V9" i="2"/>
  <c r="O8" i="8"/>
  <c r="W8" i="2"/>
  <c r="F6" i="8"/>
  <c r="G6" i="8" s="1"/>
  <c r="N6" i="8"/>
  <c r="Q6" i="8" s="1"/>
  <c r="P6" i="8" s="1"/>
  <c r="J6" i="8"/>
  <c r="M12" i="2"/>
  <c r="K13" i="8"/>
  <c r="M12" i="8"/>
  <c r="D11" i="8"/>
  <c r="J12" i="2"/>
  <c r="A34" i="9" a="1"/>
  <c r="A34" i="9" s="1"/>
  <c r="R33" i="4"/>
  <c r="AH33" i="9" s="1"/>
  <c r="J33" i="4"/>
  <c r="R33" i="9" s="1"/>
  <c r="B33" i="4"/>
  <c r="P33" i="4"/>
  <c r="AD33" i="9" s="1"/>
  <c r="H33" i="4"/>
  <c r="N33" i="9" s="1"/>
  <c r="A35" i="4" a="1"/>
  <c r="A35" i="4" s="1"/>
  <c r="O33" i="4"/>
  <c r="AB33" i="9" s="1"/>
  <c r="G33" i="4"/>
  <c r="L33" i="9" s="1"/>
  <c r="V33" i="4"/>
  <c r="AM33" i="9" s="1"/>
  <c r="I33" i="4"/>
  <c r="P33" i="9" s="1"/>
  <c r="S33" i="4"/>
  <c r="AJ33" i="9" s="1"/>
  <c r="E33" i="4"/>
  <c r="H33" i="9" s="1"/>
  <c r="L33" i="4"/>
  <c r="V33" i="9" s="1"/>
  <c r="N33" i="4"/>
  <c r="Z33" i="9" s="1"/>
  <c r="M33" i="4"/>
  <c r="X33" i="9" s="1"/>
  <c r="K33" i="4"/>
  <c r="T33" i="9" s="1"/>
  <c r="F33" i="4"/>
  <c r="J33" i="9" s="1"/>
  <c r="D33" i="4"/>
  <c r="F33" i="9" s="1"/>
  <c r="W33" i="4"/>
  <c r="AN33" i="9" s="1"/>
  <c r="C33" i="4"/>
  <c r="D33" i="9" s="1"/>
  <c r="Q33" i="4"/>
  <c r="AF33" i="9" s="1"/>
  <c r="T33" i="4"/>
  <c r="AL33" i="9" s="1"/>
  <c r="Q32" i="4"/>
  <c r="AF32" i="9" s="1"/>
  <c r="I32" i="4"/>
  <c r="P32" i="9" s="1"/>
  <c r="A34" i="4" a="1"/>
  <c r="A34" i="4" s="1"/>
  <c r="O32" i="4"/>
  <c r="AB32" i="9" s="1"/>
  <c r="G32" i="4"/>
  <c r="L32" i="9" s="1"/>
  <c r="W32" i="4"/>
  <c r="AN32" i="9" s="1"/>
  <c r="N32" i="4"/>
  <c r="Z32" i="9" s="1"/>
  <c r="F32" i="4"/>
  <c r="J32" i="9" s="1"/>
  <c r="S32" i="4"/>
  <c r="AJ32" i="9" s="1"/>
  <c r="E32" i="4"/>
  <c r="H32" i="9" s="1"/>
  <c r="P32" i="4"/>
  <c r="AD32" i="9" s="1"/>
  <c r="C32" i="4"/>
  <c r="D32" i="9" s="1"/>
  <c r="V32" i="4"/>
  <c r="AM32" i="9" s="1"/>
  <c r="J32" i="4"/>
  <c r="R32" i="9" s="1"/>
  <c r="R32" i="4"/>
  <c r="AH32" i="9" s="1"/>
  <c r="M32" i="4"/>
  <c r="X32" i="9" s="1"/>
  <c r="L32" i="4"/>
  <c r="V32" i="9" s="1"/>
  <c r="K32" i="4"/>
  <c r="T32" i="9" s="1"/>
  <c r="H32" i="4"/>
  <c r="N32" i="9" s="1"/>
  <c r="D32" i="4"/>
  <c r="F32" i="9" s="1"/>
  <c r="T32" i="4"/>
  <c r="AL32" i="9" s="1"/>
  <c r="B32" i="4"/>
  <c r="B32" i="9" s="1"/>
  <c r="L16" i="8"/>
  <c r="I17" i="2"/>
  <c r="L156" i="8"/>
  <c r="L86" i="8"/>
  <c r="B31" i="9"/>
  <c r="A35" i="9" a="1"/>
  <c r="A35" i="9" s="1"/>
  <c r="B30" i="9"/>
  <c r="W17" i="10"/>
  <c r="F10" i="8"/>
  <c r="G10" i="8" s="1"/>
  <c r="J10" i="8"/>
  <c r="N10" i="8"/>
  <c r="Q10" i="8" s="1"/>
  <c r="P10" i="8" s="1"/>
  <c r="Q13" i="2" a="1"/>
  <c r="R11" i="2" a="1"/>
  <c r="L10" i="2" a="1"/>
  <c r="U11" i="2" a="1"/>
  <c r="N12" i="2" a="1"/>
  <c r="O10" i="2" a="1"/>
  <c r="K12" i="2" a="1"/>
  <c r="T13" i="2" a="1"/>
  <c r="S14" i="2"/>
  <c r="D12" i="8" a="1"/>
  <c r="J13" i="2" a="1"/>
  <c r="M13" i="2" a="1"/>
  <c r="P14" i="2"/>
  <c r="M13" i="8" a="1"/>
  <c r="T13" i="2" l="1"/>
  <c r="K12" i="2"/>
  <c r="O10" i="2"/>
  <c r="N12" i="2"/>
  <c r="U11" i="2"/>
  <c r="L10" i="2"/>
  <c r="R11" i="2"/>
  <c r="Q13" i="2"/>
  <c r="B33" i="9"/>
  <c r="K82" i="8"/>
  <c r="K150" i="8"/>
  <c r="V10" i="2"/>
  <c r="O9" i="8"/>
  <c r="W9" i="2"/>
  <c r="D77" i="8" a="1"/>
  <c r="D77" i="8" s="1"/>
  <c r="F77" i="8" s="1"/>
  <c r="G77" i="8" s="1"/>
  <c r="B77" i="8"/>
  <c r="J77" i="8"/>
  <c r="Q77" i="8"/>
  <c r="P77" i="8" s="1"/>
  <c r="H77" i="8"/>
  <c r="E77" i="8" s="1"/>
  <c r="N77" i="8"/>
  <c r="I77" i="8" a="1"/>
  <c r="I77" i="8" s="1"/>
  <c r="M77" i="8" a="1"/>
  <c r="M77" i="8" s="1"/>
  <c r="I8" i="8" a="1"/>
  <c r="I8" i="8" s="1"/>
  <c r="C78" i="8"/>
  <c r="O78" i="8"/>
  <c r="O148" i="8"/>
  <c r="M13" i="8"/>
  <c r="K14" i="8"/>
  <c r="M13" i="2"/>
  <c r="J13" i="2"/>
  <c r="D12" i="8"/>
  <c r="I18" i="2"/>
  <c r="L87" i="8"/>
  <c r="L157" i="8"/>
  <c r="L17" i="8"/>
  <c r="A37" i="9" a="1"/>
  <c r="A37" i="9" s="1"/>
  <c r="A36" i="9" a="1"/>
  <c r="A36" i="9" s="1"/>
  <c r="T35" i="4"/>
  <c r="AL35" i="9" s="1"/>
  <c r="L35" i="4"/>
  <c r="V35" i="9" s="1"/>
  <c r="D35" i="4"/>
  <c r="F35" i="9" s="1"/>
  <c r="R35" i="4"/>
  <c r="AH35" i="9" s="1"/>
  <c r="J35" i="4"/>
  <c r="R35" i="9" s="1"/>
  <c r="B35" i="4"/>
  <c r="Q35" i="4"/>
  <c r="AF35" i="9" s="1"/>
  <c r="I35" i="4"/>
  <c r="P35" i="9" s="1"/>
  <c r="N35" i="4"/>
  <c r="Z35" i="9" s="1"/>
  <c r="K35" i="4"/>
  <c r="T35" i="9" s="1"/>
  <c r="P35" i="4"/>
  <c r="AD35" i="9" s="1"/>
  <c r="E35" i="4"/>
  <c r="H35" i="9" s="1"/>
  <c r="H35" i="4"/>
  <c r="N35" i="9" s="1"/>
  <c r="A37" i="4" a="1"/>
  <c r="A37" i="4" s="1"/>
  <c r="G35" i="4"/>
  <c r="L35" i="9" s="1"/>
  <c r="F35" i="4"/>
  <c r="J35" i="9" s="1"/>
  <c r="W35" i="4"/>
  <c r="AN35" i="9" s="1"/>
  <c r="C35" i="4"/>
  <c r="D35" i="9" s="1"/>
  <c r="V35" i="4"/>
  <c r="AM35" i="9" s="1"/>
  <c r="S35" i="4"/>
  <c r="AJ35" i="9" s="1"/>
  <c r="M35" i="4"/>
  <c r="X35" i="9" s="1"/>
  <c r="O35" i="4"/>
  <c r="AB35" i="9" s="1"/>
  <c r="S34" i="4"/>
  <c r="AJ34" i="9" s="1"/>
  <c r="K34" i="4"/>
  <c r="T34" i="9" s="1"/>
  <c r="C34" i="4"/>
  <c r="D34" i="9" s="1"/>
  <c r="Q34" i="4"/>
  <c r="AF34" i="9" s="1"/>
  <c r="I34" i="4"/>
  <c r="P34" i="9" s="1"/>
  <c r="P34" i="4"/>
  <c r="AD34" i="9" s="1"/>
  <c r="H34" i="4"/>
  <c r="N34" i="9" s="1"/>
  <c r="L34" i="4"/>
  <c r="V34" i="9" s="1"/>
  <c r="V34" i="4"/>
  <c r="AM34" i="9" s="1"/>
  <c r="G34" i="4"/>
  <c r="L34" i="9" s="1"/>
  <c r="N34" i="4"/>
  <c r="Z34" i="9" s="1"/>
  <c r="B34" i="4"/>
  <c r="M34" i="4"/>
  <c r="X34" i="9" s="1"/>
  <c r="A36" i="4" a="1"/>
  <c r="A36" i="4" s="1"/>
  <c r="J34" i="4"/>
  <c r="R34" i="9" s="1"/>
  <c r="F34" i="4"/>
  <c r="J34" i="9" s="1"/>
  <c r="E34" i="4"/>
  <c r="H34" i="9" s="1"/>
  <c r="W34" i="4"/>
  <c r="AN34" i="9" s="1"/>
  <c r="D34" i="4"/>
  <c r="F34" i="9" s="1"/>
  <c r="T34" i="4"/>
  <c r="AL34" i="9" s="1"/>
  <c r="O34" i="4"/>
  <c r="AB34" i="9" s="1"/>
  <c r="R34" i="4"/>
  <c r="AH34" i="9" s="1"/>
  <c r="P25" i="10"/>
  <c r="F11" i="8"/>
  <c r="G11" i="8" s="1"/>
  <c r="N11" i="8"/>
  <c r="Q11" i="8" s="1"/>
  <c r="P11" i="8" s="1"/>
  <c r="J11" i="8"/>
  <c r="Q14" i="2" a="1"/>
  <c r="L11" i="2" a="1"/>
  <c r="T14" i="2" a="1"/>
  <c r="K13" i="2" a="1"/>
  <c r="N13" i="2" a="1"/>
  <c r="S15" i="2"/>
  <c r="R12" i="2" a="1"/>
  <c r="O11" i="2" a="1"/>
  <c r="U12" i="2" a="1"/>
  <c r="M14" i="2" a="1"/>
  <c r="P15" i="2"/>
  <c r="M14" i="8" a="1"/>
  <c r="J14" i="2" a="1"/>
  <c r="D13" i="8" a="1"/>
  <c r="U12" i="2" l="1"/>
  <c r="O11" i="2"/>
  <c r="R12" i="2"/>
  <c r="N13" i="2"/>
  <c r="K13" i="2"/>
  <c r="T14" i="2"/>
  <c r="L11" i="2"/>
  <c r="Q14" i="2"/>
  <c r="B35" i="9"/>
  <c r="K83" i="8"/>
  <c r="O10" i="8"/>
  <c r="W10" i="2"/>
  <c r="K151" i="8"/>
  <c r="V11" i="2"/>
  <c r="N78" i="8"/>
  <c r="M78" i="8" a="1"/>
  <c r="M78" i="8" s="1"/>
  <c r="J78" i="8"/>
  <c r="Q78" i="8"/>
  <c r="P78" i="8" s="1"/>
  <c r="I78" i="8" a="1"/>
  <c r="I78" i="8" s="1"/>
  <c r="B78" i="8"/>
  <c r="H78" i="8"/>
  <c r="E78" i="8" s="1"/>
  <c r="D78" i="8" a="1"/>
  <c r="D78" i="8" s="1"/>
  <c r="F78" i="8" s="1"/>
  <c r="G78" i="8" s="1"/>
  <c r="C79" i="8"/>
  <c r="I9" i="8" a="1"/>
  <c r="I9" i="8" s="1"/>
  <c r="O79" i="8"/>
  <c r="O149" i="8"/>
  <c r="K15" i="8"/>
  <c r="D13" i="8"/>
  <c r="J14" i="2"/>
  <c r="M14" i="8"/>
  <c r="M14" i="2"/>
  <c r="F12" i="8"/>
  <c r="G12" i="8" s="1"/>
  <c r="J12" i="8"/>
  <c r="N12" i="8"/>
  <c r="Q12" i="8" s="1"/>
  <c r="P12" i="8" s="1"/>
  <c r="L18" i="8"/>
  <c r="I19" i="2"/>
  <c r="L158" i="8"/>
  <c r="L88" i="8"/>
  <c r="A38" i="9" a="1"/>
  <c r="A38" i="9" s="1"/>
  <c r="W25" i="10"/>
  <c r="W37" i="4"/>
  <c r="AN37" i="9" s="1"/>
  <c r="N37" i="4"/>
  <c r="F37" i="4"/>
  <c r="J37" i="9" s="1"/>
  <c r="T37" i="4"/>
  <c r="AL37" i="9" s="1"/>
  <c r="L37" i="4"/>
  <c r="V37" i="9" s="1"/>
  <c r="D37" i="4"/>
  <c r="F37" i="9" s="1"/>
  <c r="S37" i="4"/>
  <c r="AJ37" i="9" s="1"/>
  <c r="K37" i="4"/>
  <c r="T37" i="9" s="1"/>
  <c r="C37" i="4"/>
  <c r="R37" i="4"/>
  <c r="AH37" i="9" s="1"/>
  <c r="G37" i="4"/>
  <c r="L37" i="9" s="1"/>
  <c r="P37" i="4"/>
  <c r="AD37" i="9" s="1"/>
  <c r="B37" i="4"/>
  <c r="I37" i="4"/>
  <c r="P37" i="9" s="1"/>
  <c r="A39" i="4" a="1"/>
  <c r="A39" i="4" s="1"/>
  <c r="E37" i="4"/>
  <c r="H37" i="9" s="1"/>
  <c r="V37" i="4"/>
  <c r="AM37" i="9" s="1"/>
  <c r="Q37" i="4"/>
  <c r="O37" i="4"/>
  <c r="AB37" i="9" s="1"/>
  <c r="M37" i="4"/>
  <c r="X37" i="9" s="1"/>
  <c r="H37" i="4"/>
  <c r="N37" i="9" s="1"/>
  <c r="J37" i="4"/>
  <c r="R37" i="9" s="1"/>
  <c r="V36" i="4"/>
  <c r="AM36" i="9" s="1"/>
  <c r="M36" i="4"/>
  <c r="X36" i="9" s="1"/>
  <c r="E36" i="4"/>
  <c r="H36" i="9" s="1"/>
  <c r="S36" i="4"/>
  <c r="AJ36" i="9" s="1"/>
  <c r="K36" i="4"/>
  <c r="T36" i="9" s="1"/>
  <c r="C36" i="4"/>
  <c r="D36" i="9" s="1"/>
  <c r="R36" i="4"/>
  <c r="AH36" i="9" s="1"/>
  <c r="J36" i="4"/>
  <c r="R36" i="9" s="1"/>
  <c r="B36" i="4"/>
  <c r="B36" i="9" s="1"/>
  <c r="P36" i="4"/>
  <c r="AD36" i="9" s="1"/>
  <c r="D36" i="4"/>
  <c r="F36" i="9" s="1"/>
  <c r="N36" i="4"/>
  <c r="Z36" i="9" s="1"/>
  <c r="T36" i="4"/>
  <c r="AL36" i="9" s="1"/>
  <c r="G36" i="4"/>
  <c r="L36" i="9" s="1"/>
  <c r="H36" i="4"/>
  <c r="N36" i="9" s="1"/>
  <c r="A38" i="4" a="1"/>
  <c r="A38" i="4" s="1"/>
  <c r="F36" i="4"/>
  <c r="J36" i="9" s="1"/>
  <c r="W36" i="4"/>
  <c r="AN36" i="9" s="1"/>
  <c r="Q36" i="4"/>
  <c r="AF36" i="9" s="1"/>
  <c r="O36" i="4"/>
  <c r="AB36" i="9" s="1"/>
  <c r="I36" i="4"/>
  <c r="P36" i="9" s="1"/>
  <c r="L36" i="4"/>
  <c r="V36" i="9" s="1"/>
  <c r="B34" i="9"/>
  <c r="Z37" i="9"/>
  <c r="AF37" i="9"/>
  <c r="A39" i="9" a="1"/>
  <c r="A39" i="9" s="1"/>
  <c r="D37" i="9"/>
  <c r="Q15" i="2" a="1"/>
  <c r="O12" i="2" a="1"/>
  <c r="K14" i="2" a="1"/>
  <c r="L12" i="2" a="1"/>
  <c r="U13" i="2" a="1"/>
  <c r="S16" i="2"/>
  <c r="T15" i="2" a="1"/>
  <c r="R13" i="2" a="1"/>
  <c r="N14" i="2" a="1"/>
  <c r="D14" i="8" a="1"/>
  <c r="J15" i="2" a="1"/>
  <c r="P16" i="2"/>
  <c r="M15" i="2" a="1"/>
  <c r="M15" i="8" a="1"/>
  <c r="N14" i="2" l="1"/>
  <c r="R13" i="2"/>
  <c r="T15" i="2"/>
  <c r="U13" i="2"/>
  <c r="L12" i="2"/>
  <c r="K14" i="2"/>
  <c r="O12" i="2"/>
  <c r="Q15" i="2"/>
  <c r="O150" i="8"/>
  <c r="O80" i="8"/>
  <c r="B37" i="9"/>
  <c r="K152" i="8"/>
  <c r="V12" i="2"/>
  <c r="O11" i="8"/>
  <c r="W11" i="2"/>
  <c r="K84" i="8"/>
  <c r="C80" i="8"/>
  <c r="I10" i="8" a="1"/>
  <c r="I10" i="8" s="1"/>
  <c r="B79" i="8"/>
  <c r="N79" i="8"/>
  <c r="M79" i="8" a="1"/>
  <c r="M79" i="8" s="1"/>
  <c r="D79" i="8" a="1"/>
  <c r="D79" i="8" s="1"/>
  <c r="F79" i="8" s="1"/>
  <c r="G79" i="8" s="1"/>
  <c r="Q79" i="8"/>
  <c r="P79" i="8" s="1"/>
  <c r="J79" i="8"/>
  <c r="I79" i="8" a="1"/>
  <c r="I79" i="8" s="1"/>
  <c r="H79" i="8"/>
  <c r="E79" i="8" s="1"/>
  <c r="M15" i="8"/>
  <c r="M15" i="2"/>
  <c r="K16" i="8"/>
  <c r="J15" i="2"/>
  <c r="D14" i="8"/>
  <c r="A40" i="9" a="1"/>
  <c r="A40" i="9" s="1"/>
  <c r="A41" i="9" a="1"/>
  <c r="A41" i="9" s="1"/>
  <c r="P33" i="10"/>
  <c r="A40" i="4" a="1"/>
  <c r="A40" i="4" s="1"/>
  <c r="O38" i="4"/>
  <c r="AB38" i="9" s="1"/>
  <c r="G38" i="4"/>
  <c r="L38" i="9" s="1"/>
  <c r="V38" i="4"/>
  <c r="AM38" i="9" s="1"/>
  <c r="M38" i="4"/>
  <c r="X38" i="9" s="1"/>
  <c r="E38" i="4"/>
  <c r="H38" i="9" s="1"/>
  <c r="T38" i="4"/>
  <c r="AL38" i="9" s="1"/>
  <c r="L38" i="4"/>
  <c r="V38" i="9" s="1"/>
  <c r="D38" i="4"/>
  <c r="F38" i="9" s="1"/>
  <c r="W38" i="4"/>
  <c r="AN38" i="9" s="1"/>
  <c r="I38" i="4"/>
  <c r="P38" i="9" s="1"/>
  <c r="R38" i="4"/>
  <c r="AH38" i="9" s="1"/>
  <c r="F38" i="4"/>
  <c r="J38" i="9" s="1"/>
  <c r="K38" i="4"/>
  <c r="T38" i="9" s="1"/>
  <c r="B38" i="4"/>
  <c r="Q38" i="4"/>
  <c r="AF38" i="9" s="1"/>
  <c r="S38" i="4"/>
  <c r="AJ38" i="9" s="1"/>
  <c r="P38" i="4"/>
  <c r="AD38" i="9" s="1"/>
  <c r="N38" i="4"/>
  <c r="Z38" i="9" s="1"/>
  <c r="J38" i="4"/>
  <c r="R38" i="9" s="1"/>
  <c r="C38" i="4"/>
  <c r="D38" i="9" s="1"/>
  <c r="H38" i="4"/>
  <c r="N38" i="9" s="1"/>
  <c r="P39" i="4"/>
  <c r="AD39" i="9" s="1"/>
  <c r="H39" i="4"/>
  <c r="N39" i="9" s="1"/>
  <c r="W39" i="4"/>
  <c r="AN39" i="9" s="1"/>
  <c r="N39" i="4"/>
  <c r="Z39" i="9" s="1"/>
  <c r="F39" i="4"/>
  <c r="J39" i="9" s="1"/>
  <c r="V39" i="4"/>
  <c r="AM39" i="9" s="1"/>
  <c r="M39" i="4"/>
  <c r="X39" i="9" s="1"/>
  <c r="E39" i="4"/>
  <c r="H39" i="9" s="1"/>
  <c r="K39" i="4"/>
  <c r="T39" i="9" s="1"/>
  <c r="A41" i="4" a="1"/>
  <c r="A41" i="4" s="1"/>
  <c r="T39" i="4"/>
  <c r="AL39" i="9" s="1"/>
  <c r="I39" i="4"/>
  <c r="P39" i="9" s="1"/>
  <c r="O39" i="4"/>
  <c r="AB39" i="9" s="1"/>
  <c r="B39" i="4"/>
  <c r="S39" i="4"/>
  <c r="AJ39" i="9" s="1"/>
  <c r="Q39" i="4"/>
  <c r="AF39" i="9" s="1"/>
  <c r="R39" i="4"/>
  <c r="AH39" i="9" s="1"/>
  <c r="L39" i="4"/>
  <c r="V39" i="9" s="1"/>
  <c r="J39" i="4"/>
  <c r="R39" i="9" s="1"/>
  <c r="G39" i="4"/>
  <c r="L39" i="9" s="1"/>
  <c r="C39" i="4"/>
  <c r="D39" i="9" s="1"/>
  <c r="D39" i="4"/>
  <c r="F39" i="9" s="1"/>
  <c r="I20" i="2"/>
  <c r="L159" i="8"/>
  <c r="L19" i="8"/>
  <c r="L89" i="8"/>
  <c r="J13" i="8"/>
  <c r="F13" i="8"/>
  <c r="G13" i="8" s="1"/>
  <c r="N13" i="8"/>
  <c r="Q13" i="8" s="1"/>
  <c r="P13" i="8" s="1"/>
  <c r="Q16" i="2" a="1"/>
  <c r="K15" i="2" a="1"/>
  <c r="L13" i="2" a="1"/>
  <c r="R14" i="2" a="1"/>
  <c r="N15" i="2" a="1"/>
  <c r="T16" i="2" a="1"/>
  <c r="U14" i="2" a="1"/>
  <c r="O13" i="2" a="1"/>
  <c r="S17" i="2"/>
  <c r="M16" i="8" a="1"/>
  <c r="D15" i="8" a="1"/>
  <c r="M16" i="2" a="1"/>
  <c r="J16" i="2" a="1"/>
  <c r="P17" i="2"/>
  <c r="O13" i="2" l="1"/>
  <c r="U14" i="2"/>
  <c r="T16" i="2"/>
  <c r="N15" i="2"/>
  <c r="R14" i="2"/>
  <c r="L13" i="2"/>
  <c r="K15" i="2"/>
  <c r="Q16" i="2"/>
  <c r="B39" i="9"/>
  <c r="O12" i="8"/>
  <c r="W12" i="2"/>
  <c r="Q80" i="8"/>
  <c r="P80" i="8" s="1"/>
  <c r="J80" i="8"/>
  <c r="I80" i="8" a="1"/>
  <c r="I80" i="8" s="1"/>
  <c r="B80" i="8"/>
  <c r="N80" i="8"/>
  <c r="H80" i="8"/>
  <c r="E80" i="8" s="1"/>
  <c r="M80" i="8" a="1"/>
  <c r="M80" i="8" s="1"/>
  <c r="D80" i="8" a="1"/>
  <c r="D80" i="8" s="1"/>
  <c r="F80" i="8" s="1"/>
  <c r="G80" i="8" s="1"/>
  <c r="K153" i="8"/>
  <c r="V13" i="2"/>
  <c r="C81" i="8"/>
  <c r="I11" i="8" a="1"/>
  <c r="I11" i="8" s="1"/>
  <c r="K85" i="8"/>
  <c r="O151" i="8"/>
  <c r="O81" i="8"/>
  <c r="K17" i="8"/>
  <c r="J16" i="2"/>
  <c r="M16" i="2"/>
  <c r="D15" i="8"/>
  <c r="M16" i="8"/>
  <c r="A43" i="9" a="1"/>
  <c r="A43" i="9" s="1"/>
  <c r="A42" i="9" a="1"/>
  <c r="A42" i="9" s="1"/>
  <c r="L20" i="8"/>
  <c r="I21" i="2"/>
  <c r="L90" i="8"/>
  <c r="L160" i="8"/>
  <c r="R41" i="4"/>
  <c r="AH41" i="9" s="1"/>
  <c r="J41" i="4"/>
  <c r="R41" i="9" s="1"/>
  <c r="B41" i="4"/>
  <c r="P41" i="4"/>
  <c r="AD41" i="9" s="1"/>
  <c r="H41" i="4"/>
  <c r="N41" i="9" s="1"/>
  <c r="A43" i="4" a="1"/>
  <c r="A43" i="4" s="1"/>
  <c r="O41" i="4"/>
  <c r="AB41" i="9" s="1"/>
  <c r="G41" i="4"/>
  <c r="L41" i="9" s="1"/>
  <c r="Q41" i="4"/>
  <c r="AF41" i="9" s="1"/>
  <c r="D41" i="4"/>
  <c r="F41" i="9" s="1"/>
  <c r="M41" i="4"/>
  <c r="X41" i="9" s="1"/>
  <c r="T41" i="4"/>
  <c r="AL41" i="9" s="1"/>
  <c r="F41" i="4"/>
  <c r="J41" i="9" s="1"/>
  <c r="N41" i="4"/>
  <c r="Z41" i="9" s="1"/>
  <c r="K41" i="4"/>
  <c r="T41" i="9" s="1"/>
  <c r="L41" i="4"/>
  <c r="V41" i="9" s="1"/>
  <c r="I41" i="4"/>
  <c r="P41" i="9" s="1"/>
  <c r="E41" i="4"/>
  <c r="H41" i="9" s="1"/>
  <c r="W41" i="4"/>
  <c r="AN41" i="9" s="1"/>
  <c r="C41" i="4"/>
  <c r="D41" i="9" s="1"/>
  <c r="S41" i="4"/>
  <c r="AJ41" i="9" s="1"/>
  <c r="V41" i="4"/>
  <c r="AM41" i="9" s="1"/>
  <c r="N14" i="8"/>
  <c r="Q14" i="8" s="1"/>
  <c r="P14" i="8" s="1"/>
  <c r="F14" i="8"/>
  <c r="G14" i="8" s="1"/>
  <c r="J14" i="8"/>
  <c r="Q40" i="4"/>
  <c r="AF40" i="9" s="1"/>
  <c r="I40" i="4"/>
  <c r="P40" i="9" s="1"/>
  <c r="A42" i="4" a="1"/>
  <c r="A42" i="4" s="1"/>
  <c r="O40" i="4"/>
  <c r="AB40" i="9" s="1"/>
  <c r="G40" i="4"/>
  <c r="L40" i="9" s="1"/>
  <c r="W40" i="4"/>
  <c r="AN40" i="9" s="1"/>
  <c r="N40" i="4"/>
  <c r="Z40" i="9" s="1"/>
  <c r="F40" i="4"/>
  <c r="J40" i="9" s="1"/>
  <c r="M40" i="4"/>
  <c r="X40" i="9" s="1"/>
  <c r="B40" i="4"/>
  <c r="B40" i="9" s="1"/>
  <c r="K40" i="4"/>
  <c r="T40" i="9" s="1"/>
  <c r="R40" i="4"/>
  <c r="AH40" i="9" s="1"/>
  <c r="D40" i="4"/>
  <c r="F40" i="9" s="1"/>
  <c r="S40" i="4"/>
  <c r="AJ40" i="9" s="1"/>
  <c r="L40" i="4"/>
  <c r="V40" i="9" s="1"/>
  <c r="P40" i="4"/>
  <c r="AD40" i="9" s="1"/>
  <c r="J40" i="4"/>
  <c r="R40" i="9" s="1"/>
  <c r="H40" i="4"/>
  <c r="N40" i="9" s="1"/>
  <c r="T40" i="4"/>
  <c r="AL40" i="9" s="1"/>
  <c r="E40" i="4"/>
  <c r="H40" i="9" s="1"/>
  <c r="V40" i="4"/>
  <c r="AM40" i="9" s="1"/>
  <c r="C40" i="4"/>
  <c r="D40" i="9" s="1"/>
  <c r="W33" i="10"/>
  <c r="B38" i="9"/>
  <c r="Q17" i="2" a="1"/>
  <c r="T17" i="2" a="1"/>
  <c r="K16" i="2" a="1"/>
  <c r="R15" i="2" a="1"/>
  <c r="S18" i="2"/>
  <c r="O14" i="2" a="1"/>
  <c r="N16" i="2" a="1"/>
  <c r="U15" i="2" a="1"/>
  <c r="L14" i="2" a="1"/>
  <c r="P18" i="2"/>
  <c r="D16" i="8" a="1"/>
  <c r="J17" i="2" a="1"/>
  <c r="M17" i="8" a="1"/>
  <c r="M17" i="2" a="1"/>
  <c r="L14" i="2" l="1"/>
  <c r="U15" i="2"/>
  <c r="N16" i="2"/>
  <c r="O14" i="2"/>
  <c r="R15" i="2"/>
  <c r="K16" i="2"/>
  <c r="T17" i="2"/>
  <c r="Q17" i="2"/>
  <c r="K154" i="8"/>
  <c r="V14" i="2"/>
  <c r="C82" i="8"/>
  <c r="I12" i="8" a="1"/>
  <c r="I12" i="8" s="1"/>
  <c r="O13" i="8"/>
  <c r="W13" i="2"/>
  <c r="O152" i="8"/>
  <c r="O82" i="8"/>
  <c r="K86" i="8"/>
  <c r="N81" i="8"/>
  <c r="M81" i="8" a="1"/>
  <c r="M81" i="8" s="1"/>
  <c r="D81" i="8" a="1"/>
  <c r="D81" i="8" s="1"/>
  <c r="F81" i="8" s="1"/>
  <c r="G81" i="8" s="1"/>
  <c r="J81" i="8"/>
  <c r="B81" i="8"/>
  <c r="H81" i="8"/>
  <c r="E81" i="8" s="1"/>
  <c r="I81" i="8" a="1"/>
  <c r="I81" i="8" s="1"/>
  <c r="Q81" i="8"/>
  <c r="P81" i="8" s="1"/>
  <c r="M17" i="2"/>
  <c r="M17" i="8"/>
  <c r="J17" i="2"/>
  <c r="D16" i="8"/>
  <c r="K18" i="8"/>
  <c r="S42" i="4"/>
  <c r="AJ42" i="9" s="1"/>
  <c r="K42" i="4"/>
  <c r="T42" i="9" s="1"/>
  <c r="C42" i="4"/>
  <c r="D42" i="9" s="1"/>
  <c r="Q42" i="4"/>
  <c r="AF42" i="9" s="1"/>
  <c r="I42" i="4"/>
  <c r="P42" i="9" s="1"/>
  <c r="P42" i="4"/>
  <c r="AD42" i="9" s="1"/>
  <c r="H42" i="4"/>
  <c r="N42" i="9" s="1"/>
  <c r="T42" i="4"/>
  <c r="AL42" i="9" s="1"/>
  <c r="F42" i="4"/>
  <c r="J42" i="9" s="1"/>
  <c r="O42" i="4"/>
  <c r="AB42" i="9" s="1"/>
  <c r="D42" i="4"/>
  <c r="F42" i="9" s="1"/>
  <c r="A44" i="4" a="1"/>
  <c r="A44" i="4" s="1"/>
  <c r="W42" i="4"/>
  <c r="AN42" i="9" s="1"/>
  <c r="J42" i="4"/>
  <c r="R42" i="9" s="1"/>
  <c r="M42" i="4"/>
  <c r="X42" i="9" s="1"/>
  <c r="G42" i="4"/>
  <c r="L42" i="9" s="1"/>
  <c r="L42" i="4"/>
  <c r="V42" i="9" s="1"/>
  <c r="E42" i="4"/>
  <c r="H42" i="9" s="1"/>
  <c r="B42" i="4"/>
  <c r="B42" i="9" s="1"/>
  <c r="N42" i="4"/>
  <c r="Z42" i="9" s="1"/>
  <c r="V42" i="4"/>
  <c r="AM42" i="9" s="1"/>
  <c r="R42" i="4"/>
  <c r="AH42" i="9" s="1"/>
  <c r="I22" i="2"/>
  <c r="L91" i="8"/>
  <c r="L161" i="8"/>
  <c r="L21" i="8"/>
  <c r="A45" i="9" a="1"/>
  <c r="A45" i="9" s="1"/>
  <c r="B41" i="9"/>
  <c r="T43" i="4"/>
  <c r="AL43" i="9" s="1"/>
  <c r="L43" i="4"/>
  <c r="V43" i="9" s="1"/>
  <c r="D43" i="4"/>
  <c r="F43" i="9" s="1"/>
  <c r="R43" i="4"/>
  <c r="AH43" i="9" s="1"/>
  <c r="J43" i="4"/>
  <c r="R43" i="9" s="1"/>
  <c r="B43" i="4"/>
  <c r="Q43" i="4"/>
  <c r="AF43" i="9" s="1"/>
  <c r="I43" i="4"/>
  <c r="P43" i="9" s="1"/>
  <c r="A45" i="4" a="1"/>
  <c r="A45" i="4" s="1"/>
  <c r="W43" i="4"/>
  <c r="AN43" i="9" s="1"/>
  <c r="H43" i="4"/>
  <c r="N43" i="9" s="1"/>
  <c r="S43" i="4"/>
  <c r="AJ43" i="9" s="1"/>
  <c r="F43" i="4"/>
  <c r="J43" i="9" s="1"/>
  <c r="M43" i="4"/>
  <c r="X43" i="9" s="1"/>
  <c r="K43" i="4"/>
  <c r="T43" i="9" s="1"/>
  <c r="G43" i="4"/>
  <c r="L43" i="9" s="1"/>
  <c r="E43" i="4"/>
  <c r="H43" i="9" s="1"/>
  <c r="C43" i="4"/>
  <c r="D43" i="9" s="1"/>
  <c r="V43" i="4"/>
  <c r="AM43" i="9" s="1"/>
  <c r="N43" i="4"/>
  <c r="Z43" i="9" s="1"/>
  <c r="P43" i="4"/>
  <c r="AD43" i="9" s="1"/>
  <c r="O43" i="4"/>
  <c r="AB43" i="9" s="1"/>
  <c r="P41" i="10"/>
  <c r="A44" i="9" a="1"/>
  <c r="A44" i="9" s="1"/>
  <c r="J15" i="8"/>
  <c r="F15" i="8"/>
  <c r="G15" i="8" s="1"/>
  <c r="N15" i="8"/>
  <c r="Q15" i="8" s="1"/>
  <c r="P15" i="8" s="1"/>
  <c r="Q18" i="2" a="1"/>
  <c r="N17" i="2" a="1"/>
  <c r="K17" i="2" a="1"/>
  <c r="O15" i="2" a="1"/>
  <c r="R16" i="2" a="1"/>
  <c r="S19" i="2"/>
  <c r="T18" i="2" a="1"/>
  <c r="L15" i="2" a="1"/>
  <c r="U16" i="2" a="1"/>
  <c r="M18" i="2" a="1"/>
  <c r="P19" i="2"/>
  <c r="M18" i="8" a="1"/>
  <c r="J18" i="2" a="1"/>
  <c r="D17" i="8" a="1"/>
  <c r="U16" i="2" l="1"/>
  <c r="L15" i="2"/>
  <c r="T18" i="2"/>
  <c r="R16" i="2"/>
  <c r="O15" i="2"/>
  <c r="K17" i="2"/>
  <c r="N17" i="2"/>
  <c r="Q18" i="2"/>
  <c r="O153" i="8"/>
  <c r="O83" i="8"/>
  <c r="K155" i="8"/>
  <c r="V15" i="2"/>
  <c r="D82" i="8" a="1"/>
  <c r="D82" i="8" s="1"/>
  <c r="F82" i="8" s="1"/>
  <c r="G82" i="8" s="1"/>
  <c r="Q82" i="8"/>
  <c r="P82" i="8" s="1"/>
  <c r="I82" i="8" a="1"/>
  <c r="I82" i="8" s="1"/>
  <c r="B82" i="8"/>
  <c r="H82" i="8"/>
  <c r="E82" i="8" s="1"/>
  <c r="N82" i="8"/>
  <c r="M82" i="8" a="1"/>
  <c r="M82" i="8" s="1"/>
  <c r="J82" i="8"/>
  <c r="O14" i="8"/>
  <c r="W14" i="2"/>
  <c r="K87" i="8"/>
  <c r="I13" i="8" a="1"/>
  <c r="I13" i="8" s="1"/>
  <c r="C83" i="8"/>
  <c r="D17" i="8"/>
  <c r="J18" i="2"/>
  <c r="M18" i="8"/>
  <c r="K19" i="8"/>
  <c r="M18" i="2"/>
  <c r="A47" i="9" a="1"/>
  <c r="A47" i="9" s="1"/>
  <c r="B43" i="9"/>
  <c r="A46" i="9" a="1"/>
  <c r="A46" i="9" s="1"/>
  <c r="W45" i="4"/>
  <c r="AN45" i="9" s="1"/>
  <c r="N45" i="4"/>
  <c r="Z45" i="9" s="1"/>
  <c r="F45" i="4"/>
  <c r="J45" i="9" s="1"/>
  <c r="T45" i="4"/>
  <c r="AL45" i="9" s="1"/>
  <c r="L45" i="4"/>
  <c r="V45" i="9" s="1"/>
  <c r="D45" i="4"/>
  <c r="F45" i="9" s="1"/>
  <c r="S45" i="4"/>
  <c r="AJ45" i="9" s="1"/>
  <c r="K45" i="4"/>
  <c r="T45" i="9" s="1"/>
  <c r="C45" i="4"/>
  <c r="D45" i="9" s="1"/>
  <c r="O45" i="4"/>
  <c r="AB45" i="9" s="1"/>
  <c r="J45" i="4"/>
  <c r="R45" i="9" s="1"/>
  <c r="Q45" i="4"/>
  <c r="AF45" i="9" s="1"/>
  <c r="E45" i="4"/>
  <c r="H45" i="9" s="1"/>
  <c r="A47" i="4" a="1"/>
  <c r="A47" i="4" s="1"/>
  <c r="G45" i="4"/>
  <c r="L45" i="9" s="1"/>
  <c r="V45" i="4"/>
  <c r="AM45" i="9" s="1"/>
  <c r="B45" i="4"/>
  <c r="R45" i="4"/>
  <c r="AH45" i="9" s="1"/>
  <c r="P45" i="4"/>
  <c r="AD45" i="9" s="1"/>
  <c r="M45" i="4"/>
  <c r="X45" i="9" s="1"/>
  <c r="H45" i="4"/>
  <c r="N45" i="9" s="1"/>
  <c r="I45" i="4"/>
  <c r="P45" i="9" s="1"/>
  <c r="F16" i="8"/>
  <c r="G16" i="8" s="1"/>
  <c r="N16" i="8"/>
  <c r="Q16" i="8" s="1"/>
  <c r="P16" i="8" s="1"/>
  <c r="J16" i="8"/>
  <c r="W41" i="10"/>
  <c r="L22" i="8"/>
  <c r="I23" i="2"/>
  <c r="L92" i="8"/>
  <c r="L162" i="8"/>
  <c r="V44" i="4"/>
  <c r="AM44" i="9" s="1"/>
  <c r="M44" i="4"/>
  <c r="X44" i="9" s="1"/>
  <c r="E44" i="4"/>
  <c r="H44" i="9" s="1"/>
  <c r="S44" i="4"/>
  <c r="AJ44" i="9" s="1"/>
  <c r="K44" i="4"/>
  <c r="T44" i="9" s="1"/>
  <c r="C44" i="4"/>
  <c r="D44" i="9" s="1"/>
  <c r="R44" i="4"/>
  <c r="AH44" i="9" s="1"/>
  <c r="J44" i="4"/>
  <c r="R44" i="9" s="1"/>
  <c r="B44" i="4"/>
  <c r="L44" i="4"/>
  <c r="V44" i="9" s="1"/>
  <c r="A46" i="4" a="1"/>
  <c r="A46" i="4" s="1"/>
  <c r="W44" i="4"/>
  <c r="AN44" i="9" s="1"/>
  <c r="H44" i="4"/>
  <c r="N44" i="9" s="1"/>
  <c r="O44" i="4"/>
  <c r="AB44" i="9" s="1"/>
  <c r="G44" i="4"/>
  <c r="L44" i="9" s="1"/>
  <c r="D44" i="4"/>
  <c r="F44" i="9" s="1"/>
  <c r="F44" i="4"/>
  <c r="J44" i="9" s="1"/>
  <c r="T44" i="4"/>
  <c r="AL44" i="9" s="1"/>
  <c r="Q44" i="4"/>
  <c r="AF44" i="9" s="1"/>
  <c r="I44" i="4"/>
  <c r="P44" i="9" s="1"/>
  <c r="P44" i="4"/>
  <c r="AD44" i="9" s="1"/>
  <c r="N44" i="4"/>
  <c r="Z44" i="9" s="1"/>
  <c r="Q19" i="2" a="1"/>
  <c r="R17" i="2" a="1"/>
  <c r="O16" i="2" a="1"/>
  <c r="K18" i="2" a="1"/>
  <c r="S20" i="2"/>
  <c r="N18" i="2" a="1"/>
  <c r="T19" i="2" a="1"/>
  <c r="L16" i="2" a="1"/>
  <c r="U17" i="2" a="1"/>
  <c r="P20" i="2"/>
  <c r="D18" i="8" a="1"/>
  <c r="M19" i="8" a="1"/>
  <c r="M19" i="2" a="1"/>
  <c r="J19" i="2" a="1"/>
  <c r="U17" i="2" l="1"/>
  <c r="L16" i="2"/>
  <c r="T19" i="2"/>
  <c r="N18" i="2"/>
  <c r="K18" i="2"/>
  <c r="O16" i="2"/>
  <c r="R17" i="2"/>
  <c r="Q19" i="2"/>
  <c r="C84" i="8"/>
  <c r="I14" i="8" a="1"/>
  <c r="I14" i="8" s="1"/>
  <c r="O154" i="8"/>
  <c r="O84" i="8"/>
  <c r="O15" i="8"/>
  <c r="W15" i="2"/>
  <c r="K156" i="8"/>
  <c r="V16" i="2"/>
  <c r="H83" i="8"/>
  <c r="E83" i="8" s="1"/>
  <c r="N83" i="8"/>
  <c r="M83" i="8" a="1"/>
  <c r="M83" i="8" s="1"/>
  <c r="D83" i="8" a="1"/>
  <c r="D83" i="8" s="1"/>
  <c r="F83" i="8" s="1"/>
  <c r="G83" i="8" s="1"/>
  <c r="J83" i="8"/>
  <c r="I83" i="8" a="1"/>
  <c r="I83" i="8" s="1"/>
  <c r="Q83" i="8"/>
  <c r="P83" i="8" s="1"/>
  <c r="B83" i="8"/>
  <c r="K88" i="8"/>
  <c r="J19" i="2"/>
  <c r="M19" i="2"/>
  <c r="M19" i="8"/>
  <c r="D18" i="8"/>
  <c r="K20" i="8"/>
  <c r="P47" i="4"/>
  <c r="AD47" i="9" s="1"/>
  <c r="H47" i="4"/>
  <c r="N47" i="9" s="1"/>
  <c r="W47" i="4"/>
  <c r="AN47" i="9" s="1"/>
  <c r="N47" i="4"/>
  <c r="Z47" i="9" s="1"/>
  <c r="F47" i="4"/>
  <c r="J47" i="9" s="1"/>
  <c r="V47" i="4"/>
  <c r="AM47" i="9" s="1"/>
  <c r="M47" i="4"/>
  <c r="X47" i="9" s="1"/>
  <c r="E47" i="4"/>
  <c r="H47" i="9" s="1"/>
  <c r="S47" i="4"/>
  <c r="AJ47" i="9" s="1"/>
  <c r="G47" i="4"/>
  <c r="L47" i="9" s="1"/>
  <c r="Q47" i="4"/>
  <c r="AF47" i="9" s="1"/>
  <c r="C47" i="4"/>
  <c r="D47" i="9" s="1"/>
  <c r="J47" i="4"/>
  <c r="R47" i="9" s="1"/>
  <c r="T47" i="4"/>
  <c r="AL47" i="9" s="1"/>
  <c r="O47" i="4"/>
  <c r="AB47" i="9" s="1"/>
  <c r="R47" i="4"/>
  <c r="AH47" i="9" s="1"/>
  <c r="L47" i="4"/>
  <c r="V47" i="9" s="1"/>
  <c r="K47" i="4"/>
  <c r="T47" i="9" s="1"/>
  <c r="B47" i="4"/>
  <c r="I47" i="4"/>
  <c r="P47" i="9" s="1"/>
  <c r="A49" i="4" a="1"/>
  <c r="A49" i="4" s="1"/>
  <c r="D47" i="4"/>
  <c r="F47" i="9" s="1"/>
  <c r="A49" i="9" a="1"/>
  <c r="A49" i="9" s="1"/>
  <c r="AE1" i="10"/>
  <c r="A48" i="9" a="1"/>
  <c r="A48" i="9" s="1"/>
  <c r="B45" i="9"/>
  <c r="A48" i="4" a="1"/>
  <c r="A48" i="4" s="1"/>
  <c r="O46" i="4"/>
  <c r="AB46" i="9" s="1"/>
  <c r="G46" i="4"/>
  <c r="L46" i="9" s="1"/>
  <c r="V46" i="4"/>
  <c r="AM46" i="9" s="1"/>
  <c r="M46" i="4"/>
  <c r="X46" i="9" s="1"/>
  <c r="E46" i="4"/>
  <c r="H46" i="9" s="1"/>
  <c r="T46" i="4"/>
  <c r="AL46" i="9" s="1"/>
  <c r="L46" i="4"/>
  <c r="V46" i="9" s="1"/>
  <c r="D46" i="4"/>
  <c r="F46" i="9" s="1"/>
  <c r="Q46" i="4"/>
  <c r="AF46" i="9" s="1"/>
  <c r="C46" i="4"/>
  <c r="D46" i="9" s="1"/>
  <c r="N46" i="4"/>
  <c r="Z46" i="9" s="1"/>
  <c r="S46" i="4"/>
  <c r="AJ46" i="9" s="1"/>
  <c r="H46" i="4"/>
  <c r="N46" i="9" s="1"/>
  <c r="B46" i="4"/>
  <c r="B46" i="9" s="1"/>
  <c r="R46" i="4"/>
  <c r="AH46" i="9" s="1"/>
  <c r="W46" i="4"/>
  <c r="AN46" i="9" s="1"/>
  <c r="P46" i="4"/>
  <c r="AD46" i="9" s="1"/>
  <c r="K46" i="4"/>
  <c r="T46" i="9" s="1"/>
  <c r="F46" i="4"/>
  <c r="J46" i="9" s="1"/>
  <c r="J46" i="4"/>
  <c r="R46" i="9" s="1"/>
  <c r="I46" i="4"/>
  <c r="P46" i="9" s="1"/>
  <c r="I24" i="2"/>
  <c r="L163" i="8"/>
  <c r="L23" i="8"/>
  <c r="L93" i="8"/>
  <c r="B44" i="9"/>
  <c r="F17" i="8"/>
  <c r="G17" i="8" s="1"/>
  <c r="J17" i="8"/>
  <c r="N17" i="8"/>
  <c r="Q17" i="8" s="1"/>
  <c r="P17" i="8" s="1"/>
  <c r="Q20" i="2" a="1"/>
  <c r="L17" i="2" a="1"/>
  <c r="O17" i="2" a="1"/>
  <c r="K19" i="2" a="1"/>
  <c r="U18" i="2" a="1"/>
  <c r="N19" i="2" a="1"/>
  <c r="R18" i="2" a="1"/>
  <c r="T20" i="2" a="1"/>
  <c r="S21" i="2"/>
  <c r="P21" i="2"/>
  <c r="D19" i="8" a="1"/>
  <c r="J20" i="2" a="1"/>
  <c r="M20" i="8" a="1"/>
  <c r="M20" i="2" a="1"/>
  <c r="T20" i="2" l="1"/>
  <c r="R18" i="2"/>
  <c r="N19" i="2"/>
  <c r="U18" i="2"/>
  <c r="K19" i="2"/>
  <c r="O17" i="2"/>
  <c r="L17" i="2"/>
  <c r="Q20" i="2"/>
  <c r="B47" i="9"/>
  <c r="C85" i="8"/>
  <c r="I15" i="8" a="1"/>
  <c r="I15" i="8" s="1"/>
  <c r="O85" i="8"/>
  <c r="O155" i="8"/>
  <c r="B84" i="8"/>
  <c r="M84" i="8" a="1"/>
  <c r="M84" i="8" s="1"/>
  <c r="D84" i="8" a="1"/>
  <c r="D84" i="8" s="1"/>
  <c r="F84" i="8" s="1"/>
  <c r="G84" i="8" s="1"/>
  <c r="N84" i="8"/>
  <c r="H84" i="8"/>
  <c r="E84" i="8" s="1"/>
  <c r="I84" i="8" a="1"/>
  <c r="I84" i="8" s="1"/>
  <c r="J84" i="8"/>
  <c r="Q84" i="8"/>
  <c r="P84" i="8" s="1"/>
  <c r="O16" i="8"/>
  <c r="W16" i="2"/>
  <c r="K89" i="8"/>
  <c r="K157" i="8"/>
  <c r="V17" i="2"/>
  <c r="M20" i="2"/>
  <c r="M20" i="8"/>
  <c r="J20" i="2"/>
  <c r="D19" i="8"/>
  <c r="K21" i="8"/>
  <c r="R49" i="4"/>
  <c r="AH49" i="9" s="1"/>
  <c r="J49" i="4"/>
  <c r="R49" i="9" s="1"/>
  <c r="B49" i="4"/>
  <c r="P49" i="4"/>
  <c r="AD49" i="9" s="1"/>
  <c r="H49" i="4"/>
  <c r="N49" i="9" s="1"/>
  <c r="A51" i="4" a="1"/>
  <c r="A51" i="4" s="1"/>
  <c r="O49" i="4"/>
  <c r="AB49" i="9" s="1"/>
  <c r="G49" i="4"/>
  <c r="L49" i="9" s="1"/>
  <c r="L49" i="4"/>
  <c r="V49" i="9" s="1"/>
  <c r="V49" i="4"/>
  <c r="AM49" i="9" s="1"/>
  <c r="I49" i="4"/>
  <c r="P49" i="9" s="1"/>
  <c r="N49" i="4"/>
  <c r="Z49" i="9" s="1"/>
  <c r="C49" i="4"/>
  <c r="D49" i="9" s="1"/>
  <c r="Q49" i="4"/>
  <c r="AF49" i="9" s="1"/>
  <c r="K49" i="4"/>
  <c r="T49" i="9" s="1"/>
  <c r="M49" i="4"/>
  <c r="X49" i="9" s="1"/>
  <c r="F49" i="4"/>
  <c r="J49" i="9" s="1"/>
  <c r="E49" i="4"/>
  <c r="H49" i="9" s="1"/>
  <c r="W49" i="4"/>
  <c r="AN49" i="9" s="1"/>
  <c r="D49" i="4"/>
  <c r="F49" i="9" s="1"/>
  <c r="T49" i="4"/>
  <c r="AL49" i="9" s="1"/>
  <c r="S49" i="4"/>
  <c r="AJ49" i="9" s="1"/>
  <c r="A51" i="9" a="1"/>
  <c r="A51" i="9" s="1"/>
  <c r="A50" i="9" a="1"/>
  <c r="A50" i="9" s="1"/>
  <c r="L94" i="8"/>
  <c r="L24" i="8"/>
  <c r="I25" i="2"/>
  <c r="L164" i="8"/>
  <c r="AL1" i="10"/>
  <c r="Q48" i="4"/>
  <c r="AF48" i="9" s="1"/>
  <c r="I48" i="4"/>
  <c r="P48" i="9" s="1"/>
  <c r="A50" i="4" a="1"/>
  <c r="A50" i="4" s="1"/>
  <c r="O48" i="4"/>
  <c r="AB48" i="9" s="1"/>
  <c r="G48" i="4"/>
  <c r="L48" i="9" s="1"/>
  <c r="W48" i="4"/>
  <c r="AN48" i="9" s="1"/>
  <c r="N48" i="4"/>
  <c r="Z48" i="9" s="1"/>
  <c r="F48" i="4"/>
  <c r="J48" i="9" s="1"/>
  <c r="V48" i="4"/>
  <c r="AM48" i="9" s="1"/>
  <c r="J48" i="4"/>
  <c r="R48" i="9" s="1"/>
  <c r="S48" i="4"/>
  <c r="AJ48" i="9" s="1"/>
  <c r="E48" i="4"/>
  <c r="H48" i="9" s="1"/>
  <c r="L48" i="4"/>
  <c r="V48" i="9" s="1"/>
  <c r="R48" i="4"/>
  <c r="AH48" i="9" s="1"/>
  <c r="M48" i="4"/>
  <c r="X48" i="9" s="1"/>
  <c r="P48" i="4"/>
  <c r="AD48" i="9" s="1"/>
  <c r="K48" i="4"/>
  <c r="T48" i="9" s="1"/>
  <c r="H48" i="4"/>
  <c r="N48" i="9" s="1"/>
  <c r="B48" i="4"/>
  <c r="D48" i="4"/>
  <c r="F48" i="9" s="1"/>
  <c r="C48" i="4"/>
  <c r="D48" i="9" s="1"/>
  <c r="T48" i="4"/>
  <c r="AL48" i="9" s="1"/>
  <c r="F18" i="8"/>
  <c r="G18" i="8" s="1"/>
  <c r="J18" i="8"/>
  <c r="N18" i="8"/>
  <c r="Q18" i="8" s="1"/>
  <c r="P18" i="8" s="1"/>
  <c r="S22" i="2"/>
  <c r="Q21" i="2" a="1"/>
  <c r="T21" i="2" a="1"/>
  <c r="K20" i="2" a="1"/>
  <c r="N20" i="2" a="1"/>
  <c r="R19" i="2" a="1"/>
  <c r="L18" i="2" a="1"/>
  <c r="I85" i="8" a="1"/>
  <c r="O18" i="2" a="1"/>
  <c r="U19" i="2" a="1"/>
  <c r="P22" i="2"/>
  <c r="M21" i="8" a="1"/>
  <c r="M21" i="2" a="1"/>
  <c r="D20" i="8" a="1"/>
  <c r="J21" i="2" a="1"/>
  <c r="B49" i="9" l="1"/>
  <c r="U19" i="2"/>
  <c r="O18" i="2"/>
  <c r="I85" i="8"/>
  <c r="L18" i="2"/>
  <c r="R19" i="2"/>
  <c r="N20" i="2"/>
  <c r="K20" i="2"/>
  <c r="T21" i="2"/>
  <c r="Q21" i="2"/>
  <c r="O17" i="8"/>
  <c r="W17" i="2"/>
  <c r="B85" i="8"/>
  <c r="H85" i="8"/>
  <c r="M85" i="8" a="1"/>
  <c r="M85" i="8" s="1"/>
  <c r="K158" i="8"/>
  <c r="V18" i="2"/>
  <c r="I16" i="8" a="1"/>
  <c r="I16" i="8" s="1"/>
  <c r="C86" i="8"/>
  <c r="K90" i="8"/>
  <c r="O156" i="8"/>
  <c r="O86" i="8"/>
  <c r="J21" i="2"/>
  <c r="D20" i="8"/>
  <c r="M21" i="2"/>
  <c r="M21" i="8"/>
  <c r="K22" i="8"/>
  <c r="A52" i="9" a="1"/>
  <c r="A52" i="9" s="1"/>
  <c r="A53" i="9" a="1"/>
  <c r="A53" i="9" s="1"/>
  <c r="T51" i="4"/>
  <c r="AL51" i="9" s="1"/>
  <c r="L51" i="4"/>
  <c r="V51" i="9" s="1"/>
  <c r="D51" i="4"/>
  <c r="F51" i="9" s="1"/>
  <c r="R51" i="4"/>
  <c r="AH51" i="9" s="1"/>
  <c r="J51" i="4"/>
  <c r="R51" i="9" s="1"/>
  <c r="B51" i="4"/>
  <c r="Q51" i="4"/>
  <c r="AF51" i="9" s="1"/>
  <c r="I51" i="4"/>
  <c r="P51" i="9" s="1"/>
  <c r="P51" i="4"/>
  <c r="AD51" i="9" s="1"/>
  <c r="E51" i="4"/>
  <c r="H51" i="9" s="1"/>
  <c r="N51" i="4"/>
  <c r="Z51" i="9" s="1"/>
  <c r="A53" i="4" a="1"/>
  <c r="A53" i="4" s="1"/>
  <c r="V51" i="4"/>
  <c r="AM51" i="9" s="1"/>
  <c r="G51" i="4"/>
  <c r="L51" i="9" s="1"/>
  <c r="K51" i="4"/>
  <c r="T51" i="9" s="1"/>
  <c r="F51" i="4"/>
  <c r="J51" i="9" s="1"/>
  <c r="H51" i="4"/>
  <c r="N51" i="9" s="1"/>
  <c r="C51" i="4"/>
  <c r="D51" i="9" s="1"/>
  <c r="W51" i="4"/>
  <c r="AN51" i="9" s="1"/>
  <c r="S51" i="4"/>
  <c r="AJ51" i="9" s="1"/>
  <c r="M51" i="4"/>
  <c r="X51" i="9" s="1"/>
  <c r="O51" i="4"/>
  <c r="AB51" i="9" s="1"/>
  <c r="L25" i="8"/>
  <c r="I26" i="2"/>
  <c r="L95" i="8"/>
  <c r="L165" i="8"/>
  <c r="N19" i="8"/>
  <c r="Q19" i="8" s="1"/>
  <c r="P19" i="8" s="1"/>
  <c r="F19" i="8"/>
  <c r="G19" i="8" s="1"/>
  <c r="J19" i="8"/>
  <c r="S50" i="4"/>
  <c r="AJ50" i="9" s="1"/>
  <c r="K50" i="4"/>
  <c r="T50" i="9" s="1"/>
  <c r="C50" i="4"/>
  <c r="D50" i="9" s="1"/>
  <c r="Q50" i="4"/>
  <c r="AF50" i="9" s="1"/>
  <c r="I50" i="4"/>
  <c r="P50" i="9" s="1"/>
  <c r="P50" i="4"/>
  <c r="AD50" i="9" s="1"/>
  <c r="H50" i="4"/>
  <c r="N50" i="9" s="1"/>
  <c r="N50" i="4"/>
  <c r="Z50" i="9" s="1"/>
  <c r="B50" i="4"/>
  <c r="B50" i="9" s="1"/>
  <c r="L50" i="4"/>
  <c r="V50" i="9" s="1"/>
  <c r="R50" i="4"/>
  <c r="AH50" i="9" s="1"/>
  <c r="E50" i="4"/>
  <c r="H50" i="9" s="1"/>
  <c r="M50" i="4"/>
  <c r="X50" i="9" s="1"/>
  <c r="G50" i="4"/>
  <c r="L50" i="9" s="1"/>
  <c r="J50" i="4"/>
  <c r="R50" i="9" s="1"/>
  <c r="A52" i="4" a="1"/>
  <c r="A52" i="4" s="1"/>
  <c r="F50" i="4"/>
  <c r="J50" i="9" s="1"/>
  <c r="W50" i="4"/>
  <c r="AN50" i="9" s="1"/>
  <c r="D50" i="4"/>
  <c r="F50" i="9" s="1"/>
  <c r="O50" i="4"/>
  <c r="AB50" i="9" s="1"/>
  <c r="V50" i="4"/>
  <c r="AM50" i="9" s="1"/>
  <c r="T50" i="4"/>
  <c r="AL50" i="9" s="1"/>
  <c r="AE9" i="10"/>
  <c r="B48" i="9"/>
  <c r="Q22" i="2" a="1"/>
  <c r="T22" i="2" a="1"/>
  <c r="S23" i="2"/>
  <c r="O19" i="2" a="1"/>
  <c r="K21" i="2" a="1"/>
  <c r="U20" i="2" a="1"/>
  <c r="R20" i="2" a="1"/>
  <c r="L19" i="2" a="1"/>
  <c r="N21" i="2" a="1"/>
  <c r="D21" i="8" a="1"/>
  <c r="M22" i="2" a="1"/>
  <c r="P23" i="2"/>
  <c r="J22" i="2" a="1"/>
  <c r="M22" i="8" a="1"/>
  <c r="T22" i="2" l="1"/>
  <c r="Q22" i="2"/>
  <c r="E85" i="8"/>
  <c r="N21" i="2"/>
  <c r="L19" i="2"/>
  <c r="R20" i="2"/>
  <c r="U20" i="2"/>
  <c r="K21" i="2"/>
  <c r="O19" i="2"/>
  <c r="O18" i="8"/>
  <c r="W18" i="2"/>
  <c r="K159" i="8"/>
  <c r="V19" i="2"/>
  <c r="Q86" i="8"/>
  <c r="P86" i="8" s="1"/>
  <c r="I86" i="8" a="1"/>
  <c r="I86" i="8" s="1"/>
  <c r="B86" i="8"/>
  <c r="H86" i="8"/>
  <c r="E86" i="8" s="1"/>
  <c r="N86" i="8"/>
  <c r="M86" i="8" a="1"/>
  <c r="M86" i="8" s="1"/>
  <c r="D86" i="8" a="1"/>
  <c r="D86" i="8" s="1"/>
  <c r="F86" i="8" s="1"/>
  <c r="G86" i="8" s="1"/>
  <c r="J86" i="8"/>
  <c r="C87" i="8"/>
  <c r="I17" i="8" a="1"/>
  <c r="I17" i="8" s="1"/>
  <c r="O157" i="8"/>
  <c r="O87" i="8"/>
  <c r="K91" i="8"/>
  <c r="M22" i="8"/>
  <c r="J22" i="2"/>
  <c r="K23" i="8"/>
  <c r="M22" i="2"/>
  <c r="D21" i="8"/>
  <c r="I27" i="2"/>
  <c r="L96" i="8"/>
  <c r="L26" i="8"/>
  <c r="L166" i="8"/>
  <c r="A55" i="9" a="1"/>
  <c r="A55" i="9" s="1"/>
  <c r="A54" i="9" a="1"/>
  <c r="A54" i="9" s="1"/>
  <c r="W53" i="4"/>
  <c r="AN53" i="9" s="1"/>
  <c r="N53" i="4"/>
  <c r="Z53" i="9" s="1"/>
  <c r="F53" i="4"/>
  <c r="J53" i="9" s="1"/>
  <c r="V53" i="4"/>
  <c r="AM53" i="9" s="1"/>
  <c r="M53" i="4"/>
  <c r="X53" i="9" s="1"/>
  <c r="E53" i="4"/>
  <c r="H53" i="9" s="1"/>
  <c r="T53" i="4"/>
  <c r="AL53" i="9" s="1"/>
  <c r="L53" i="4"/>
  <c r="V53" i="9" s="1"/>
  <c r="D53" i="4"/>
  <c r="F53" i="9" s="1"/>
  <c r="S53" i="4"/>
  <c r="AJ53" i="9" s="1"/>
  <c r="K53" i="4"/>
  <c r="T53" i="9" s="1"/>
  <c r="C53" i="4"/>
  <c r="D53" i="9" s="1"/>
  <c r="A55" i="4" a="1"/>
  <c r="A55" i="4" s="1"/>
  <c r="O53" i="4"/>
  <c r="AB53" i="9" s="1"/>
  <c r="I53" i="4"/>
  <c r="P53" i="9" s="1"/>
  <c r="Q53" i="4"/>
  <c r="AF53" i="9" s="1"/>
  <c r="H53" i="4"/>
  <c r="N53" i="9" s="1"/>
  <c r="B53" i="4"/>
  <c r="G53" i="4"/>
  <c r="L53" i="9" s="1"/>
  <c r="J53" i="4"/>
  <c r="R53" i="9" s="1"/>
  <c r="R53" i="4"/>
  <c r="AH53" i="9" s="1"/>
  <c r="P53" i="4"/>
  <c r="AD53" i="9" s="1"/>
  <c r="B51" i="9"/>
  <c r="F20" i="8"/>
  <c r="G20" i="8" s="1"/>
  <c r="J20" i="8"/>
  <c r="N20" i="8"/>
  <c r="Q20" i="8" s="1"/>
  <c r="P20" i="8" s="1"/>
  <c r="V52" i="4"/>
  <c r="AM52" i="9" s="1"/>
  <c r="M52" i="4"/>
  <c r="X52" i="9" s="1"/>
  <c r="E52" i="4"/>
  <c r="H52" i="9" s="1"/>
  <c r="T52" i="4"/>
  <c r="AL52" i="9" s="1"/>
  <c r="S52" i="4"/>
  <c r="AJ52" i="9" s="1"/>
  <c r="K52" i="4"/>
  <c r="T52" i="9" s="1"/>
  <c r="C52" i="4"/>
  <c r="D52" i="9" s="1"/>
  <c r="R52" i="4"/>
  <c r="AH52" i="9" s="1"/>
  <c r="J52" i="4"/>
  <c r="R52" i="9" s="1"/>
  <c r="B52" i="4"/>
  <c r="B52" i="9" s="1"/>
  <c r="W52" i="4"/>
  <c r="AN52" i="9" s="1"/>
  <c r="G52" i="4"/>
  <c r="L52" i="9" s="1"/>
  <c r="P52" i="4"/>
  <c r="AD52" i="9" s="1"/>
  <c r="D52" i="4"/>
  <c r="F52" i="9" s="1"/>
  <c r="I52" i="4"/>
  <c r="P52" i="9" s="1"/>
  <c r="H52" i="4"/>
  <c r="N52" i="9" s="1"/>
  <c r="F52" i="4"/>
  <c r="J52" i="9" s="1"/>
  <c r="A54" i="4" a="1"/>
  <c r="A54" i="4" s="1"/>
  <c r="Q52" i="4"/>
  <c r="AF52" i="9" s="1"/>
  <c r="O52" i="4"/>
  <c r="AB52" i="9" s="1"/>
  <c r="N52" i="4"/>
  <c r="Z52" i="9" s="1"/>
  <c r="L52" i="4"/>
  <c r="V52" i="9" s="1"/>
  <c r="AL9" i="10"/>
  <c r="Q23" i="2" a="1"/>
  <c r="S24" i="2"/>
  <c r="T23" i="2" a="1"/>
  <c r="N22" i="2" a="1"/>
  <c r="K22" i="2" a="1"/>
  <c r="D85" i="8" a="1"/>
  <c r="R21" i="2" a="1"/>
  <c r="U21" i="2" a="1"/>
  <c r="L20" i="2" a="1"/>
  <c r="O20" i="2" a="1"/>
  <c r="P24" i="2"/>
  <c r="D22" i="8" a="1"/>
  <c r="M23" i="2" a="1"/>
  <c r="M23" i="8" a="1"/>
  <c r="J23" i="2" a="1"/>
  <c r="D85" i="8" l="1"/>
  <c r="J85" i="8" s="1"/>
  <c r="K22" i="2"/>
  <c r="N22" i="2"/>
  <c r="T23" i="2"/>
  <c r="Q23" i="2"/>
  <c r="K92" i="8"/>
  <c r="O20" i="2"/>
  <c r="L20" i="2"/>
  <c r="U21" i="2"/>
  <c r="R21" i="2"/>
  <c r="O158" i="8"/>
  <c r="O88" i="8"/>
  <c r="D87" i="8" a="1"/>
  <c r="D87" i="8" s="1"/>
  <c r="F87" i="8" s="1"/>
  <c r="G87" i="8" s="1"/>
  <c r="J87" i="8"/>
  <c r="Q87" i="8"/>
  <c r="P87" i="8" s="1"/>
  <c r="I87" i="8" a="1"/>
  <c r="I87" i="8" s="1"/>
  <c r="B87" i="8"/>
  <c r="H87" i="8"/>
  <c r="E87" i="8" s="1"/>
  <c r="N87" i="8"/>
  <c r="M87" i="8" a="1"/>
  <c r="M87" i="8" s="1"/>
  <c r="O19" i="8"/>
  <c r="W19" i="2"/>
  <c r="K160" i="8"/>
  <c r="V20" i="2"/>
  <c r="C88" i="8"/>
  <c r="I18" i="8" a="1"/>
  <c r="I18" i="8" s="1"/>
  <c r="J23" i="2"/>
  <c r="M23" i="8"/>
  <c r="M23" i="2"/>
  <c r="D22" i="8"/>
  <c r="K24" i="8"/>
  <c r="AE17" i="10"/>
  <c r="I28" i="2"/>
  <c r="L167" i="8"/>
  <c r="L27" i="8"/>
  <c r="L97" i="8"/>
  <c r="A57" i="9" a="1"/>
  <c r="A57" i="9" s="1"/>
  <c r="B53" i="9"/>
  <c r="A56" i="9" a="1"/>
  <c r="A56" i="9" s="1"/>
  <c r="F21" i="8"/>
  <c r="G21" i="8" s="1"/>
  <c r="N21" i="8"/>
  <c r="Q21" i="8" s="1"/>
  <c r="P21" i="8" s="1"/>
  <c r="J21" i="8"/>
  <c r="A56" i="4" a="1"/>
  <c r="A56" i="4" s="1"/>
  <c r="O54" i="4"/>
  <c r="AB54" i="9" s="1"/>
  <c r="G54" i="4"/>
  <c r="L54" i="9" s="1"/>
  <c r="W54" i="4"/>
  <c r="AN54" i="9" s="1"/>
  <c r="N54" i="4"/>
  <c r="Z54" i="9" s="1"/>
  <c r="F54" i="4"/>
  <c r="J54" i="9" s="1"/>
  <c r="V54" i="4"/>
  <c r="AM54" i="9" s="1"/>
  <c r="M54" i="4"/>
  <c r="X54" i="9" s="1"/>
  <c r="E54" i="4"/>
  <c r="H54" i="9" s="1"/>
  <c r="T54" i="4"/>
  <c r="AL54" i="9" s="1"/>
  <c r="L54" i="4"/>
  <c r="V54" i="9" s="1"/>
  <c r="D54" i="4"/>
  <c r="F54" i="9" s="1"/>
  <c r="H54" i="4"/>
  <c r="N54" i="9" s="1"/>
  <c r="R54" i="4"/>
  <c r="AH54" i="9" s="1"/>
  <c r="B54" i="4"/>
  <c r="B54" i="9" s="1"/>
  <c r="J54" i="4"/>
  <c r="R54" i="9" s="1"/>
  <c r="K54" i="4"/>
  <c r="T54" i="9" s="1"/>
  <c r="I54" i="4"/>
  <c r="P54" i="9" s="1"/>
  <c r="C54" i="4"/>
  <c r="D54" i="9" s="1"/>
  <c r="S54" i="4"/>
  <c r="AJ54" i="9" s="1"/>
  <c r="Q54" i="4"/>
  <c r="AF54" i="9" s="1"/>
  <c r="P54" i="4"/>
  <c r="AD54" i="9" s="1"/>
  <c r="P55" i="4"/>
  <c r="AD55" i="9" s="1"/>
  <c r="H55" i="4"/>
  <c r="N55" i="9" s="1"/>
  <c r="A57" i="4" a="1"/>
  <c r="A57" i="4" s="1"/>
  <c r="O55" i="4"/>
  <c r="AB55" i="9" s="1"/>
  <c r="G55" i="4"/>
  <c r="L55" i="9" s="1"/>
  <c r="W55" i="4"/>
  <c r="AN55" i="9" s="1"/>
  <c r="N55" i="4"/>
  <c r="Z55" i="9" s="1"/>
  <c r="F55" i="4"/>
  <c r="J55" i="9" s="1"/>
  <c r="V55" i="4"/>
  <c r="AM55" i="9" s="1"/>
  <c r="M55" i="4"/>
  <c r="X55" i="9" s="1"/>
  <c r="E55" i="4"/>
  <c r="H55" i="9" s="1"/>
  <c r="Q55" i="4"/>
  <c r="AF55" i="9" s="1"/>
  <c r="K55" i="4"/>
  <c r="T55" i="9" s="1"/>
  <c r="S55" i="4"/>
  <c r="AJ55" i="9" s="1"/>
  <c r="C55" i="4"/>
  <c r="D55" i="9" s="1"/>
  <c r="L55" i="4"/>
  <c r="V55" i="9" s="1"/>
  <c r="J55" i="4"/>
  <c r="R55" i="9" s="1"/>
  <c r="I55" i="4"/>
  <c r="P55" i="9" s="1"/>
  <c r="D55" i="4"/>
  <c r="F55" i="9" s="1"/>
  <c r="B55" i="4"/>
  <c r="R55" i="4"/>
  <c r="AH55" i="9" s="1"/>
  <c r="T55" i="4"/>
  <c r="AL55" i="9" s="1"/>
  <c r="Q24" i="2" a="1"/>
  <c r="U22" i="2" a="1"/>
  <c r="S25" i="2"/>
  <c r="N23" i="2" a="1"/>
  <c r="T24" i="2" a="1"/>
  <c r="K23" i="2" a="1"/>
  <c r="R22" i="2" a="1"/>
  <c r="O21" i="2" a="1"/>
  <c r="L21" i="2" a="1"/>
  <c r="D23" i="8" a="1"/>
  <c r="M24" i="2" a="1"/>
  <c r="P25" i="2"/>
  <c r="M24" i="8" a="1"/>
  <c r="J24" i="2" a="1"/>
  <c r="F85" i="8" l="1"/>
  <c r="G85" i="8" s="1"/>
  <c r="N85" i="8"/>
  <c r="Q85" i="8" s="1"/>
  <c r="P85" i="8" s="1"/>
  <c r="R22" i="2"/>
  <c r="K23" i="2"/>
  <c r="T24" i="2"/>
  <c r="N23" i="2"/>
  <c r="U22" i="2"/>
  <c r="Q24" i="2"/>
  <c r="K93" i="8"/>
  <c r="B55" i="9"/>
  <c r="L21" i="2"/>
  <c r="O21" i="2"/>
  <c r="C89" i="8"/>
  <c r="I19" i="8" a="1"/>
  <c r="I19" i="8" s="1"/>
  <c r="O159" i="8"/>
  <c r="O89" i="8"/>
  <c r="B88" i="8"/>
  <c r="J88" i="8"/>
  <c r="H88" i="8"/>
  <c r="E88" i="8" s="1"/>
  <c r="M88" i="8" a="1"/>
  <c r="M88" i="8" s="1"/>
  <c r="I88" i="8" a="1"/>
  <c r="I88" i="8" s="1"/>
  <c r="N88" i="8"/>
  <c r="Q88" i="8"/>
  <c r="P88" i="8" s="1"/>
  <c r="D88" i="8" a="1"/>
  <c r="D88" i="8" s="1"/>
  <c r="F88" i="8" s="1"/>
  <c r="G88" i="8" s="1"/>
  <c r="O20" i="8"/>
  <c r="W20" i="2"/>
  <c r="K161" i="8"/>
  <c r="V21" i="2"/>
  <c r="J24" i="2"/>
  <c r="M24" i="8"/>
  <c r="K25" i="8"/>
  <c r="M24" i="2"/>
  <c r="D23" i="8"/>
  <c r="R57" i="4"/>
  <c r="AH57" i="9" s="1"/>
  <c r="J57" i="4"/>
  <c r="R57" i="9" s="1"/>
  <c r="B57" i="4"/>
  <c r="Q57" i="4"/>
  <c r="AF57" i="9" s="1"/>
  <c r="I57" i="4"/>
  <c r="P57" i="9" s="1"/>
  <c r="P57" i="4"/>
  <c r="AD57" i="9" s="1"/>
  <c r="H57" i="4"/>
  <c r="N57" i="9" s="1"/>
  <c r="A59" i="4" a="1"/>
  <c r="A59" i="4" s="1"/>
  <c r="O57" i="4"/>
  <c r="AB57" i="9" s="1"/>
  <c r="G57" i="4"/>
  <c r="L57" i="9" s="1"/>
  <c r="S57" i="4"/>
  <c r="AJ57" i="9" s="1"/>
  <c r="C57" i="4"/>
  <c r="D57" i="9" s="1"/>
  <c r="M57" i="4"/>
  <c r="X57" i="9" s="1"/>
  <c r="V57" i="4"/>
  <c r="AM57" i="9" s="1"/>
  <c r="E57" i="4"/>
  <c r="H57" i="9" s="1"/>
  <c r="T57" i="4"/>
  <c r="AL57" i="9" s="1"/>
  <c r="N57" i="4"/>
  <c r="Z57" i="9" s="1"/>
  <c r="L57" i="4"/>
  <c r="V57" i="9" s="1"/>
  <c r="K57" i="4"/>
  <c r="T57" i="9" s="1"/>
  <c r="F57" i="4"/>
  <c r="J57" i="9" s="1"/>
  <c r="W57" i="4"/>
  <c r="AN57" i="9" s="1"/>
  <c r="D57" i="4"/>
  <c r="F57" i="9" s="1"/>
  <c r="AL17" i="10"/>
  <c r="Q56" i="4"/>
  <c r="AF56" i="9" s="1"/>
  <c r="I56" i="4"/>
  <c r="P56" i="9" s="1"/>
  <c r="P56" i="4"/>
  <c r="AD56" i="9" s="1"/>
  <c r="H56" i="4"/>
  <c r="N56" i="9" s="1"/>
  <c r="A58" i="4" a="1"/>
  <c r="A58" i="4" s="1"/>
  <c r="O56" i="4"/>
  <c r="AB56" i="9" s="1"/>
  <c r="G56" i="4"/>
  <c r="L56" i="9" s="1"/>
  <c r="W56" i="4"/>
  <c r="AN56" i="9" s="1"/>
  <c r="N56" i="4"/>
  <c r="Z56" i="9" s="1"/>
  <c r="F56" i="4"/>
  <c r="J56" i="9" s="1"/>
  <c r="J56" i="4"/>
  <c r="R56" i="9" s="1"/>
  <c r="T56" i="4"/>
  <c r="AL56" i="9" s="1"/>
  <c r="D56" i="4"/>
  <c r="F56" i="9" s="1"/>
  <c r="L56" i="4"/>
  <c r="V56" i="9" s="1"/>
  <c r="R56" i="4"/>
  <c r="AH56" i="9" s="1"/>
  <c r="M56" i="4"/>
  <c r="X56" i="9" s="1"/>
  <c r="K56" i="4"/>
  <c r="T56" i="9" s="1"/>
  <c r="E56" i="4"/>
  <c r="H56" i="9" s="1"/>
  <c r="C56" i="4"/>
  <c r="D56" i="9" s="1"/>
  <c r="B56" i="4"/>
  <c r="B56" i="9" s="1"/>
  <c r="V56" i="4"/>
  <c r="AM56" i="9" s="1"/>
  <c r="S56" i="4"/>
  <c r="AJ56" i="9" s="1"/>
  <c r="A59" i="9" a="1"/>
  <c r="A59" i="9" s="1"/>
  <c r="N22" i="8"/>
  <c r="Q22" i="8" s="1"/>
  <c r="P22" i="8" s="1"/>
  <c r="F22" i="8"/>
  <c r="G22" i="8" s="1"/>
  <c r="J22" i="8"/>
  <c r="A58" i="9" a="1"/>
  <c r="A58" i="9" s="1"/>
  <c r="L28" i="8"/>
  <c r="I29" i="2"/>
  <c r="L98" i="8"/>
  <c r="L168" i="8"/>
  <c r="Q25" i="2" a="1"/>
  <c r="L22" i="2" a="1"/>
  <c r="K24" i="2" a="1"/>
  <c r="R23" i="2" a="1"/>
  <c r="S26" i="2"/>
  <c r="N24" i="2" a="1"/>
  <c r="T25" i="2" a="1"/>
  <c r="U23" i="2" a="1"/>
  <c r="O22" i="2" a="1"/>
  <c r="D24" i="8" a="1"/>
  <c r="M25" i="2" a="1"/>
  <c r="P26" i="2"/>
  <c r="M25" i="8" a="1"/>
  <c r="J25" i="2" a="1"/>
  <c r="O22" i="2" l="1"/>
  <c r="U23" i="2"/>
  <c r="T25" i="2"/>
  <c r="N24" i="2"/>
  <c r="R23" i="2"/>
  <c r="K24" i="2"/>
  <c r="L22" i="2"/>
  <c r="Q25" i="2"/>
  <c r="B57" i="9"/>
  <c r="K94" i="8"/>
  <c r="K162" i="8"/>
  <c r="V22" i="2"/>
  <c r="C90" i="8"/>
  <c r="I20" i="8" a="1"/>
  <c r="I20" i="8" s="1"/>
  <c r="O90" i="8"/>
  <c r="O160" i="8"/>
  <c r="B89" i="8"/>
  <c r="J89" i="8"/>
  <c r="Q89" i="8"/>
  <c r="P89" i="8" s="1"/>
  <c r="H89" i="8"/>
  <c r="E89" i="8" s="1"/>
  <c r="D89" i="8" a="1"/>
  <c r="D89" i="8" s="1"/>
  <c r="F89" i="8" s="1"/>
  <c r="G89" i="8" s="1"/>
  <c r="I89" i="8" a="1"/>
  <c r="I89" i="8" s="1"/>
  <c r="N89" i="8"/>
  <c r="M89" i="8" a="1"/>
  <c r="M89" i="8" s="1"/>
  <c r="O21" i="8"/>
  <c r="W21" i="2"/>
  <c r="J25" i="2"/>
  <c r="M25" i="8"/>
  <c r="K26" i="8"/>
  <c r="M25" i="2"/>
  <c r="D24" i="8"/>
  <c r="A61" i="9" a="1"/>
  <c r="A61" i="9" s="1"/>
  <c r="A60" i="9" a="1"/>
  <c r="A60" i="9" s="1"/>
  <c r="AE25" i="10"/>
  <c r="S58" i="4"/>
  <c r="AJ58" i="9" s="1"/>
  <c r="K58" i="4"/>
  <c r="T58" i="9" s="1"/>
  <c r="C58" i="4"/>
  <c r="D58" i="9" s="1"/>
  <c r="R58" i="4"/>
  <c r="AH58" i="9" s="1"/>
  <c r="J58" i="4"/>
  <c r="R58" i="9" s="1"/>
  <c r="B58" i="4"/>
  <c r="B58" i="9" s="1"/>
  <c r="Q58" i="4"/>
  <c r="AF58" i="9" s="1"/>
  <c r="I58" i="4"/>
  <c r="P58" i="9" s="1"/>
  <c r="P58" i="4"/>
  <c r="AD58" i="9" s="1"/>
  <c r="H58" i="4"/>
  <c r="N58" i="9" s="1"/>
  <c r="L58" i="4"/>
  <c r="V58" i="9" s="1"/>
  <c r="W58" i="4"/>
  <c r="AN58" i="9" s="1"/>
  <c r="F58" i="4"/>
  <c r="J58" i="9" s="1"/>
  <c r="A60" i="4" a="1"/>
  <c r="A60" i="4" s="1"/>
  <c r="N58" i="4"/>
  <c r="Z58" i="9" s="1"/>
  <c r="V58" i="4"/>
  <c r="AM58" i="9" s="1"/>
  <c r="T58" i="4"/>
  <c r="AL58" i="9" s="1"/>
  <c r="O58" i="4"/>
  <c r="AB58" i="9" s="1"/>
  <c r="M58" i="4"/>
  <c r="X58" i="9" s="1"/>
  <c r="G58" i="4"/>
  <c r="L58" i="9" s="1"/>
  <c r="E58" i="4"/>
  <c r="H58" i="9" s="1"/>
  <c r="D58" i="4"/>
  <c r="F58" i="9" s="1"/>
  <c r="T59" i="4"/>
  <c r="AL59" i="9" s="1"/>
  <c r="L59" i="4"/>
  <c r="V59" i="9" s="1"/>
  <c r="D59" i="4"/>
  <c r="F59" i="9" s="1"/>
  <c r="S59" i="4"/>
  <c r="AJ59" i="9" s="1"/>
  <c r="K59" i="4"/>
  <c r="T59" i="9" s="1"/>
  <c r="C59" i="4"/>
  <c r="D59" i="9" s="1"/>
  <c r="R59" i="4"/>
  <c r="AH59" i="9" s="1"/>
  <c r="J59" i="4"/>
  <c r="R59" i="9" s="1"/>
  <c r="B59" i="4"/>
  <c r="Q59" i="4"/>
  <c r="AF59" i="9" s="1"/>
  <c r="I59" i="4"/>
  <c r="P59" i="9" s="1"/>
  <c r="V59" i="4"/>
  <c r="AM59" i="9" s="1"/>
  <c r="E59" i="4"/>
  <c r="H59" i="9" s="1"/>
  <c r="A61" i="4" a="1"/>
  <c r="A61" i="4" s="1"/>
  <c r="O59" i="4"/>
  <c r="AB59" i="9" s="1"/>
  <c r="G59" i="4"/>
  <c r="L59" i="9" s="1"/>
  <c r="W59" i="4"/>
  <c r="AN59" i="9" s="1"/>
  <c r="P59" i="4"/>
  <c r="AD59" i="9" s="1"/>
  <c r="N59" i="4"/>
  <c r="Z59" i="9" s="1"/>
  <c r="M59" i="4"/>
  <c r="X59" i="9" s="1"/>
  <c r="H59" i="4"/>
  <c r="N59" i="9" s="1"/>
  <c r="F59" i="4"/>
  <c r="J59" i="9" s="1"/>
  <c r="F23" i="8"/>
  <c r="G23" i="8" s="1"/>
  <c r="J23" i="8"/>
  <c r="N23" i="8"/>
  <c r="Q23" i="8" s="1"/>
  <c r="P23" i="8" s="1"/>
  <c r="I30" i="2"/>
  <c r="L29" i="8"/>
  <c r="L169" i="8"/>
  <c r="L99" i="8"/>
  <c r="Q26" i="2" a="1"/>
  <c r="K25" i="2" a="1"/>
  <c r="O23" i="2" a="1"/>
  <c r="U24" i="2" a="1"/>
  <c r="N25" i="2" a="1"/>
  <c r="R24" i="2" a="1"/>
  <c r="T26" i="2" a="1"/>
  <c r="S27" i="2"/>
  <c r="L23" i="2" a="1"/>
  <c r="D25" i="8" a="1"/>
  <c r="M26" i="8" a="1"/>
  <c r="P27" i="2"/>
  <c r="M26" i="2" a="1"/>
  <c r="J26" i="2" a="1"/>
  <c r="L23" i="2" l="1"/>
  <c r="T26" i="2"/>
  <c r="R24" i="2"/>
  <c r="N25" i="2"/>
  <c r="U24" i="2"/>
  <c r="O23" i="2"/>
  <c r="K25" i="2"/>
  <c r="Q26" i="2"/>
  <c r="K163" i="8"/>
  <c r="V23" i="2"/>
  <c r="K95" i="8"/>
  <c r="O22" i="8"/>
  <c r="W22" i="2"/>
  <c r="C92" i="8" s="1"/>
  <c r="C91" i="8"/>
  <c r="I21" i="8" a="1"/>
  <c r="I21" i="8" s="1"/>
  <c r="O161" i="8"/>
  <c r="O91" i="8"/>
  <c r="H90" i="8"/>
  <c r="E90" i="8" s="1"/>
  <c r="D90" i="8" a="1"/>
  <c r="D90" i="8" s="1"/>
  <c r="F90" i="8" s="1"/>
  <c r="G90" i="8" s="1"/>
  <c r="N90" i="8"/>
  <c r="M90" i="8" a="1"/>
  <c r="M90" i="8" s="1"/>
  <c r="J90" i="8"/>
  <c r="B90" i="8"/>
  <c r="Q90" i="8"/>
  <c r="P90" i="8" s="1"/>
  <c r="I90" i="8" a="1"/>
  <c r="I90" i="8" s="1"/>
  <c r="J26" i="2"/>
  <c r="M26" i="2"/>
  <c r="K27" i="8"/>
  <c r="M26" i="8"/>
  <c r="D25" i="8"/>
  <c r="AL25" i="10"/>
  <c r="L30" i="8"/>
  <c r="I31" i="2"/>
  <c r="L100" i="8"/>
  <c r="L170" i="8"/>
  <c r="A62" i="9" a="1"/>
  <c r="A62" i="9" s="1"/>
  <c r="B59" i="9"/>
  <c r="V60" i="4"/>
  <c r="AM60" i="9" s="1"/>
  <c r="M60" i="4"/>
  <c r="X60" i="9" s="1"/>
  <c r="E60" i="4"/>
  <c r="H60" i="9" s="1"/>
  <c r="T60" i="4"/>
  <c r="AL60" i="9" s="1"/>
  <c r="L60" i="4"/>
  <c r="V60" i="9" s="1"/>
  <c r="D60" i="4"/>
  <c r="F60" i="9" s="1"/>
  <c r="S60" i="4"/>
  <c r="AJ60" i="9" s="1"/>
  <c r="K60" i="4"/>
  <c r="T60" i="9" s="1"/>
  <c r="C60" i="4"/>
  <c r="D60" i="9" s="1"/>
  <c r="R60" i="4"/>
  <c r="AH60" i="9" s="1"/>
  <c r="J60" i="4"/>
  <c r="R60" i="9" s="1"/>
  <c r="B60" i="4"/>
  <c r="N60" i="4"/>
  <c r="Z60" i="9" s="1"/>
  <c r="H60" i="4"/>
  <c r="N60" i="9" s="1"/>
  <c r="Q60" i="4"/>
  <c r="AF60" i="9" s="1"/>
  <c r="P60" i="4"/>
  <c r="AD60" i="9" s="1"/>
  <c r="F60" i="4"/>
  <c r="J60" i="9" s="1"/>
  <c r="W60" i="4"/>
  <c r="AN60" i="9" s="1"/>
  <c r="A62" i="4" a="1"/>
  <c r="A62" i="4" s="1"/>
  <c r="O60" i="4"/>
  <c r="AB60" i="9" s="1"/>
  <c r="I60" i="4"/>
  <c r="P60" i="9" s="1"/>
  <c r="G60" i="4"/>
  <c r="L60" i="9" s="1"/>
  <c r="W61" i="4"/>
  <c r="AN61" i="9" s="1"/>
  <c r="N61" i="4"/>
  <c r="Z61" i="9" s="1"/>
  <c r="F61" i="4"/>
  <c r="J61" i="9" s="1"/>
  <c r="V61" i="4"/>
  <c r="AM61" i="9" s="1"/>
  <c r="M61" i="4"/>
  <c r="X61" i="9" s="1"/>
  <c r="E61" i="4"/>
  <c r="H61" i="9" s="1"/>
  <c r="T61" i="4"/>
  <c r="AL61" i="9" s="1"/>
  <c r="L61" i="4"/>
  <c r="V61" i="9" s="1"/>
  <c r="D61" i="4"/>
  <c r="F61" i="9" s="1"/>
  <c r="S61" i="4"/>
  <c r="AJ61" i="9" s="1"/>
  <c r="K61" i="4"/>
  <c r="T61" i="9" s="1"/>
  <c r="C61" i="4"/>
  <c r="D61" i="9" s="1"/>
  <c r="G61" i="4"/>
  <c r="L61" i="9" s="1"/>
  <c r="Q61" i="4"/>
  <c r="AF61" i="9" s="1"/>
  <c r="J61" i="4"/>
  <c r="R61" i="9" s="1"/>
  <c r="I61" i="4"/>
  <c r="P61" i="9" s="1"/>
  <c r="A63" i="4" a="1"/>
  <c r="A63" i="4" s="1"/>
  <c r="O61" i="4"/>
  <c r="AB61" i="9" s="1"/>
  <c r="H61" i="4"/>
  <c r="N61" i="9" s="1"/>
  <c r="B61" i="4"/>
  <c r="P61" i="4"/>
  <c r="AD61" i="9" s="1"/>
  <c r="R61" i="4"/>
  <c r="AH61" i="9" s="1"/>
  <c r="A63" i="9" a="1"/>
  <c r="A63" i="9" s="1"/>
  <c r="F24" i="8"/>
  <c r="G24" i="8" s="1"/>
  <c r="J24" i="8"/>
  <c r="N24" i="8"/>
  <c r="Q24" i="8" s="1"/>
  <c r="P24" i="8" s="1"/>
  <c r="D92" i="8" a="1"/>
  <c r="M92" i="8" a="1"/>
  <c r="S28" i="2"/>
  <c r="Q27" i="2" a="1"/>
  <c r="K26" i="2" a="1"/>
  <c r="T27" i="2" a="1"/>
  <c r="N26" i="2" a="1"/>
  <c r="L24" i="2" a="1"/>
  <c r="U25" i="2" a="1"/>
  <c r="R25" i="2" a="1"/>
  <c r="O24" i="2" a="1"/>
  <c r="D26" i="8" a="1"/>
  <c r="J27" i="2" a="1"/>
  <c r="M27" i="2" a="1"/>
  <c r="M27" i="8" a="1"/>
  <c r="P28" i="2"/>
  <c r="M92" i="8" l="1"/>
  <c r="D92" i="8"/>
  <c r="F92" i="8" s="1"/>
  <c r="G92" i="8" s="1"/>
  <c r="B92" i="8"/>
  <c r="H92" i="8"/>
  <c r="E92" i="8" s="1"/>
  <c r="J92" i="8"/>
  <c r="N92" i="8"/>
  <c r="Q92" i="8" s="1"/>
  <c r="P92" i="8" s="1"/>
  <c r="B61" i="9"/>
  <c r="O24" i="2"/>
  <c r="R25" i="2"/>
  <c r="U25" i="2"/>
  <c r="L24" i="2"/>
  <c r="N26" i="2"/>
  <c r="T27" i="2"/>
  <c r="K26" i="2"/>
  <c r="Q27" i="2"/>
  <c r="K164" i="8"/>
  <c r="V24" i="2"/>
  <c r="O23" i="8"/>
  <c r="W23" i="2"/>
  <c r="I22" i="8" a="1"/>
  <c r="I22" i="8" s="1"/>
  <c r="K96" i="8"/>
  <c r="O92" i="8"/>
  <c r="I92" i="8" s="1" a="1"/>
  <c r="I92" i="8" s="1"/>
  <c r="O162" i="8"/>
  <c r="M91" i="8" a="1"/>
  <c r="M91" i="8" s="1"/>
  <c r="J91" i="8"/>
  <c r="I91" i="8" a="1"/>
  <c r="I91" i="8" s="1"/>
  <c r="D91" i="8" a="1"/>
  <c r="D91" i="8" s="1"/>
  <c r="F91" i="8" s="1"/>
  <c r="G91" i="8" s="1"/>
  <c r="B91" i="8"/>
  <c r="N91" i="8"/>
  <c r="H91" i="8"/>
  <c r="E91" i="8" s="1"/>
  <c r="Q91" i="8"/>
  <c r="P91" i="8" s="1"/>
  <c r="K28" i="8"/>
  <c r="M27" i="8"/>
  <c r="M27" i="2"/>
  <c r="J27" i="2"/>
  <c r="D26" i="8"/>
  <c r="A64" i="4" a="1"/>
  <c r="A64" i="4" s="1"/>
  <c r="O62" i="4"/>
  <c r="AB62" i="9" s="1"/>
  <c r="G62" i="4"/>
  <c r="L62" i="9" s="1"/>
  <c r="W62" i="4"/>
  <c r="AN62" i="9" s="1"/>
  <c r="N62" i="4"/>
  <c r="Z62" i="9" s="1"/>
  <c r="F62" i="4"/>
  <c r="J62" i="9" s="1"/>
  <c r="V62" i="4"/>
  <c r="AM62" i="9" s="1"/>
  <c r="M62" i="4"/>
  <c r="X62" i="9" s="1"/>
  <c r="E62" i="4"/>
  <c r="H62" i="9" s="1"/>
  <c r="T62" i="4"/>
  <c r="AL62" i="9" s="1"/>
  <c r="L62" i="4"/>
  <c r="V62" i="9" s="1"/>
  <c r="D62" i="4"/>
  <c r="F62" i="9" s="1"/>
  <c r="P62" i="4"/>
  <c r="AD62" i="9" s="1"/>
  <c r="J62" i="4"/>
  <c r="R62" i="9" s="1"/>
  <c r="S62" i="4"/>
  <c r="AJ62" i="9" s="1"/>
  <c r="C62" i="4"/>
  <c r="D62" i="9" s="1"/>
  <c r="R62" i="4"/>
  <c r="AH62" i="9" s="1"/>
  <c r="B62" i="4"/>
  <c r="B62" i="9" s="1"/>
  <c r="Q62" i="4"/>
  <c r="AF62" i="9" s="1"/>
  <c r="K62" i="4"/>
  <c r="T62" i="9" s="1"/>
  <c r="I62" i="4"/>
  <c r="P62" i="9" s="1"/>
  <c r="H62" i="4"/>
  <c r="N62" i="9" s="1"/>
  <c r="AE33" i="10"/>
  <c r="I32" i="2"/>
  <c r="L31" i="8"/>
  <c r="L101" i="8"/>
  <c r="L171" i="8"/>
  <c r="A65" i="9" a="1"/>
  <c r="A65" i="9" s="1"/>
  <c r="A64" i="9" a="1"/>
  <c r="A64" i="9" s="1"/>
  <c r="B60" i="9"/>
  <c r="F25" i="8"/>
  <c r="G25" i="8" s="1"/>
  <c r="N25" i="8"/>
  <c r="Q25" i="8" s="1"/>
  <c r="P25" i="8" s="1"/>
  <c r="J25" i="8"/>
  <c r="P63" i="4"/>
  <c r="AD63" i="9" s="1"/>
  <c r="H63" i="4"/>
  <c r="N63" i="9" s="1"/>
  <c r="A65" i="4" a="1"/>
  <c r="A65" i="4" s="1"/>
  <c r="O63" i="4"/>
  <c r="AB63" i="9" s="1"/>
  <c r="G63" i="4"/>
  <c r="L63" i="9" s="1"/>
  <c r="W63" i="4"/>
  <c r="AN63" i="9" s="1"/>
  <c r="N63" i="4"/>
  <c r="Z63" i="9" s="1"/>
  <c r="F63" i="4"/>
  <c r="J63" i="9" s="1"/>
  <c r="V63" i="4"/>
  <c r="AM63" i="9" s="1"/>
  <c r="M63" i="4"/>
  <c r="X63" i="9" s="1"/>
  <c r="E63" i="4"/>
  <c r="H63" i="9" s="1"/>
  <c r="I63" i="4"/>
  <c r="P63" i="9" s="1"/>
  <c r="S63" i="4"/>
  <c r="AJ63" i="9" s="1"/>
  <c r="C63" i="4"/>
  <c r="D63" i="9" s="1"/>
  <c r="L63" i="4"/>
  <c r="V63" i="9" s="1"/>
  <c r="K63" i="4"/>
  <c r="T63" i="9" s="1"/>
  <c r="T63" i="4"/>
  <c r="AL63" i="9" s="1"/>
  <c r="R63" i="4"/>
  <c r="AH63" i="9" s="1"/>
  <c r="Q63" i="4"/>
  <c r="AF63" i="9" s="1"/>
  <c r="J63" i="4"/>
  <c r="R63" i="9" s="1"/>
  <c r="D63" i="4"/>
  <c r="F63" i="9" s="1"/>
  <c r="B63" i="4"/>
  <c r="Q28" i="2" a="1"/>
  <c r="T28" i="2" a="1"/>
  <c r="S29" i="2"/>
  <c r="L25" i="2" a="1"/>
  <c r="O25" i="2" a="1"/>
  <c r="U26" i="2" a="1"/>
  <c r="N27" i="2" a="1"/>
  <c r="R26" i="2" a="1"/>
  <c r="K27" i="2" a="1"/>
  <c r="M28" i="8" a="1"/>
  <c r="J28" i="2" a="1"/>
  <c r="D27" i="8" a="1"/>
  <c r="M28" i="2" a="1"/>
  <c r="P29" i="2"/>
  <c r="T28" i="2" l="1"/>
  <c r="Q28" i="2"/>
  <c r="K27" i="2"/>
  <c r="R26" i="2"/>
  <c r="N27" i="2"/>
  <c r="U26" i="2"/>
  <c r="O25" i="2"/>
  <c r="L25" i="2"/>
  <c r="K97" i="8"/>
  <c r="I23" i="8" a="1"/>
  <c r="I23" i="8" s="1"/>
  <c r="C93" i="8"/>
  <c r="O163" i="8"/>
  <c r="O93" i="8"/>
  <c r="O24" i="8"/>
  <c r="W24" i="2"/>
  <c r="K165" i="8"/>
  <c r="V25" i="2"/>
  <c r="K29" i="8"/>
  <c r="M28" i="2"/>
  <c r="D27" i="8"/>
  <c r="J28" i="2"/>
  <c r="M28" i="8"/>
  <c r="AL33" i="10"/>
  <c r="Q64" i="4"/>
  <c r="AF64" i="9" s="1"/>
  <c r="I64" i="4"/>
  <c r="P64" i="9" s="1"/>
  <c r="P64" i="4"/>
  <c r="H64" i="4"/>
  <c r="N64" i="9" s="1"/>
  <c r="A66" i="4" a="1"/>
  <c r="A66" i="4" s="1"/>
  <c r="O64" i="4"/>
  <c r="G64" i="4"/>
  <c r="L64" i="9" s="1"/>
  <c r="W64" i="4"/>
  <c r="AN64" i="9" s="1"/>
  <c r="N64" i="4"/>
  <c r="Z64" i="9" s="1"/>
  <c r="F64" i="4"/>
  <c r="J64" i="9" s="1"/>
  <c r="R64" i="4"/>
  <c r="AH64" i="9" s="1"/>
  <c r="B64" i="4"/>
  <c r="B64" i="9" s="1"/>
  <c r="L64" i="4"/>
  <c r="V64" i="9" s="1"/>
  <c r="V64" i="4"/>
  <c r="AM64" i="9" s="1"/>
  <c r="E64" i="4"/>
  <c r="H64" i="9" s="1"/>
  <c r="T64" i="4"/>
  <c r="AL64" i="9" s="1"/>
  <c r="D64" i="4"/>
  <c r="F64" i="9" s="1"/>
  <c r="J64" i="4"/>
  <c r="R64" i="9" s="1"/>
  <c r="C64" i="4"/>
  <c r="D64" i="9" s="1"/>
  <c r="K64" i="4"/>
  <c r="T64" i="9" s="1"/>
  <c r="S64" i="4"/>
  <c r="AJ64" i="9" s="1"/>
  <c r="M64" i="4"/>
  <c r="X64" i="9" s="1"/>
  <c r="R65" i="4"/>
  <c r="AH65" i="9" s="1"/>
  <c r="J65" i="4"/>
  <c r="R65" i="9" s="1"/>
  <c r="B65" i="4"/>
  <c r="Q65" i="4"/>
  <c r="AF65" i="9" s="1"/>
  <c r="I65" i="4"/>
  <c r="P65" i="9" s="1"/>
  <c r="P65" i="4"/>
  <c r="AD65" i="9" s="1"/>
  <c r="H65" i="4"/>
  <c r="N65" i="9" s="1"/>
  <c r="A67" i="4" a="1"/>
  <c r="A67" i="4" s="1"/>
  <c r="O65" i="4"/>
  <c r="AB65" i="9" s="1"/>
  <c r="G65" i="4"/>
  <c r="L65" i="9" s="1"/>
  <c r="K65" i="4"/>
  <c r="T65" i="9" s="1"/>
  <c r="V65" i="4"/>
  <c r="AM65" i="9" s="1"/>
  <c r="E65" i="4"/>
  <c r="H65" i="9" s="1"/>
  <c r="N65" i="4"/>
  <c r="Z65" i="9" s="1"/>
  <c r="M65" i="4"/>
  <c r="X65" i="9" s="1"/>
  <c r="S65" i="4"/>
  <c r="AJ65" i="9" s="1"/>
  <c r="F65" i="4"/>
  <c r="J65" i="9" s="1"/>
  <c r="L65" i="4"/>
  <c r="V65" i="9" s="1"/>
  <c r="D65" i="4"/>
  <c r="F65" i="9" s="1"/>
  <c r="C65" i="4"/>
  <c r="D65" i="9" s="1"/>
  <c r="T65" i="4"/>
  <c r="AL65" i="9" s="1"/>
  <c r="W65" i="4"/>
  <c r="AN65" i="9" s="1"/>
  <c r="A66" i="9" a="1"/>
  <c r="A66" i="9" s="1"/>
  <c r="AB64" i="9"/>
  <c r="AD64" i="9"/>
  <c r="A67" i="9" a="1"/>
  <c r="A67" i="9" s="1"/>
  <c r="F26" i="8"/>
  <c r="G26" i="8" s="1"/>
  <c r="J26" i="8"/>
  <c r="N26" i="8"/>
  <c r="Q26" i="8" s="1"/>
  <c r="P26" i="8" s="1"/>
  <c r="B63" i="9"/>
  <c r="L32" i="8"/>
  <c r="I33" i="2"/>
  <c r="L102" i="8"/>
  <c r="L172" i="8"/>
  <c r="Q29" i="2" a="1"/>
  <c r="T29" i="2" a="1"/>
  <c r="N28" i="2" a="1"/>
  <c r="K28" i="2" a="1"/>
  <c r="S30" i="2"/>
  <c r="L26" i="2" a="1"/>
  <c r="U27" i="2" a="1"/>
  <c r="O26" i="2" a="1"/>
  <c r="R27" i="2" a="1"/>
  <c r="D28" i="8" a="1"/>
  <c r="M29" i="2" a="1"/>
  <c r="P30" i="2"/>
  <c r="M29" i="8" a="1"/>
  <c r="J29" i="2" a="1"/>
  <c r="K28" i="2" l="1"/>
  <c r="N28" i="2"/>
  <c r="T29" i="2"/>
  <c r="Q29" i="2"/>
  <c r="B65" i="9"/>
  <c r="K98" i="8"/>
  <c r="R27" i="2"/>
  <c r="O26" i="2"/>
  <c r="U27" i="2"/>
  <c r="L26" i="2"/>
  <c r="C94" i="8"/>
  <c r="I24" i="8" a="1"/>
  <c r="I24" i="8" s="1"/>
  <c r="O94" i="8"/>
  <c r="O164" i="8"/>
  <c r="H93" i="8"/>
  <c r="E93" i="8" s="1"/>
  <c r="Q93" i="8"/>
  <c r="P93" i="8" s="1"/>
  <c r="J93" i="8"/>
  <c r="N93" i="8"/>
  <c r="M93" i="8" a="1"/>
  <c r="M93" i="8" s="1"/>
  <c r="D93" i="8" a="1"/>
  <c r="D93" i="8" s="1"/>
  <c r="F93" i="8" s="1"/>
  <c r="G93" i="8" s="1"/>
  <c r="I93" i="8" a="1"/>
  <c r="I93" i="8" s="1"/>
  <c r="B93" i="8"/>
  <c r="O25" i="8"/>
  <c r="W25" i="2"/>
  <c r="K166" i="8"/>
  <c r="V26" i="2"/>
  <c r="J29" i="2"/>
  <c r="M29" i="8"/>
  <c r="K30" i="8"/>
  <c r="M29" i="2"/>
  <c r="D28" i="8"/>
  <c r="AE41" i="10"/>
  <c r="A69" i="9" a="1"/>
  <c r="A69" i="9" s="1"/>
  <c r="S66" i="4"/>
  <c r="K66" i="4"/>
  <c r="C66" i="4"/>
  <c r="D66" i="9" s="1"/>
  <c r="R66" i="4"/>
  <c r="AH66" i="9" s="1"/>
  <c r="J66" i="4"/>
  <c r="R66" i="9" s="1"/>
  <c r="B66" i="4"/>
  <c r="Q66" i="4"/>
  <c r="AF66" i="9" s="1"/>
  <c r="I66" i="4"/>
  <c r="P66" i="9" s="1"/>
  <c r="P66" i="4"/>
  <c r="AD66" i="9" s="1"/>
  <c r="H66" i="4"/>
  <c r="N66" i="9" s="1"/>
  <c r="T66" i="4"/>
  <c r="AL66" i="9" s="1"/>
  <c r="D66" i="4"/>
  <c r="F66" i="9" s="1"/>
  <c r="N66" i="4"/>
  <c r="Z66" i="9" s="1"/>
  <c r="G66" i="4"/>
  <c r="L66" i="9" s="1"/>
  <c r="W66" i="4"/>
  <c r="AN66" i="9" s="1"/>
  <c r="F66" i="4"/>
  <c r="J66" i="9" s="1"/>
  <c r="O66" i="4"/>
  <c r="AB66" i="9" s="1"/>
  <c r="V66" i="4"/>
  <c r="AM66" i="9" s="1"/>
  <c r="A68" i="4" a="1"/>
  <c r="A68" i="4" s="1"/>
  <c r="M66" i="4"/>
  <c r="X66" i="9" s="1"/>
  <c r="L66" i="4"/>
  <c r="V66" i="9" s="1"/>
  <c r="E66" i="4"/>
  <c r="H66" i="9" s="1"/>
  <c r="T67" i="4"/>
  <c r="AL67" i="9" s="1"/>
  <c r="L67" i="4"/>
  <c r="V67" i="9" s="1"/>
  <c r="D67" i="4"/>
  <c r="F67" i="9" s="1"/>
  <c r="S67" i="4"/>
  <c r="AJ67" i="9" s="1"/>
  <c r="K67" i="4"/>
  <c r="T67" i="9" s="1"/>
  <c r="C67" i="4"/>
  <c r="D67" i="9" s="1"/>
  <c r="R67" i="4"/>
  <c r="AH67" i="9" s="1"/>
  <c r="J67" i="4"/>
  <c r="R67" i="9" s="1"/>
  <c r="B67" i="4"/>
  <c r="Q67" i="4"/>
  <c r="AF67" i="9" s="1"/>
  <c r="I67" i="4"/>
  <c r="P67" i="9" s="1"/>
  <c r="M67" i="4"/>
  <c r="X67" i="9" s="1"/>
  <c r="G67" i="4"/>
  <c r="L67" i="9" s="1"/>
  <c r="P67" i="4"/>
  <c r="AD67" i="9" s="1"/>
  <c r="A69" i="4" a="1"/>
  <c r="A69" i="4" s="1"/>
  <c r="O67" i="4"/>
  <c r="AB67" i="9" s="1"/>
  <c r="E67" i="4"/>
  <c r="H67" i="9" s="1"/>
  <c r="W67" i="4"/>
  <c r="AN67" i="9" s="1"/>
  <c r="V67" i="4"/>
  <c r="AM67" i="9" s="1"/>
  <c r="N67" i="4"/>
  <c r="Z67" i="9" s="1"/>
  <c r="F67" i="4"/>
  <c r="J67" i="9" s="1"/>
  <c r="H67" i="4"/>
  <c r="N67" i="9" s="1"/>
  <c r="L33" i="8"/>
  <c r="I34" i="2"/>
  <c r="L103" i="8"/>
  <c r="L173" i="8"/>
  <c r="A68" i="9" a="1"/>
  <c r="A68" i="9" s="1"/>
  <c r="AJ66" i="9"/>
  <c r="T66" i="9"/>
  <c r="F27" i="8"/>
  <c r="G27" i="8" s="1"/>
  <c r="N27" i="8"/>
  <c r="Q27" i="8" s="1"/>
  <c r="P27" i="8" s="1"/>
  <c r="J27" i="8"/>
  <c r="Q30" i="2" a="1"/>
  <c r="T30" i="2" a="1"/>
  <c r="U28" i="2" a="1"/>
  <c r="N29" i="2" a="1"/>
  <c r="K29" i="2" a="1"/>
  <c r="R28" i="2" a="1"/>
  <c r="S31" i="2"/>
  <c r="L27" i="2" a="1"/>
  <c r="O27" i="2" a="1"/>
  <c r="M30" i="8" a="1"/>
  <c r="M30" i="2" a="1"/>
  <c r="P31" i="2"/>
  <c r="D29" i="8" a="1"/>
  <c r="J30" i="2" a="1"/>
  <c r="R28" i="2" l="1"/>
  <c r="K29" i="2"/>
  <c r="N29" i="2"/>
  <c r="U28" i="2"/>
  <c r="T30" i="2"/>
  <c r="Q30" i="2"/>
  <c r="B67" i="9"/>
  <c r="K99" i="8"/>
  <c r="O27" i="2"/>
  <c r="L27" i="2"/>
  <c r="N94" i="8"/>
  <c r="H94" i="8"/>
  <c r="E94" i="8" s="1"/>
  <c r="D94" i="8" a="1"/>
  <c r="D94" i="8" s="1"/>
  <c r="F94" i="8" s="1"/>
  <c r="G94" i="8" s="1"/>
  <c r="J94" i="8"/>
  <c r="I94" i="8" a="1"/>
  <c r="I94" i="8" s="1"/>
  <c r="Q94" i="8"/>
  <c r="P94" i="8" s="1"/>
  <c r="M94" i="8" a="1"/>
  <c r="M94" i="8" s="1"/>
  <c r="B94" i="8"/>
  <c r="O26" i="8"/>
  <c r="W26" i="2"/>
  <c r="C95" i="8"/>
  <c r="I25" i="8" a="1"/>
  <c r="I25" i="8" s="1"/>
  <c r="O165" i="8"/>
  <c r="O95" i="8"/>
  <c r="K167" i="8"/>
  <c r="V27" i="2"/>
  <c r="J30" i="2"/>
  <c r="D29" i="8"/>
  <c r="K31" i="8"/>
  <c r="M30" i="2"/>
  <c r="M30" i="8"/>
  <c r="W69" i="4"/>
  <c r="AN69" i="9" s="1"/>
  <c r="N69" i="4"/>
  <c r="F69" i="4"/>
  <c r="J69" i="9" s="1"/>
  <c r="V69" i="4"/>
  <c r="AM69" i="9" s="1"/>
  <c r="M69" i="4"/>
  <c r="X69" i="9" s="1"/>
  <c r="E69" i="4"/>
  <c r="H69" i="9" s="1"/>
  <c r="T69" i="4"/>
  <c r="AL69" i="9" s="1"/>
  <c r="L69" i="4"/>
  <c r="V69" i="9" s="1"/>
  <c r="D69" i="4"/>
  <c r="F69" i="9" s="1"/>
  <c r="S69" i="4"/>
  <c r="AJ69" i="9" s="1"/>
  <c r="K69" i="4"/>
  <c r="T69" i="9" s="1"/>
  <c r="C69" i="4"/>
  <c r="D69" i="9" s="1"/>
  <c r="A71" i="4" a="1"/>
  <c r="A71" i="4" s="1"/>
  <c r="O69" i="4"/>
  <c r="AB69" i="9" s="1"/>
  <c r="I69" i="4"/>
  <c r="P69" i="9" s="1"/>
  <c r="R69" i="4"/>
  <c r="AH69" i="9" s="1"/>
  <c r="B69" i="4"/>
  <c r="Q69" i="4"/>
  <c r="AF69" i="9" s="1"/>
  <c r="P69" i="4"/>
  <c r="AD69" i="9" s="1"/>
  <c r="J69" i="4"/>
  <c r="R69" i="9" s="1"/>
  <c r="H69" i="4"/>
  <c r="N69" i="9" s="1"/>
  <c r="G69" i="4"/>
  <c r="L69" i="9" s="1"/>
  <c r="A70" i="9" a="1"/>
  <c r="A70" i="9" s="1"/>
  <c r="V68" i="4"/>
  <c r="AM68" i="9" s="1"/>
  <c r="M68" i="4"/>
  <c r="X68" i="9" s="1"/>
  <c r="E68" i="4"/>
  <c r="H68" i="9" s="1"/>
  <c r="T68" i="4"/>
  <c r="AL68" i="9" s="1"/>
  <c r="L68" i="4"/>
  <c r="V68" i="9" s="1"/>
  <c r="D68" i="4"/>
  <c r="F68" i="9" s="1"/>
  <c r="S68" i="4"/>
  <c r="AJ68" i="9" s="1"/>
  <c r="K68" i="4"/>
  <c r="T68" i="9" s="1"/>
  <c r="C68" i="4"/>
  <c r="D68" i="9" s="1"/>
  <c r="R68" i="4"/>
  <c r="AH68" i="9" s="1"/>
  <c r="J68" i="4"/>
  <c r="R68" i="9" s="1"/>
  <c r="B68" i="4"/>
  <c r="W68" i="4"/>
  <c r="AN68" i="9" s="1"/>
  <c r="F68" i="4"/>
  <c r="J68" i="9" s="1"/>
  <c r="P68" i="4"/>
  <c r="AD68" i="9" s="1"/>
  <c r="I68" i="4"/>
  <c r="P68" i="9" s="1"/>
  <c r="H68" i="4"/>
  <c r="N68" i="9" s="1"/>
  <c r="N68" i="4"/>
  <c r="Z68" i="9" s="1"/>
  <c r="G68" i="4"/>
  <c r="L68" i="9" s="1"/>
  <c r="O68" i="4"/>
  <c r="AB68" i="9" s="1"/>
  <c r="Q68" i="4"/>
  <c r="AF68" i="9" s="1"/>
  <c r="A70" i="4" a="1"/>
  <c r="A70" i="4" s="1"/>
  <c r="I35" i="2"/>
  <c r="L34" i="8"/>
  <c r="L104" i="8"/>
  <c r="L174" i="8"/>
  <c r="Z69" i="9"/>
  <c r="A71" i="9" a="1"/>
  <c r="A71" i="9" s="1"/>
  <c r="AL41" i="10"/>
  <c r="F28" i="8"/>
  <c r="G28" i="8" s="1"/>
  <c r="J28" i="8"/>
  <c r="N28" i="8"/>
  <c r="Q28" i="8" s="1"/>
  <c r="P28" i="8" s="1"/>
  <c r="B66" i="9"/>
  <c r="Q31" i="2" a="1"/>
  <c r="T31" i="2" a="1"/>
  <c r="R29" i="2" a="1"/>
  <c r="L28" i="2" a="1"/>
  <c r="S32" i="2"/>
  <c r="U29" i="2" a="1"/>
  <c r="O28" i="2" a="1"/>
  <c r="N30" i="2" a="1"/>
  <c r="K30" i="2" a="1"/>
  <c r="M31" i="2" a="1"/>
  <c r="D30" i="8" a="1"/>
  <c r="M31" i="8" a="1"/>
  <c r="P32" i="2"/>
  <c r="J31" i="2" a="1"/>
  <c r="K30" i="2" l="1"/>
  <c r="N30" i="2"/>
  <c r="O28" i="2"/>
  <c r="U29" i="2"/>
  <c r="L28" i="2"/>
  <c r="R29" i="2"/>
  <c r="T31" i="2"/>
  <c r="Q31" i="2"/>
  <c r="K100" i="8"/>
  <c r="B69" i="9"/>
  <c r="K168" i="8"/>
  <c r="V28" i="2"/>
  <c r="N95" i="8"/>
  <c r="H95" i="8"/>
  <c r="E95" i="8" s="1"/>
  <c r="Q95" i="8"/>
  <c r="P95" i="8" s="1"/>
  <c r="D95" i="8" a="1"/>
  <c r="D95" i="8" s="1"/>
  <c r="F95" i="8" s="1"/>
  <c r="G95" i="8" s="1"/>
  <c r="M95" i="8" a="1"/>
  <c r="M95" i="8" s="1"/>
  <c r="B95" i="8"/>
  <c r="J95" i="8"/>
  <c r="I95" i="8" a="1"/>
  <c r="I95" i="8" s="1"/>
  <c r="C96" i="8"/>
  <c r="I26" i="8" a="1"/>
  <c r="I26" i="8" s="1"/>
  <c r="O166" i="8"/>
  <c r="O96" i="8"/>
  <c r="O27" i="8"/>
  <c r="W27" i="2"/>
  <c r="J31" i="2"/>
  <c r="K32" i="8"/>
  <c r="M31" i="8"/>
  <c r="D30" i="8"/>
  <c r="M31" i="2"/>
  <c r="A73" i="9" a="1"/>
  <c r="A73" i="9" s="1"/>
  <c r="A72" i="9" a="1"/>
  <c r="A72" i="9" s="1"/>
  <c r="P71" i="4"/>
  <c r="AD71" i="9" s="1"/>
  <c r="H71" i="4"/>
  <c r="N71" i="9" s="1"/>
  <c r="A73" i="4" a="1"/>
  <c r="A73" i="4" s="1"/>
  <c r="O71" i="4"/>
  <c r="AB71" i="9" s="1"/>
  <c r="G71" i="4"/>
  <c r="L71" i="9" s="1"/>
  <c r="W71" i="4"/>
  <c r="AN71" i="9" s="1"/>
  <c r="N71" i="4"/>
  <c r="Z71" i="9" s="1"/>
  <c r="F71" i="4"/>
  <c r="J71" i="9" s="1"/>
  <c r="V71" i="4"/>
  <c r="AM71" i="9" s="1"/>
  <c r="M71" i="4"/>
  <c r="X71" i="9" s="1"/>
  <c r="E71" i="4"/>
  <c r="H71" i="9" s="1"/>
  <c r="Q71" i="4"/>
  <c r="AF71" i="9" s="1"/>
  <c r="K71" i="4"/>
  <c r="T71" i="9" s="1"/>
  <c r="T71" i="4"/>
  <c r="AL71" i="9" s="1"/>
  <c r="D71" i="4"/>
  <c r="F71" i="9" s="1"/>
  <c r="S71" i="4"/>
  <c r="AJ71" i="9" s="1"/>
  <c r="C71" i="4"/>
  <c r="D71" i="9" s="1"/>
  <c r="I71" i="4"/>
  <c r="P71" i="9" s="1"/>
  <c r="B71" i="4"/>
  <c r="R71" i="4"/>
  <c r="AH71" i="9" s="1"/>
  <c r="L71" i="4"/>
  <c r="V71" i="9" s="1"/>
  <c r="J71" i="4"/>
  <c r="R71" i="9" s="1"/>
  <c r="AT1" i="10"/>
  <c r="F29" i="8"/>
  <c r="G29" i="8" s="1"/>
  <c r="J29" i="8"/>
  <c r="N29" i="8"/>
  <c r="Q29" i="8" s="1"/>
  <c r="P29" i="8" s="1"/>
  <c r="L35" i="8"/>
  <c r="I36" i="2"/>
  <c r="L105" i="8"/>
  <c r="L175" i="8"/>
  <c r="B68" i="9"/>
  <c r="A72" i="4" a="1"/>
  <c r="A72" i="4" s="1"/>
  <c r="O70" i="4"/>
  <c r="AB70" i="9" s="1"/>
  <c r="G70" i="4"/>
  <c r="L70" i="9" s="1"/>
  <c r="W70" i="4"/>
  <c r="AN70" i="9" s="1"/>
  <c r="N70" i="4"/>
  <c r="Z70" i="9" s="1"/>
  <c r="F70" i="4"/>
  <c r="J70" i="9" s="1"/>
  <c r="V70" i="4"/>
  <c r="AM70" i="9" s="1"/>
  <c r="M70" i="4"/>
  <c r="X70" i="9" s="1"/>
  <c r="E70" i="4"/>
  <c r="H70" i="9" s="1"/>
  <c r="T70" i="4"/>
  <c r="AL70" i="9" s="1"/>
  <c r="L70" i="4"/>
  <c r="V70" i="9" s="1"/>
  <c r="D70" i="4"/>
  <c r="F70" i="9" s="1"/>
  <c r="H70" i="4"/>
  <c r="N70" i="9" s="1"/>
  <c r="R70" i="4"/>
  <c r="AH70" i="9" s="1"/>
  <c r="B70" i="4"/>
  <c r="K70" i="4"/>
  <c r="T70" i="9" s="1"/>
  <c r="J70" i="4"/>
  <c r="R70" i="9" s="1"/>
  <c r="S70" i="4"/>
  <c r="AJ70" i="9" s="1"/>
  <c r="Q70" i="4"/>
  <c r="AF70" i="9" s="1"/>
  <c r="P70" i="4"/>
  <c r="AD70" i="9" s="1"/>
  <c r="I70" i="4"/>
  <c r="P70" i="9" s="1"/>
  <c r="C70" i="4"/>
  <c r="D70" i="9" s="1"/>
  <c r="Q32" i="2" a="1"/>
  <c r="N31" i="2" a="1"/>
  <c r="S33" i="2"/>
  <c r="K31" i="2" a="1"/>
  <c r="R30" i="2" a="1"/>
  <c r="O29" i="2" a="1"/>
  <c r="T32" i="2" a="1"/>
  <c r="U30" i="2" a="1"/>
  <c r="L29" i="2" a="1"/>
  <c r="D31" i="8" a="1"/>
  <c r="M32" i="8" a="1"/>
  <c r="M32" i="2" a="1"/>
  <c r="P33" i="2"/>
  <c r="J32" i="2" a="1"/>
  <c r="L29" i="2" l="1"/>
  <c r="U30" i="2"/>
  <c r="T32" i="2"/>
  <c r="O29" i="2"/>
  <c r="R30" i="2"/>
  <c r="K31" i="2"/>
  <c r="N31" i="2"/>
  <c r="Q32" i="2"/>
  <c r="K169" i="8"/>
  <c r="V29" i="2"/>
  <c r="K101" i="8"/>
  <c r="B71" i="9"/>
  <c r="O28" i="8"/>
  <c r="W28" i="2"/>
  <c r="C97" i="8"/>
  <c r="I27" i="8" a="1"/>
  <c r="I27" i="8" s="1"/>
  <c r="O167" i="8"/>
  <c r="O97" i="8"/>
  <c r="D96" i="8" a="1"/>
  <c r="D96" i="8" s="1"/>
  <c r="F96" i="8" s="1"/>
  <c r="G96" i="8" s="1"/>
  <c r="I96" i="8" a="1"/>
  <c r="I96" i="8" s="1"/>
  <c r="N96" i="8"/>
  <c r="H96" i="8"/>
  <c r="E96" i="8" s="1"/>
  <c r="Q96" i="8"/>
  <c r="P96" i="8" s="1"/>
  <c r="M96" i="8" a="1"/>
  <c r="M96" i="8" s="1"/>
  <c r="B96" i="8"/>
  <c r="J96" i="8"/>
  <c r="J32" i="2"/>
  <c r="K33" i="8"/>
  <c r="M32" i="2"/>
  <c r="M32" i="8"/>
  <c r="D31" i="8"/>
  <c r="BA1" i="10"/>
  <c r="B70" i="9"/>
  <c r="A74" i="9" a="1"/>
  <c r="A74" i="9" s="1"/>
  <c r="A75" i="9" a="1"/>
  <c r="A75" i="9" s="1"/>
  <c r="Q72" i="4"/>
  <c r="AF72" i="9" s="1"/>
  <c r="I72" i="4"/>
  <c r="P72" i="9" s="1"/>
  <c r="P72" i="4"/>
  <c r="AD72" i="9" s="1"/>
  <c r="H72" i="4"/>
  <c r="N72" i="9" s="1"/>
  <c r="A74" i="4" a="1"/>
  <c r="A74" i="4" s="1"/>
  <c r="O72" i="4"/>
  <c r="AB72" i="9" s="1"/>
  <c r="G72" i="4"/>
  <c r="L72" i="9" s="1"/>
  <c r="W72" i="4"/>
  <c r="AN72" i="9" s="1"/>
  <c r="N72" i="4"/>
  <c r="Z72" i="9" s="1"/>
  <c r="F72" i="4"/>
  <c r="J72" i="9" s="1"/>
  <c r="J72" i="4"/>
  <c r="R72" i="9" s="1"/>
  <c r="T72" i="4"/>
  <c r="AL72" i="9" s="1"/>
  <c r="D72" i="4"/>
  <c r="F72" i="9" s="1"/>
  <c r="M72" i="4"/>
  <c r="X72" i="9" s="1"/>
  <c r="L72" i="4"/>
  <c r="V72" i="9" s="1"/>
  <c r="R72" i="4"/>
  <c r="AH72" i="9" s="1"/>
  <c r="K72" i="4"/>
  <c r="T72" i="9" s="1"/>
  <c r="E72" i="4"/>
  <c r="H72" i="9" s="1"/>
  <c r="C72" i="4"/>
  <c r="D72" i="9" s="1"/>
  <c r="B72" i="4"/>
  <c r="B72" i="9" s="1"/>
  <c r="S72" i="4"/>
  <c r="AJ72" i="9" s="1"/>
  <c r="V72" i="4"/>
  <c r="AM72" i="9" s="1"/>
  <c r="L36" i="8"/>
  <c r="I37" i="2"/>
  <c r="L176" i="8"/>
  <c r="L106" i="8"/>
  <c r="R73" i="4"/>
  <c r="AH73" i="9" s="1"/>
  <c r="J73" i="4"/>
  <c r="R73" i="9" s="1"/>
  <c r="B73" i="4"/>
  <c r="Q73" i="4"/>
  <c r="AF73" i="9" s="1"/>
  <c r="I73" i="4"/>
  <c r="P73" i="9" s="1"/>
  <c r="P73" i="4"/>
  <c r="AD73" i="9" s="1"/>
  <c r="H73" i="4"/>
  <c r="N73" i="9" s="1"/>
  <c r="A75" i="4" a="1"/>
  <c r="A75" i="4" s="1"/>
  <c r="O73" i="4"/>
  <c r="AB73" i="9" s="1"/>
  <c r="G73" i="4"/>
  <c r="L73" i="9" s="1"/>
  <c r="S73" i="4"/>
  <c r="AJ73" i="9" s="1"/>
  <c r="C73" i="4"/>
  <c r="D73" i="9" s="1"/>
  <c r="M73" i="4"/>
  <c r="X73" i="9" s="1"/>
  <c r="W73" i="4"/>
  <c r="AN73" i="9" s="1"/>
  <c r="F73" i="4"/>
  <c r="J73" i="9" s="1"/>
  <c r="V73" i="4"/>
  <c r="AM73" i="9" s="1"/>
  <c r="E73" i="4"/>
  <c r="H73" i="9" s="1"/>
  <c r="T73" i="4"/>
  <c r="AL73" i="9" s="1"/>
  <c r="N73" i="4"/>
  <c r="Z73" i="9" s="1"/>
  <c r="L73" i="4"/>
  <c r="V73" i="9" s="1"/>
  <c r="K73" i="4"/>
  <c r="T73" i="9" s="1"/>
  <c r="D73" i="4"/>
  <c r="F73" i="9" s="1"/>
  <c r="N30" i="8"/>
  <c r="Q30" i="8" s="1"/>
  <c r="P30" i="8" s="1"/>
  <c r="F30" i="8"/>
  <c r="G30" i="8" s="1"/>
  <c r="J30" i="8"/>
  <c r="Q33" i="2" a="1"/>
  <c r="K32" i="2" a="1"/>
  <c r="S34" i="2"/>
  <c r="O30" i="2" a="1"/>
  <c r="U31" i="2" a="1"/>
  <c r="N32" i="2" a="1"/>
  <c r="R31" i="2" a="1"/>
  <c r="L30" i="2" a="1"/>
  <c r="T33" i="2" a="1"/>
  <c r="D32" i="8" a="1"/>
  <c r="M33" i="2" a="1"/>
  <c r="M33" i="8" a="1"/>
  <c r="P34" i="2"/>
  <c r="J33" i="2" a="1"/>
  <c r="T33" i="2" l="1"/>
  <c r="L30" i="2"/>
  <c r="R31" i="2"/>
  <c r="N32" i="2"/>
  <c r="U31" i="2"/>
  <c r="O30" i="2"/>
  <c r="K32" i="2"/>
  <c r="Q33" i="2"/>
  <c r="K170" i="8"/>
  <c r="V30" i="2"/>
  <c r="O29" i="8"/>
  <c r="W29" i="2"/>
  <c r="C98" i="8"/>
  <c r="I28" i="8" a="1"/>
  <c r="I28" i="8" s="1"/>
  <c r="K102" i="8"/>
  <c r="O168" i="8"/>
  <c r="O98" i="8"/>
  <c r="I97" i="8" a="1"/>
  <c r="I97" i="8" s="1"/>
  <c r="M97" i="8" a="1"/>
  <c r="M97" i="8" s="1"/>
  <c r="B97" i="8"/>
  <c r="J97" i="8"/>
  <c r="H97" i="8"/>
  <c r="E97" i="8" s="1"/>
  <c r="Q97" i="8"/>
  <c r="P97" i="8" s="1"/>
  <c r="D97" i="8" a="1"/>
  <c r="D97" i="8" s="1"/>
  <c r="F97" i="8" s="1"/>
  <c r="G97" i="8" s="1"/>
  <c r="N97" i="8"/>
  <c r="J33" i="2"/>
  <c r="K34" i="8"/>
  <c r="M33" i="8"/>
  <c r="M33" i="2"/>
  <c r="D32" i="8"/>
  <c r="S74" i="4"/>
  <c r="K74" i="4"/>
  <c r="T74" i="9" s="1"/>
  <c r="C74" i="4"/>
  <c r="D74" i="9" s="1"/>
  <c r="R74" i="4"/>
  <c r="AH74" i="9" s="1"/>
  <c r="J74" i="4"/>
  <c r="R74" i="9" s="1"/>
  <c r="B74" i="4"/>
  <c r="B74" i="9" s="1"/>
  <c r="Q74" i="4"/>
  <c r="AF74" i="9" s="1"/>
  <c r="I74" i="4"/>
  <c r="P74" i="9" s="1"/>
  <c r="P74" i="4"/>
  <c r="AD74" i="9" s="1"/>
  <c r="H74" i="4"/>
  <c r="N74" i="9" s="1"/>
  <c r="L74" i="4"/>
  <c r="V74" i="9" s="1"/>
  <c r="W74" i="4"/>
  <c r="AN74" i="9" s="1"/>
  <c r="F74" i="4"/>
  <c r="J74" i="9" s="1"/>
  <c r="A76" i="4" a="1"/>
  <c r="A76" i="4" s="1"/>
  <c r="O74" i="4"/>
  <c r="AB74" i="9" s="1"/>
  <c r="N74" i="4"/>
  <c r="Z74" i="9" s="1"/>
  <c r="D74" i="4"/>
  <c r="F74" i="9" s="1"/>
  <c r="V74" i="4"/>
  <c r="AM74" i="9" s="1"/>
  <c r="T74" i="4"/>
  <c r="AL74" i="9" s="1"/>
  <c r="M74" i="4"/>
  <c r="X74" i="9" s="1"/>
  <c r="G74" i="4"/>
  <c r="L74" i="9" s="1"/>
  <c r="E74" i="4"/>
  <c r="H74" i="9" s="1"/>
  <c r="F31" i="8"/>
  <c r="G31" i="8" s="1"/>
  <c r="N31" i="8"/>
  <c r="Q31" i="8" s="1"/>
  <c r="P31" i="8" s="1"/>
  <c r="J31" i="8"/>
  <c r="AT9" i="10"/>
  <c r="B73" i="9"/>
  <c r="A76" i="9" a="1"/>
  <c r="A76" i="9" s="1"/>
  <c r="AJ74" i="9"/>
  <c r="T75" i="4"/>
  <c r="AL75" i="9" s="1"/>
  <c r="L75" i="4"/>
  <c r="V75" i="9" s="1"/>
  <c r="D75" i="4"/>
  <c r="F75" i="9" s="1"/>
  <c r="S75" i="4"/>
  <c r="AJ75" i="9" s="1"/>
  <c r="K75" i="4"/>
  <c r="T75" i="9" s="1"/>
  <c r="C75" i="4"/>
  <c r="D75" i="9" s="1"/>
  <c r="R75" i="4"/>
  <c r="AH75" i="9" s="1"/>
  <c r="J75" i="4"/>
  <c r="R75" i="9" s="1"/>
  <c r="B75" i="4"/>
  <c r="Q75" i="4"/>
  <c r="AF75" i="9" s="1"/>
  <c r="I75" i="4"/>
  <c r="P75" i="9" s="1"/>
  <c r="V75" i="4"/>
  <c r="AM75" i="9" s="1"/>
  <c r="E75" i="4"/>
  <c r="H75" i="9" s="1"/>
  <c r="A77" i="4" a="1"/>
  <c r="A77" i="4" s="1"/>
  <c r="O75" i="4"/>
  <c r="AB75" i="9" s="1"/>
  <c r="H75" i="4"/>
  <c r="N75" i="9" s="1"/>
  <c r="G75" i="4"/>
  <c r="L75" i="9" s="1"/>
  <c r="M75" i="4"/>
  <c r="X75" i="9" s="1"/>
  <c r="F75" i="4"/>
  <c r="J75" i="9" s="1"/>
  <c r="W75" i="4"/>
  <c r="AN75" i="9" s="1"/>
  <c r="P75" i="4"/>
  <c r="AD75" i="9" s="1"/>
  <c r="N75" i="4"/>
  <c r="Z75" i="9" s="1"/>
  <c r="I38" i="2"/>
  <c r="L107" i="8"/>
  <c r="L177" i="8"/>
  <c r="L37" i="8"/>
  <c r="A77" i="9" a="1"/>
  <c r="A77" i="9" s="1"/>
  <c r="Q34" i="2" a="1"/>
  <c r="N33" i="2" a="1"/>
  <c r="K33" i="2" a="1"/>
  <c r="R32" i="2" a="1"/>
  <c r="L31" i="2" a="1"/>
  <c r="O31" i="2" a="1"/>
  <c r="S35" i="2"/>
  <c r="T34" i="2" a="1"/>
  <c r="U32" i="2" a="1"/>
  <c r="D33" i="8" a="1"/>
  <c r="J34" i="2" a="1"/>
  <c r="M34" i="2" a="1"/>
  <c r="P35" i="2"/>
  <c r="M34" i="8" a="1"/>
  <c r="U32" i="2" l="1"/>
  <c r="T34" i="2"/>
  <c r="O31" i="2"/>
  <c r="L31" i="2"/>
  <c r="R32" i="2"/>
  <c r="K33" i="2"/>
  <c r="N33" i="2"/>
  <c r="Q34" i="2"/>
  <c r="Q98" i="8"/>
  <c r="P98" i="8" s="1"/>
  <c r="M98" i="8" a="1"/>
  <c r="M98" i="8" s="1"/>
  <c r="N98" i="8"/>
  <c r="H98" i="8"/>
  <c r="E98" i="8" s="1"/>
  <c r="D98" i="8" a="1"/>
  <c r="D98" i="8" s="1"/>
  <c r="F98" i="8" s="1"/>
  <c r="G98" i="8" s="1"/>
  <c r="B98" i="8"/>
  <c r="J98" i="8"/>
  <c r="I98" i="8" a="1"/>
  <c r="I98" i="8" s="1"/>
  <c r="B75" i="9"/>
  <c r="C99" i="8"/>
  <c r="I29" i="8" a="1"/>
  <c r="I29" i="8" s="1"/>
  <c r="O169" i="8"/>
  <c r="O99" i="8"/>
  <c r="O30" i="8"/>
  <c r="W30" i="2"/>
  <c r="K171" i="8"/>
  <c r="V31" i="2"/>
  <c r="K103" i="8"/>
  <c r="M34" i="8"/>
  <c r="K35" i="8"/>
  <c r="M35" i="8" s="1" a="1"/>
  <c r="M35" i="8" s="1"/>
  <c r="W35" i="2"/>
  <c r="M34" i="2"/>
  <c r="J34" i="2"/>
  <c r="D33" i="8"/>
  <c r="A78" i="9" a="1"/>
  <c r="A78" i="9" s="1"/>
  <c r="A79" i="9" a="1"/>
  <c r="A79" i="9" s="1"/>
  <c r="L38" i="8"/>
  <c r="I39" i="2"/>
  <c r="L178" i="8"/>
  <c r="L108" i="8"/>
  <c r="BA9" i="10"/>
  <c r="V76" i="4"/>
  <c r="AM76" i="9" s="1"/>
  <c r="M76" i="4"/>
  <c r="X76" i="9" s="1"/>
  <c r="E76" i="4"/>
  <c r="H76" i="9" s="1"/>
  <c r="T76" i="4"/>
  <c r="AL76" i="9" s="1"/>
  <c r="L76" i="4"/>
  <c r="V76" i="9" s="1"/>
  <c r="D76" i="4"/>
  <c r="F76" i="9" s="1"/>
  <c r="S76" i="4"/>
  <c r="AJ76" i="9" s="1"/>
  <c r="K76" i="4"/>
  <c r="T76" i="9" s="1"/>
  <c r="C76" i="4"/>
  <c r="D76" i="9" s="1"/>
  <c r="R76" i="4"/>
  <c r="AH76" i="9" s="1"/>
  <c r="J76" i="4"/>
  <c r="R76" i="9" s="1"/>
  <c r="B76" i="4"/>
  <c r="N76" i="4"/>
  <c r="Z76" i="9" s="1"/>
  <c r="H76" i="4"/>
  <c r="N76" i="9" s="1"/>
  <c r="Q76" i="4"/>
  <c r="AF76" i="9" s="1"/>
  <c r="P76" i="4"/>
  <c r="AD76" i="9" s="1"/>
  <c r="W76" i="4"/>
  <c r="AN76" i="9" s="1"/>
  <c r="A78" i="4" a="1"/>
  <c r="A78" i="4" s="1"/>
  <c r="O76" i="4"/>
  <c r="AB76" i="9" s="1"/>
  <c r="I76" i="4"/>
  <c r="P76" i="9" s="1"/>
  <c r="G76" i="4"/>
  <c r="L76" i="9" s="1"/>
  <c r="F76" i="4"/>
  <c r="J76" i="9" s="1"/>
  <c r="F32" i="8"/>
  <c r="G32" i="8" s="1"/>
  <c r="J32" i="8"/>
  <c r="N32" i="8"/>
  <c r="Q32" i="8" s="1"/>
  <c r="P32" i="8" s="1"/>
  <c r="W77" i="4"/>
  <c r="AN77" i="9" s="1"/>
  <c r="N77" i="4"/>
  <c r="Z77" i="9" s="1"/>
  <c r="F77" i="4"/>
  <c r="J77" i="9" s="1"/>
  <c r="V77" i="4"/>
  <c r="AM77" i="9" s="1"/>
  <c r="M77" i="4"/>
  <c r="X77" i="9" s="1"/>
  <c r="E77" i="4"/>
  <c r="H77" i="9" s="1"/>
  <c r="T77" i="4"/>
  <c r="AL77" i="9" s="1"/>
  <c r="L77" i="4"/>
  <c r="V77" i="9" s="1"/>
  <c r="D77" i="4"/>
  <c r="F77" i="9" s="1"/>
  <c r="S77" i="4"/>
  <c r="AJ77" i="9" s="1"/>
  <c r="K77" i="4"/>
  <c r="T77" i="9" s="1"/>
  <c r="C77" i="4"/>
  <c r="D77" i="9" s="1"/>
  <c r="G77" i="4"/>
  <c r="L77" i="9" s="1"/>
  <c r="Q77" i="4"/>
  <c r="AF77" i="9" s="1"/>
  <c r="J77" i="4"/>
  <c r="R77" i="9" s="1"/>
  <c r="I77" i="4"/>
  <c r="P77" i="9" s="1"/>
  <c r="R77" i="4"/>
  <c r="AH77" i="9" s="1"/>
  <c r="P77" i="4"/>
  <c r="AD77" i="9" s="1"/>
  <c r="A79" i="4" a="1"/>
  <c r="A79" i="4" s="1"/>
  <c r="O77" i="4"/>
  <c r="AB77" i="9" s="1"/>
  <c r="H77" i="4"/>
  <c r="N77" i="9" s="1"/>
  <c r="B77" i="4"/>
  <c r="S36" i="2"/>
  <c r="T36" i="2" s="1" a="1"/>
  <c r="Q35" i="2" a="1"/>
  <c r="O32" i="2" a="1"/>
  <c r="K34" i="2" a="1"/>
  <c r="N34" i="2" a="1"/>
  <c r="T35" i="2" a="1"/>
  <c r="R33" i="2" a="1"/>
  <c r="L32" i="2" a="1"/>
  <c r="U33" i="2" a="1"/>
  <c r="D34" i="8" a="1"/>
  <c r="P36" i="2"/>
  <c r="Q36" i="2" s="1" a="1"/>
  <c r="M35" i="2" a="1"/>
  <c r="J35" i="2" a="1"/>
  <c r="Q36" i="2" l="1"/>
  <c r="T36" i="2"/>
  <c r="B76" i="9"/>
  <c r="B77" i="9"/>
  <c r="U33" i="2"/>
  <c r="L32" i="2"/>
  <c r="R33" i="2"/>
  <c r="T35" i="2"/>
  <c r="N34" i="2"/>
  <c r="K34" i="2"/>
  <c r="O32" i="2"/>
  <c r="Q35" i="2"/>
  <c r="O100" i="8"/>
  <c r="O170" i="8"/>
  <c r="K172" i="8"/>
  <c r="V32" i="2"/>
  <c r="Q99" i="8"/>
  <c r="P99" i="8" s="1"/>
  <c r="D99" i="8" a="1"/>
  <c r="D99" i="8" s="1"/>
  <c r="F99" i="8" s="1"/>
  <c r="G99" i="8" s="1"/>
  <c r="M99" i="8" a="1"/>
  <c r="M99" i="8" s="1"/>
  <c r="B99" i="8"/>
  <c r="I99" i="8" a="1"/>
  <c r="I99" i="8" s="1"/>
  <c r="N99" i="8"/>
  <c r="H99" i="8"/>
  <c r="E99" i="8" s="1"/>
  <c r="J99" i="8"/>
  <c r="O31" i="8"/>
  <c r="W31" i="2"/>
  <c r="K104" i="8"/>
  <c r="C100" i="8"/>
  <c r="I30" i="8" a="1"/>
  <c r="I30" i="8" s="1"/>
  <c r="J35" i="2"/>
  <c r="M35" i="2"/>
  <c r="K36" i="8"/>
  <c r="M36" i="8" s="1" a="1"/>
  <c r="M36" i="8" s="1"/>
  <c r="W36" i="2"/>
  <c r="D34" i="8"/>
  <c r="A80" i="4" a="1"/>
  <c r="A80" i="4" s="1"/>
  <c r="O78" i="4"/>
  <c r="AB78" i="9" s="1"/>
  <c r="G78" i="4"/>
  <c r="W78" i="4"/>
  <c r="AN78" i="9" s="1"/>
  <c r="N78" i="4"/>
  <c r="Z78" i="9" s="1"/>
  <c r="F78" i="4"/>
  <c r="J78" i="9" s="1"/>
  <c r="V78" i="4"/>
  <c r="AM78" i="9" s="1"/>
  <c r="M78" i="4"/>
  <c r="X78" i="9" s="1"/>
  <c r="E78" i="4"/>
  <c r="H78" i="9" s="1"/>
  <c r="T78" i="4"/>
  <c r="AL78" i="9" s="1"/>
  <c r="L78" i="4"/>
  <c r="V78" i="9" s="1"/>
  <c r="D78" i="4"/>
  <c r="F78" i="9" s="1"/>
  <c r="P78" i="4"/>
  <c r="AD78" i="9" s="1"/>
  <c r="J78" i="4"/>
  <c r="R78" i="9" s="1"/>
  <c r="S78" i="4"/>
  <c r="AJ78" i="9" s="1"/>
  <c r="C78" i="4"/>
  <c r="D78" i="9" s="1"/>
  <c r="R78" i="4"/>
  <c r="AH78" i="9" s="1"/>
  <c r="B78" i="4"/>
  <c r="B78" i="9" s="1"/>
  <c r="H78" i="4"/>
  <c r="N78" i="9" s="1"/>
  <c r="I78" i="4"/>
  <c r="P78" i="9" s="1"/>
  <c r="Q78" i="4"/>
  <c r="AF78" i="9" s="1"/>
  <c r="K78" i="4"/>
  <c r="T78" i="9" s="1"/>
  <c r="AT17" i="10"/>
  <c r="P79" i="4"/>
  <c r="AD79" i="9" s="1"/>
  <c r="H79" i="4"/>
  <c r="N79" i="9" s="1"/>
  <c r="A81" i="4" a="1"/>
  <c r="A81" i="4" s="1"/>
  <c r="O79" i="4"/>
  <c r="AB79" i="9" s="1"/>
  <c r="G79" i="4"/>
  <c r="L79" i="9" s="1"/>
  <c r="W79" i="4"/>
  <c r="AN79" i="9" s="1"/>
  <c r="N79" i="4"/>
  <c r="Z79" i="9" s="1"/>
  <c r="F79" i="4"/>
  <c r="J79" i="9" s="1"/>
  <c r="V79" i="4"/>
  <c r="AM79" i="9" s="1"/>
  <c r="M79" i="4"/>
  <c r="X79" i="9" s="1"/>
  <c r="E79" i="4"/>
  <c r="H79" i="9" s="1"/>
  <c r="I79" i="4"/>
  <c r="P79" i="9" s="1"/>
  <c r="S79" i="4"/>
  <c r="AJ79" i="9" s="1"/>
  <c r="C79" i="4"/>
  <c r="D79" i="9" s="1"/>
  <c r="L79" i="4"/>
  <c r="V79" i="9" s="1"/>
  <c r="K79" i="4"/>
  <c r="T79" i="9" s="1"/>
  <c r="Q79" i="4"/>
  <c r="AF79" i="9" s="1"/>
  <c r="J79" i="4"/>
  <c r="R79" i="9" s="1"/>
  <c r="D79" i="4"/>
  <c r="F79" i="9" s="1"/>
  <c r="B79" i="4"/>
  <c r="T79" i="4"/>
  <c r="AL79" i="9" s="1"/>
  <c r="R79" i="4"/>
  <c r="AH79" i="9" s="1"/>
  <c r="A81" i="9" a="1"/>
  <c r="A81" i="9" s="1"/>
  <c r="F33" i="8"/>
  <c r="G33" i="8" s="1"/>
  <c r="N33" i="8"/>
  <c r="Q33" i="8" s="1"/>
  <c r="P33" i="8" s="1"/>
  <c r="J33" i="8"/>
  <c r="C105" i="8"/>
  <c r="A80" i="9" a="1"/>
  <c r="A80" i="9" s="1"/>
  <c r="L78" i="9"/>
  <c r="I40" i="2"/>
  <c r="R36" i="2" a="1"/>
  <c r="U36" i="2" a="1"/>
  <c r="S37" i="2"/>
  <c r="T37" i="2" s="1" a="1"/>
  <c r="O33" i="2" a="1"/>
  <c r="L33" i="2" a="1"/>
  <c r="N35" i="2" a="1"/>
  <c r="K35" i="2" a="1"/>
  <c r="R34" i="2" a="1"/>
  <c r="U34" i="2" a="1"/>
  <c r="J36" i="2" a="1"/>
  <c r="P37" i="2"/>
  <c r="Q37" i="2" s="1" a="1"/>
  <c r="M36" i="2" a="1"/>
  <c r="Q37" i="2" l="1"/>
  <c r="T37" i="2"/>
  <c r="U36" i="2"/>
  <c r="R36" i="2"/>
  <c r="B79" i="9"/>
  <c r="U34" i="2"/>
  <c r="R34" i="2"/>
  <c r="K35" i="2"/>
  <c r="N35" i="2"/>
  <c r="L33" i="2"/>
  <c r="O33" i="2"/>
  <c r="K105" i="8"/>
  <c r="C101" i="8"/>
  <c r="I31" i="8" a="1"/>
  <c r="I31" i="8" s="1"/>
  <c r="O171" i="8"/>
  <c r="O101" i="8"/>
  <c r="O32" i="8"/>
  <c r="W32" i="2"/>
  <c r="N100" i="8"/>
  <c r="H100" i="8"/>
  <c r="E100" i="8" s="1"/>
  <c r="Q100" i="8"/>
  <c r="P100" i="8" s="1"/>
  <c r="M100" i="8" a="1"/>
  <c r="M100" i="8" s="1"/>
  <c r="D100" i="8" a="1"/>
  <c r="D100" i="8" s="1"/>
  <c r="F100" i="8" s="1"/>
  <c r="G100" i="8" s="1"/>
  <c r="B100" i="8"/>
  <c r="J100" i="8"/>
  <c r="I100" i="8" a="1"/>
  <c r="I100" i="8" s="1"/>
  <c r="K173" i="8"/>
  <c r="V33" i="2"/>
  <c r="M36" i="2"/>
  <c r="K37" i="8"/>
  <c r="J36" i="2"/>
  <c r="C106" i="8"/>
  <c r="A82" i="9" a="1"/>
  <c r="A82" i="9" s="1"/>
  <c r="A83" i="9" a="1"/>
  <c r="A83" i="9" s="1"/>
  <c r="BA17" i="10"/>
  <c r="Q80" i="4"/>
  <c r="AF80" i="9" s="1"/>
  <c r="I80" i="4"/>
  <c r="P80" i="9" s="1"/>
  <c r="P80" i="4"/>
  <c r="AD80" i="9" s="1"/>
  <c r="H80" i="4"/>
  <c r="N80" i="9" s="1"/>
  <c r="A82" i="4" a="1"/>
  <c r="A82" i="4" s="1"/>
  <c r="O80" i="4"/>
  <c r="AB80" i="9" s="1"/>
  <c r="G80" i="4"/>
  <c r="L80" i="9" s="1"/>
  <c r="W80" i="4"/>
  <c r="AN80" i="9" s="1"/>
  <c r="N80" i="4"/>
  <c r="Z80" i="9" s="1"/>
  <c r="F80" i="4"/>
  <c r="J80" i="9" s="1"/>
  <c r="R80" i="4"/>
  <c r="AH80" i="9" s="1"/>
  <c r="B80" i="4"/>
  <c r="L80" i="4"/>
  <c r="V80" i="9" s="1"/>
  <c r="V80" i="4"/>
  <c r="AM80" i="9" s="1"/>
  <c r="E80" i="4"/>
  <c r="H80" i="9" s="1"/>
  <c r="T80" i="4"/>
  <c r="AL80" i="9" s="1"/>
  <c r="D80" i="4"/>
  <c r="F80" i="9" s="1"/>
  <c r="S80" i="4"/>
  <c r="AJ80" i="9" s="1"/>
  <c r="M80" i="4"/>
  <c r="X80" i="9" s="1"/>
  <c r="K80" i="4"/>
  <c r="T80" i="9" s="1"/>
  <c r="J80" i="4"/>
  <c r="R80" i="9" s="1"/>
  <c r="C80" i="4"/>
  <c r="D80" i="9" s="1"/>
  <c r="D105" i="8" a="1"/>
  <c r="D105" i="8" s="1"/>
  <c r="F105" i="8" s="1"/>
  <c r="G105" i="8" s="1"/>
  <c r="I105" i="8" a="1"/>
  <c r="I105" i="8" s="1"/>
  <c r="J105" i="8"/>
  <c r="Q105" i="8"/>
  <c r="P105" i="8" s="1"/>
  <c r="H105" i="8"/>
  <c r="E105" i="8" s="1"/>
  <c r="B105" i="8"/>
  <c r="N105" i="8"/>
  <c r="M105" i="8" a="1"/>
  <c r="M105" i="8" s="1"/>
  <c r="L110" i="8"/>
  <c r="L40" i="8"/>
  <c r="I41" i="2"/>
  <c r="L180" i="8"/>
  <c r="R81" i="4"/>
  <c r="AH81" i="9" s="1"/>
  <c r="J81" i="4"/>
  <c r="R81" i="9" s="1"/>
  <c r="B81" i="4"/>
  <c r="Q81" i="4"/>
  <c r="AF81" i="9" s="1"/>
  <c r="I81" i="4"/>
  <c r="P81" i="9" s="1"/>
  <c r="P81" i="4"/>
  <c r="AD81" i="9" s="1"/>
  <c r="H81" i="4"/>
  <c r="N81" i="9" s="1"/>
  <c r="A83" i="4" a="1"/>
  <c r="A83" i="4" s="1"/>
  <c r="O81" i="4"/>
  <c r="AB81" i="9" s="1"/>
  <c r="G81" i="4"/>
  <c r="L81" i="9" s="1"/>
  <c r="K81" i="4"/>
  <c r="T81" i="9" s="1"/>
  <c r="V81" i="4"/>
  <c r="AM81" i="9" s="1"/>
  <c r="E81" i="4"/>
  <c r="H81" i="9" s="1"/>
  <c r="N81" i="4"/>
  <c r="Z81" i="9" s="1"/>
  <c r="M81" i="4"/>
  <c r="X81" i="9" s="1"/>
  <c r="C81" i="4"/>
  <c r="D81" i="9" s="1"/>
  <c r="W81" i="4"/>
  <c r="AN81" i="9" s="1"/>
  <c r="T81" i="4"/>
  <c r="AL81" i="9" s="1"/>
  <c r="S81" i="4"/>
  <c r="AJ81" i="9" s="1"/>
  <c r="L81" i="4"/>
  <c r="V81" i="9" s="1"/>
  <c r="F81" i="4"/>
  <c r="J81" i="9" s="1"/>
  <c r="D81" i="4"/>
  <c r="F81" i="9" s="1"/>
  <c r="F34" i="8"/>
  <c r="G34" i="8" s="1"/>
  <c r="J34" i="8"/>
  <c r="N34" i="8"/>
  <c r="Q34" i="8" s="1"/>
  <c r="P34" i="8" s="1"/>
  <c r="R37" i="2" a="1"/>
  <c r="U37" i="2" a="1"/>
  <c r="S38" i="2"/>
  <c r="T38" i="2" s="1" a="1"/>
  <c r="N36" i="2" a="1"/>
  <c r="K36" i="2" a="1"/>
  <c r="O34" i="2" a="1"/>
  <c r="L34" i="2" a="1"/>
  <c r="R35" i="2" a="1"/>
  <c r="U35" i="2" a="1"/>
  <c r="M37" i="8" a="1"/>
  <c r="M37" i="2" a="1"/>
  <c r="J37" i="2" a="1"/>
  <c r="P38" i="2"/>
  <c r="Q38" i="2" s="1" a="1"/>
  <c r="Q38" i="2" l="1"/>
  <c r="T38" i="2"/>
  <c r="U37" i="2"/>
  <c r="R37" i="2"/>
  <c r="B80" i="9"/>
  <c r="K36" i="2"/>
  <c r="N36" i="2"/>
  <c r="K106" i="8"/>
  <c r="U35" i="2"/>
  <c r="R35" i="2"/>
  <c r="L34" i="2"/>
  <c r="O34" i="2"/>
  <c r="I32" i="8" a="1"/>
  <c r="I32" i="8" s="1"/>
  <c r="C102" i="8"/>
  <c r="O172" i="8"/>
  <c r="O102" i="8"/>
  <c r="O33" i="8"/>
  <c r="W33" i="2"/>
  <c r="D101" i="8" a="1"/>
  <c r="D101" i="8" s="1"/>
  <c r="F101" i="8" s="1"/>
  <c r="G101" i="8" s="1"/>
  <c r="I101" i="8" a="1"/>
  <c r="I101" i="8" s="1"/>
  <c r="N101" i="8"/>
  <c r="M101" i="8" a="1"/>
  <c r="M101" i="8" s="1"/>
  <c r="Q101" i="8"/>
  <c r="P101" i="8" s="1"/>
  <c r="B101" i="8"/>
  <c r="J101" i="8"/>
  <c r="H101" i="8"/>
  <c r="E101" i="8" s="1"/>
  <c r="K174" i="8"/>
  <c r="V34" i="2"/>
  <c r="K38" i="8"/>
  <c r="J37" i="2"/>
  <c r="M37" i="2"/>
  <c r="M37" i="8"/>
  <c r="T83" i="4"/>
  <c r="AL83" i="9" s="1"/>
  <c r="L83" i="4"/>
  <c r="D83" i="4"/>
  <c r="F83" i="9" s="1"/>
  <c r="S83" i="4"/>
  <c r="AJ83" i="9" s="1"/>
  <c r="K83" i="4"/>
  <c r="T83" i="9" s="1"/>
  <c r="C83" i="4"/>
  <c r="D83" i="9" s="1"/>
  <c r="R83" i="4"/>
  <c r="AH83" i="9" s="1"/>
  <c r="J83" i="4"/>
  <c r="R83" i="9" s="1"/>
  <c r="B83" i="4"/>
  <c r="Q83" i="4"/>
  <c r="I83" i="4"/>
  <c r="P83" i="9" s="1"/>
  <c r="A85" i="4" a="1"/>
  <c r="A85" i="4" s="1"/>
  <c r="M83" i="4"/>
  <c r="X83" i="9" s="1"/>
  <c r="G83" i="4"/>
  <c r="L83" i="9" s="1"/>
  <c r="P83" i="4"/>
  <c r="AD83" i="9" s="1"/>
  <c r="O83" i="4"/>
  <c r="AB83" i="9" s="1"/>
  <c r="V83" i="4"/>
  <c r="AM83" i="9" s="1"/>
  <c r="N83" i="4"/>
  <c r="H83" i="4"/>
  <c r="N83" i="9" s="1"/>
  <c r="F83" i="4"/>
  <c r="J83" i="9" s="1"/>
  <c r="E83" i="4"/>
  <c r="H83" i="9" s="1"/>
  <c r="W83" i="4"/>
  <c r="AN83" i="9" s="1"/>
  <c r="AT25" i="10"/>
  <c r="D106" i="8" a="1"/>
  <c r="D106" i="8" s="1"/>
  <c r="F106" i="8" s="1"/>
  <c r="G106" i="8" s="1"/>
  <c r="I106" i="8" a="1"/>
  <c r="I106" i="8" s="1"/>
  <c r="Q106" i="8"/>
  <c r="P106" i="8" s="1"/>
  <c r="H106" i="8"/>
  <c r="E106" i="8" s="1"/>
  <c r="B106" i="8"/>
  <c r="N106" i="8"/>
  <c r="M106" i="8" a="1"/>
  <c r="M106" i="8" s="1"/>
  <c r="J106" i="8"/>
  <c r="S82" i="4"/>
  <c r="K82" i="4"/>
  <c r="T82" i="9" s="1"/>
  <c r="C82" i="4"/>
  <c r="D82" i="9" s="1"/>
  <c r="R82" i="4"/>
  <c r="AH82" i="9" s="1"/>
  <c r="J82" i="4"/>
  <c r="R82" i="9" s="1"/>
  <c r="B82" i="4"/>
  <c r="Q82" i="4"/>
  <c r="AF82" i="9" s="1"/>
  <c r="I82" i="4"/>
  <c r="P82" i="9" s="1"/>
  <c r="P82" i="4"/>
  <c r="H82" i="4"/>
  <c r="N82" i="9" s="1"/>
  <c r="T82" i="4"/>
  <c r="AL82" i="9" s="1"/>
  <c r="D82" i="4"/>
  <c r="F82" i="9" s="1"/>
  <c r="N82" i="4"/>
  <c r="Z82" i="9" s="1"/>
  <c r="G82" i="4"/>
  <c r="L82" i="9" s="1"/>
  <c r="W82" i="4"/>
  <c r="AN82" i="9" s="1"/>
  <c r="F82" i="4"/>
  <c r="J82" i="9" s="1"/>
  <c r="L82" i="4"/>
  <c r="V82" i="9" s="1"/>
  <c r="E82" i="4"/>
  <c r="H82" i="9" s="1"/>
  <c r="V82" i="4"/>
  <c r="AM82" i="9" s="1"/>
  <c r="A84" i="4" a="1"/>
  <c r="A84" i="4" s="1"/>
  <c r="O82" i="4"/>
  <c r="AB82" i="9" s="1"/>
  <c r="M82" i="4"/>
  <c r="X82" i="9" s="1"/>
  <c r="Z83" i="9"/>
  <c r="V83" i="9"/>
  <c r="AF83" i="9"/>
  <c r="A85" i="9" a="1"/>
  <c r="A85" i="9" s="1"/>
  <c r="I42" i="2"/>
  <c r="L111" i="8"/>
  <c r="L181" i="8"/>
  <c r="L41" i="8"/>
  <c r="B81" i="9"/>
  <c r="A84" i="9" a="1"/>
  <c r="A84" i="9" s="1"/>
  <c r="AJ82" i="9"/>
  <c r="AD82" i="9"/>
  <c r="R38" i="2" a="1"/>
  <c r="U38" i="2" a="1"/>
  <c r="S39" i="2"/>
  <c r="T39" i="2" s="1" a="1"/>
  <c r="N37" i="2" a="1"/>
  <c r="K37" i="2" a="1"/>
  <c r="O35" i="2" a="1"/>
  <c r="L35" i="2" a="1"/>
  <c r="D37" i="8" a="1"/>
  <c r="M38" i="8" a="1"/>
  <c r="P39" i="2"/>
  <c r="Q39" i="2" s="1" a="1"/>
  <c r="J38" i="2" a="1"/>
  <c r="M38" i="2" a="1"/>
  <c r="Q39" i="2" l="1"/>
  <c r="T39" i="2"/>
  <c r="U38" i="2"/>
  <c r="R38" i="2"/>
  <c r="B82" i="9"/>
  <c r="K37" i="2"/>
  <c r="N37" i="2"/>
  <c r="B83" i="9"/>
  <c r="K107" i="8"/>
  <c r="L35" i="2"/>
  <c r="O35" i="2"/>
  <c r="J102" i="8"/>
  <c r="I102" i="8" a="1"/>
  <c r="I102" i="8" s="1"/>
  <c r="Q102" i="8"/>
  <c r="P102" i="8" s="1"/>
  <c r="N102" i="8"/>
  <c r="H102" i="8"/>
  <c r="E102" i="8" s="1"/>
  <c r="M102" i="8" a="1"/>
  <c r="M102" i="8" s="1"/>
  <c r="D102" i="8" a="1"/>
  <c r="D102" i="8" s="1"/>
  <c r="F102" i="8" s="1"/>
  <c r="G102" i="8" s="1"/>
  <c r="B102" i="8"/>
  <c r="O34" i="8"/>
  <c r="W34" i="2"/>
  <c r="C103" i="8"/>
  <c r="I33" i="8" a="1"/>
  <c r="I33" i="8" s="1"/>
  <c r="K175" i="8"/>
  <c r="V35" i="2"/>
  <c r="O35" i="8" s="1"/>
  <c r="O103" i="8"/>
  <c r="O173" i="8"/>
  <c r="M38" i="2"/>
  <c r="J38" i="2"/>
  <c r="W39" i="2"/>
  <c r="C109" i="8" s="1"/>
  <c r="K39" i="8"/>
  <c r="M38" i="8"/>
  <c r="D37" i="8"/>
  <c r="A87" i="9" a="1"/>
  <c r="A87" i="9" s="1"/>
  <c r="W85" i="4"/>
  <c r="AN85" i="9" s="1"/>
  <c r="N85" i="4"/>
  <c r="Z85" i="9" s="1"/>
  <c r="F85" i="4"/>
  <c r="J85" i="9" s="1"/>
  <c r="V85" i="4"/>
  <c r="AM85" i="9" s="1"/>
  <c r="M85" i="4"/>
  <c r="X85" i="9" s="1"/>
  <c r="E85" i="4"/>
  <c r="H85" i="9" s="1"/>
  <c r="T85" i="4"/>
  <c r="AL85" i="9" s="1"/>
  <c r="L85" i="4"/>
  <c r="V85" i="9" s="1"/>
  <c r="D85" i="4"/>
  <c r="F85" i="9" s="1"/>
  <c r="S85" i="4"/>
  <c r="AJ85" i="9" s="1"/>
  <c r="K85" i="4"/>
  <c r="T85" i="9" s="1"/>
  <c r="C85" i="4"/>
  <c r="D85" i="9" s="1"/>
  <c r="Q85" i="4"/>
  <c r="AF85" i="9" s="1"/>
  <c r="I85" i="4"/>
  <c r="P85" i="9" s="1"/>
  <c r="R85" i="4"/>
  <c r="AH85" i="9" s="1"/>
  <c r="O85" i="4"/>
  <c r="AB85" i="9" s="1"/>
  <c r="G85" i="4"/>
  <c r="L85" i="9" s="1"/>
  <c r="A87" i="4" a="1"/>
  <c r="A87" i="4" s="1"/>
  <c r="B85" i="4"/>
  <c r="H85" i="4"/>
  <c r="N85" i="9" s="1"/>
  <c r="P85" i="4"/>
  <c r="AD85" i="9" s="1"/>
  <c r="J85" i="4"/>
  <c r="R85" i="9" s="1"/>
  <c r="BA25" i="10"/>
  <c r="I43" i="2"/>
  <c r="L112" i="8"/>
  <c r="L182" i="8"/>
  <c r="L42" i="8"/>
  <c r="A86" i="9" a="1"/>
  <c r="A86" i="9" s="1"/>
  <c r="V84" i="4"/>
  <c r="AM84" i="9" s="1"/>
  <c r="M84" i="4"/>
  <c r="X84" i="9" s="1"/>
  <c r="E84" i="4"/>
  <c r="H84" i="9" s="1"/>
  <c r="T84" i="4"/>
  <c r="AL84" i="9" s="1"/>
  <c r="L84" i="4"/>
  <c r="V84" i="9" s="1"/>
  <c r="D84" i="4"/>
  <c r="F84" i="9" s="1"/>
  <c r="S84" i="4"/>
  <c r="AJ84" i="9" s="1"/>
  <c r="K84" i="4"/>
  <c r="T84" i="9" s="1"/>
  <c r="C84" i="4"/>
  <c r="D84" i="9" s="1"/>
  <c r="R84" i="4"/>
  <c r="AH84" i="9" s="1"/>
  <c r="J84" i="4"/>
  <c r="R84" i="9" s="1"/>
  <c r="B84" i="4"/>
  <c r="W84" i="4"/>
  <c r="AN84" i="9" s="1"/>
  <c r="F84" i="4"/>
  <c r="J84" i="9" s="1"/>
  <c r="P84" i="4"/>
  <c r="AD84" i="9" s="1"/>
  <c r="I84" i="4"/>
  <c r="P84" i="9" s="1"/>
  <c r="A86" i="4" a="1"/>
  <c r="A86" i="4" s="1"/>
  <c r="H84" i="4"/>
  <c r="N84" i="9" s="1"/>
  <c r="Q84" i="4"/>
  <c r="AF84" i="9" s="1"/>
  <c r="O84" i="4"/>
  <c r="AB84" i="9" s="1"/>
  <c r="N84" i="4"/>
  <c r="Z84" i="9" s="1"/>
  <c r="G84" i="4"/>
  <c r="L84" i="9" s="1"/>
  <c r="R39" i="2" a="1"/>
  <c r="U39" i="2" a="1"/>
  <c r="S40" i="2"/>
  <c r="T40" i="2" s="1" a="1"/>
  <c r="L36" i="2" a="1"/>
  <c r="O36" i="2" a="1"/>
  <c r="N38" i="2" a="1"/>
  <c r="K38" i="2" a="1"/>
  <c r="P40" i="2"/>
  <c r="Q40" i="2" s="1" a="1"/>
  <c r="D38" i="8" a="1"/>
  <c r="J39" i="2" a="1"/>
  <c r="M39" i="2" a="1"/>
  <c r="Q40" i="2" l="1"/>
  <c r="T40" i="2"/>
  <c r="U39" i="2"/>
  <c r="R39" i="2"/>
  <c r="B84" i="9"/>
  <c r="K38" i="2"/>
  <c r="N38" i="2"/>
  <c r="O36" i="2"/>
  <c r="L36" i="2"/>
  <c r="B85" i="9"/>
  <c r="K108" i="8"/>
  <c r="K176" i="8"/>
  <c r="V36" i="2"/>
  <c r="O36" i="8" s="1"/>
  <c r="O105" i="8"/>
  <c r="O175" i="8"/>
  <c r="I35" i="8" a="1"/>
  <c r="I35" i="8" s="1"/>
  <c r="E35" i="8" s="1"/>
  <c r="D103" i="8" a="1"/>
  <c r="D103" i="8" s="1"/>
  <c r="F103" i="8" s="1"/>
  <c r="G103" i="8" s="1"/>
  <c r="Q103" i="8"/>
  <c r="P103" i="8" s="1"/>
  <c r="B103" i="8"/>
  <c r="J103" i="8"/>
  <c r="I103" i="8" a="1"/>
  <c r="I103" i="8" s="1"/>
  <c r="M103" i="8" a="1"/>
  <c r="M103" i="8" s="1"/>
  <c r="N103" i="8"/>
  <c r="H103" i="8"/>
  <c r="E103" i="8" s="1"/>
  <c r="C104" i="8"/>
  <c r="I34" i="8" a="1"/>
  <c r="I34" i="8" s="1"/>
  <c r="O174" i="8"/>
  <c r="O104" i="8"/>
  <c r="M39" i="2"/>
  <c r="J39" i="2"/>
  <c r="D38" i="8"/>
  <c r="K40" i="8"/>
  <c r="L43" i="8"/>
  <c r="I44" i="2"/>
  <c r="L183" i="8"/>
  <c r="L113" i="8"/>
  <c r="A88" i="4" a="1"/>
  <c r="A88" i="4" s="1"/>
  <c r="O86" i="4"/>
  <c r="AB86" i="9" s="1"/>
  <c r="G86" i="4"/>
  <c r="L86" i="9" s="1"/>
  <c r="W86" i="4"/>
  <c r="AN86" i="9" s="1"/>
  <c r="N86" i="4"/>
  <c r="Z86" i="9" s="1"/>
  <c r="F86" i="4"/>
  <c r="J86" i="9" s="1"/>
  <c r="V86" i="4"/>
  <c r="AM86" i="9" s="1"/>
  <c r="M86" i="4"/>
  <c r="X86" i="9" s="1"/>
  <c r="E86" i="4"/>
  <c r="H86" i="9" s="1"/>
  <c r="T86" i="4"/>
  <c r="AL86" i="9" s="1"/>
  <c r="L86" i="4"/>
  <c r="V86" i="9" s="1"/>
  <c r="D86" i="4"/>
  <c r="F86" i="9" s="1"/>
  <c r="R86" i="4"/>
  <c r="AH86" i="9" s="1"/>
  <c r="J86" i="4"/>
  <c r="R86" i="9" s="1"/>
  <c r="B86" i="4"/>
  <c r="Q86" i="4"/>
  <c r="AF86" i="9" s="1"/>
  <c r="K86" i="4"/>
  <c r="T86" i="9" s="1"/>
  <c r="C86" i="4"/>
  <c r="D86" i="9" s="1"/>
  <c r="S86" i="4"/>
  <c r="AJ86" i="9" s="1"/>
  <c r="P86" i="4"/>
  <c r="AD86" i="9" s="1"/>
  <c r="I86" i="4"/>
  <c r="P86" i="9" s="1"/>
  <c r="H86" i="4"/>
  <c r="N86" i="9" s="1"/>
  <c r="A88" i="9" a="1"/>
  <c r="A88" i="9" s="1"/>
  <c r="AT33" i="10"/>
  <c r="P87" i="4"/>
  <c r="AD87" i="9" s="1"/>
  <c r="H87" i="4"/>
  <c r="N87" i="9" s="1"/>
  <c r="A89" i="4" a="1"/>
  <c r="A89" i="4" s="1"/>
  <c r="O87" i="4"/>
  <c r="AB87" i="9" s="1"/>
  <c r="G87" i="4"/>
  <c r="L87" i="9" s="1"/>
  <c r="W87" i="4"/>
  <c r="AN87" i="9" s="1"/>
  <c r="N87" i="4"/>
  <c r="Z87" i="9" s="1"/>
  <c r="F87" i="4"/>
  <c r="J87" i="9" s="1"/>
  <c r="V87" i="4"/>
  <c r="AM87" i="9" s="1"/>
  <c r="M87" i="4"/>
  <c r="X87" i="9" s="1"/>
  <c r="E87" i="4"/>
  <c r="H87" i="9" s="1"/>
  <c r="S87" i="4"/>
  <c r="AJ87" i="9" s="1"/>
  <c r="K87" i="4"/>
  <c r="T87" i="9" s="1"/>
  <c r="C87" i="4"/>
  <c r="D87" i="9" s="1"/>
  <c r="Q87" i="4"/>
  <c r="AF87" i="9" s="1"/>
  <c r="J87" i="4"/>
  <c r="R87" i="9" s="1"/>
  <c r="B87" i="4"/>
  <c r="T87" i="4"/>
  <c r="AL87" i="9" s="1"/>
  <c r="D87" i="4"/>
  <c r="F87" i="9" s="1"/>
  <c r="R87" i="4"/>
  <c r="AH87" i="9" s="1"/>
  <c r="L87" i="4"/>
  <c r="V87" i="9" s="1"/>
  <c r="I87" i="4"/>
  <c r="P87" i="9" s="1"/>
  <c r="N37" i="8"/>
  <c r="Q37" i="8" s="1"/>
  <c r="P37" i="8" s="1"/>
  <c r="F37" i="8"/>
  <c r="G37" i="8" s="1"/>
  <c r="J37" i="8"/>
  <c r="A89" i="9" a="1"/>
  <c r="A89" i="9" s="1"/>
  <c r="D109" i="8" a="1"/>
  <c r="D109" i="8" s="1"/>
  <c r="F109" i="8" s="1"/>
  <c r="G109" i="8" s="1"/>
  <c r="I109" i="8" a="1"/>
  <c r="I109" i="8" s="1"/>
  <c r="J109" i="8"/>
  <c r="Q109" i="8"/>
  <c r="P109" i="8" s="1"/>
  <c r="H109" i="8"/>
  <c r="E109" i="8" s="1"/>
  <c r="N109" i="8"/>
  <c r="B109" i="8"/>
  <c r="M109" i="8" a="1"/>
  <c r="M109" i="8" s="1"/>
  <c r="R40" i="2" a="1"/>
  <c r="U40" i="2" a="1"/>
  <c r="S41" i="2"/>
  <c r="T41" i="2" s="1" a="1"/>
  <c r="N39" i="2" a="1"/>
  <c r="K39" i="2" a="1"/>
  <c r="O37" i="2" a="1"/>
  <c r="L37" i="2" a="1"/>
  <c r="D35" i="8" a="1"/>
  <c r="J40" i="2" a="1"/>
  <c r="P41" i="2"/>
  <c r="Q41" i="2" s="1" a="1"/>
  <c r="M40" i="2" a="1"/>
  <c r="M40" i="8" a="1"/>
  <c r="Q41" i="2" l="1"/>
  <c r="T41" i="2"/>
  <c r="U40" i="2"/>
  <c r="R40" i="2"/>
  <c r="B86" i="9"/>
  <c r="L37" i="2"/>
  <c r="O37" i="2"/>
  <c r="K39" i="2"/>
  <c r="N39" i="2"/>
  <c r="K177" i="8"/>
  <c r="V37" i="2"/>
  <c r="B87" i="9"/>
  <c r="K109" i="8"/>
  <c r="I36" i="8" a="1"/>
  <c r="I36" i="8" s="1"/>
  <c r="E36" i="8" s="1"/>
  <c r="O106" i="8"/>
  <c r="O176" i="8"/>
  <c r="D35" i="8"/>
  <c r="I104" i="8" a="1"/>
  <c r="I104" i="8" s="1"/>
  <c r="B104" i="8"/>
  <c r="D104" i="8" a="1"/>
  <c r="D104" i="8" s="1"/>
  <c r="F104" i="8" s="1"/>
  <c r="G104" i="8" s="1"/>
  <c r="Q104" i="8"/>
  <c r="P104" i="8" s="1"/>
  <c r="M104" i="8" a="1"/>
  <c r="M104" i="8" s="1"/>
  <c r="N104" i="8"/>
  <c r="H104" i="8"/>
  <c r="E104" i="8" s="1"/>
  <c r="J104" i="8"/>
  <c r="M40" i="8"/>
  <c r="M40" i="2"/>
  <c r="K41" i="8"/>
  <c r="J40" i="2"/>
  <c r="R89" i="4"/>
  <c r="AH89" i="9" s="1"/>
  <c r="J89" i="4"/>
  <c r="R89" i="9" s="1"/>
  <c r="B89" i="4"/>
  <c r="Q89" i="4"/>
  <c r="AF89" i="9" s="1"/>
  <c r="I89" i="4"/>
  <c r="P89" i="9" s="1"/>
  <c r="P89" i="4"/>
  <c r="AD89" i="9" s="1"/>
  <c r="H89" i="4"/>
  <c r="N89" i="9" s="1"/>
  <c r="A91" i="4" a="1"/>
  <c r="A91" i="4" s="1"/>
  <c r="O89" i="4"/>
  <c r="AB89" i="9" s="1"/>
  <c r="G89" i="4"/>
  <c r="L89" i="9" s="1"/>
  <c r="V89" i="4"/>
  <c r="AM89" i="9" s="1"/>
  <c r="M89" i="4"/>
  <c r="X89" i="9" s="1"/>
  <c r="E89" i="4"/>
  <c r="H89" i="9" s="1"/>
  <c r="L89" i="4"/>
  <c r="V89" i="9" s="1"/>
  <c r="F89" i="4"/>
  <c r="J89" i="9" s="1"/>
  <c r="T89" i="4"/>
  <c r="AL89" i="9" s="1"/>
  <c r="S89" i="4"/>
  <c r="C89" i="4"/>
  <c r="D89" i="9" s="1"/>
  <c r="W89" i="4"/>
  <c r="AN89" i="9" s="1"/>
  <c r="N89" i="4"/>
  <c r="Z89" i="9" s="1"/>
  <c r="K89" i="4"/>
  <c r="T89" i="9" s="1"/>
  <c r="D89" i="4"/>
  <c r="F89" i="9" s="1"/>
  <c r="Q88" i="4"/>
  <c r="AF88" i="9" s="1"/>
  <c r="I88" i="4"/>
  <c r="P88" i="9" s="1"/>
  <c r="P88" i="4"/>
  <c r="H88" i="4"/>
  <c r="N88" i="9" s="1"/>
  <c r="A90" i="4" a="1"/>
  <c r="A90" i="4" s="1"/>
  <c r="O88" i="4"/>
  <c r="AB88" i="9" s="1"/>
  <c r="G88" i="4"/>
  <c r="L88" i="9" s="1"/>
  <c r="W88" i="4"/>
  <c r="AN88" i="9" s="1"/>
  <c r="N88" i="4"/>
  <c r="Z88" i="9" s="1"/>
  <c r="F88" i="4"/>
  <c r="J88" i="9" s="1"/>
  <c r="T88" i="4"/>
  <c r="AL88" i="9" s="1"/>
  <c r="L88" i="4"/>
  <c r="V88" i="9" s="1"/>
  <c r="D88" i="4"/>
  <c r="F88" i="9" s="1"/>
  <c r="M88" i="4"/>
  <c r="X88" i="9" s="1"/>
  <c r="J88" i="4"/>
  <c r="R88" i="9" s="1"/>
  <c r="V88" i="4"/>
  <c r="AM88" i="9" s="1"/>
  <c r="B88" i="4"/>
  <c r="S88" i="4"/>
  <c r="AJ88" i="9" s="1"/>
  <c r="R88" i="4"/>
  <c r="K88" i="4"/>
  <c r="T88" i="9" s="1"/>
  <c r="E88" i="4"/>
  <c r="H88" i="9" s="1"/>
  <c r="C88" i="4"/>
  <c r="D88" i="9" s="1"/>
  <c r="AJ89" i="9"/>
  <c r="A91" i="9" a="1"/>
  <c r="A91" i="9" s="1"/>
  <c r="A90" i="9" a="1"/>
  <c r="A90" i="9" s="1"/>
  <c r="AD88" i="9"/>
  <c r="AH88" i="9"/>
  <c r="L44" i="8"/>
  <c r="I45" i="2"/>
  <c r="L184" i="8"/>
  <c r="L114" i="8"/>
  <c r="N38" i="8"/>
  <c r="Q38" i="8" s="1"/>
  <c r="P38" i="8" s="1"/>
  <c r="J38" i="8"/>
  <c r="F38" i="8"/>
  <c r="G38" i="8" s="1"/>
  <c r="BA33" i="10"/>
  <c r="R41" i="2" a="1"/>
  <c r="U41" i="2" a="1"/>
  <c r="S42" i="2"/>
  <c r="T42" i="2" s="1" a="1"/>
  <c r="D36" i="8" a="1"/>
  <c r="K40" i="2" a="1"/>
  <c r="O38" i="2" a="1"/>
  <c r="L38" i="2" a="1"/>
  <c r="N40" i="2" a="1"/>
  <c r="M41" i="8" a="1"/>
  <c r="J41" i="2" a="1"/>
  <c r="D40" i="8" a="1"/>
  <c r="M41" i="2" a="1"/>
  <c r="P42" i="2"/>
  <c r="Q42" i="2" s="1" a="1"/>
  <c r="Q42" i="2" l="1"/>
  <c r="T42" i="2"/>
  <c r="U41" i="2"/>
  <c r="R41" i="2"/>
  <c r="B88" i="9"/>
  <c r="N40" i="2"/>
  <c r="L38" i="2"/>
  <c r="O38" i="2"/>
  <c r="K40" i="2"/>
  <c r="D36" i="8"/>
  <c r="K178" i="8"/>
  <c r="V38" i="2"/>
  <c r="O37" i="8"/>
  <c r="W37" i="2"/>
  <c r="K110" i="8"/>
  <c r="B89" i="9"/>
  <c r="F35" i="8"/>
  <c r="G35" i="8" s="1"/>
  <c r="N35" i="8"/>
  <c r="Q35" i="8" s="1"/>
  <c r="P35" i="8" s="1"/>
  <c r="J35" i="8"/>
  <c r="K42" i="8"/>
  <c r="M41" i="2"/>
  <c r="D40" i="8"/>
  <c r="J41" i="2"/>
  <c r="M41" i="8"/>
  <c r="AT41" i="10"/>
  <c r="A93" i="9" a="1"/>
  <c r="A93" i="9" s="1"/>
  <c r="A92" i="9" a="1"/>
  <c r="A92" i="9" s="1"/>
  <c r="S90" i="4"/>
  <c r="AJ90" i="9" s="1"/>
  <c r="K90" i="4"/>
  <c r="T90" i="9" s="1"/>
  <c r="C90" i="4"/>
  <c r="D90" i="9" s="1"/>
  <c r="R90" i="4"/>
  <c r="AH90" i="9" s="1"/>
  <c r="J90" i="4"/>
  <c r="R90" i="9" s="1"/>
  <c r="B90" i="4"/>
  <c r="Q90" i="4"/>
  <c r="AF90" i="9" s="1"/>
  <c r="I90" i="4"/>
  <c r="P90" i="9" s="1"/>
  <c r="P90" i="4"/>
  <c r="AD90" i="9" s="1"/>
  <c r="H90" i="4"/>
  <c r="N90" i="9" s="1"/>
  <c r="W90" i="4"/>
  <c r="AN90" i="9" s="1"/>
  <c r="N90" i="4"/>
  <c r="Z90" i="9" s="1"/>
  <c r="F90" i="4"/>
  <c r="J90" i="9" s="1"/>
  <c r="L90" i="4"/>
  <c r="V90" i="9" s="1"/>
  <c r="A92" i="4" a="1"/>
  <c r="A92" i="4" s="1"/>
  <c r="E90" i="4"/>
  <c r="H90" i="9" s="1"/>
  <c r="T90" i="4"/>
  <c r="AL90" i="9" s="1"/>
  <c r="O90" i="4"/>
  <c r="AB90" i="9" s="1"/>
  <c r="V90" i="4"/>
  <c r="AM90" i="9" s="1"/>
  <c r="M90" i="4"/>
  <c r="X90" i="9" s="1"/>
  <c r="G90" i="4"/>
  <c r="L90" i="9" s="1"/>
  <c r="D90" i="4"/>
  <c r="F90" i="9" s="1"/>
  <c r="I46" i="2"/>
  <c r="L45" i="8"/>
  <c r="L115" i="8"/>
  <c r="L185" i="8"/>
  <c r="T91" i="4"/>
  <c r="AL91" i="9" s="1"/>
  <c r="L91" i="4"/>
  <c r="V91" i="9" s="1"/>
  <c r="D91" i="4"/>
  <c r="F91" i="9" s="1"/>
  <c r="S91" i="4"/>
  <c r="AJ91" i="9" s="1"/>
  <c r="K91" i="4"/>
  <c r="T91" i="9" s="1"/>
  <c r="C91" i="4"/>
  <c r="D91" i="9" s="1"/>
  <c r="R91" i="4"/>
  <c r="AH91" i="9" s="1"/>
  <c r="J91" i="4"/>
  <c r="R91" i="9" s="1"/>
  <c r="B91" i="4"/>
  <c r="Q91" i="4"/>
  <c r="AF91" i="9" s="1"/>
  <c r="I91" i="4"/>
  <c r="P91" i="9" s="1"/>
  <c r="A93" i="4" a="1"/>
  <c r="A93" i="4" s="1"/>
  <c r="O91" i="4"/>
  <c r="AB91" i="9" s="1"/>
  <c r="G91" i="4"/>
  <c r="L91" i="9" s="1"/>
  <c r="H91" i="4"/>
  <c r="N91" i="9" s="1"/>
  <c r="E91" i="4"/>
  <c r="H91" i="9" s="1"/>
  <c r="P91" i="4"/>
  <c r="AD91" i="9" s="1"/>
  <c r="N91" i="4"/>
  <c r="Z91" i="9" s="1"/>
  <c r="W91" i="4"/>
  <c r="AN91" i="9" s="1"/>
  <c r="V91" i="4"/>
  <c r="AM91" i="9" s="1"/>
  <c r="M91" i="4"/>
  <c r="X91" i="9" s="1"/>
  <c r="F91" i="4"/>
  <c r="J91" i="9" s="1"/>
  <c r="R42" i="2" a="1"/>
  <c r="U42" i="2" a="1"/>
  <c r="S43" i="2"/>
  <c r="T43" i="2" s="1" a="1"/>
  <c r="L39" i="2" a="1"/>
  <c r="K41" i="2" a="1"/>
  <c r="O39" i="2" a="1"/>
  <c r="N41" i="2" a="1"/>
  <c r="D41" i="8" a="1"/>
  <c r="P43" i="2"/>
  <c r="Q43" i="2" s="1" a="1"/>
  <c r="M42" i="8" a="1"/>
  <c r="M42" i="2" a="1"/>
  <c r="J42" i="2" a="1"/>
  <c r="Q43" i="2" l="1"/>
  <c r="T43" i="2"/>
  <c r="U42" i="2"/>
  <c r="R42" i="2"/>
  <c r="N41" i="2"/>
  <c r="O39" i="2"/>
  <c r="K41" i="2"/>
  <c r="L39" i="2"/>
  <c r="C107" i="8"/>
  <c r="I37" i="8" a="1"/>
  <c r="I37" i="8" s="1"/>
  <c r="O107" i="8"/>
  <c r="O177" i="8"/>
  <c r="O38" i="8"/>
  <c r="W38" i="2"/>
  <c r="K111" i="8"/>
  <c r="K179" i="8"/>
  <c r="V39" i="2"/>
  <c r="O39" i="8" s="1"/>
  <c r="F36" i="8"/>
  <c r="G36" i="8" s="1"/>
  <c r="N36" i="8"/>
  <c r="Q36" i="8" s="1"/>
  <c r="P36" i="8" s="1"/>
  <c r="J36" i="8"/>
  <c r="J42" i="2"/>
  <c r="M42" i="2"/>
  <c r="M42" i="8"/>
  <c r="K43" i="8"/>
  <c r="D41" i="8"/>
  <c r="V92" i="4"/>
  <c r="AM92" i="9" s="1"/>
  <c r="M92" i="4"/>
  <c r="X92" i="9" s="1"/>
  <c r="E92" i="4"/>
  <c r="H92" i="9" s="1"/>
  <c r="T92" i="4"/>
  <c r="AL92" i="9" s="1"/>
  <c r="L92" i="4"/>
  <c r="V92" i="9" s="1"/>
  <c r="D92" i="4"/>
  <c r="F92" i="9" s="1"/>
  <c r="S92" i="4"/>
  <c r="AJ92" i="9" s="1"/>
  <c r="K92" i="4"/>
  <c r="T92" i="9" s="1"/>
  <c r="C92" i="4"/>
  <c r="D92" i="9" s="1"/>
  <c r="R92" i="4"/>
  <c r="AH92" i="9" s="1"/>
  <c r="J92" i="4"/>
  <c r="R92" i="9" s="1"/>
  <c r="B92" i="4"/>
  <c r="B92" i="9" s="1"/>
  <c r="P92" i="4"/>
  <c r="AD92" i="9" s="1"/>
  <c r="H92" i="4"/>
  <c r="N92" i="9" s="1"/>
  <c r="G92" i="4"/>
  <c r="L92" i="9" s="1"/>
  <c r="O92" i="4"/>
  <c r="AB92" i="9" s="1"/>
  <c r="N92" i="4"/>
  <c r="Z92" i="9" s="1"/>
  <c r="Q92" i="4"/>
  <c r="AF92" i="9" s="1"/>
  <c r="A94" i="4" a="1"/>
  <c r="A94" i="4" s="1"/>
  <c r="I92" i="4"/>
  <c r="P92" i="9" s="1"/>
  <c r="F92" i="4"/>
  <c r="J92" i="9" s="1"/>
  <c r="W92" i="4"/>
  <c r="AN92" i="9" s="1"/>
  <c r="A94" i="9" a="1"/>
  <c r="A94" i="9" s="1"/>
  <c r="B91" i="9"/>
  <c r="B90" i="9"/>
  <c r="A95" i="9" a="1"/>
  <c r="A95" i="9" s="1"/>
  <c r="W93" i="4"/>
  <c r="AN93" i="9" s="1"/>
  <c r="N93" i="4"/>
  <c r="Z93" i="9" s="1"/>
  <c r="F93" i="4"/>
  <c r="J93" i="9" s="1"/>
  <c r="V93" i="4"/>
  <c r="AM93" i="9" s="1"/>
  <c r="M93" i="4"/>
  <c r="X93" i="9" s="1"/>
  <c r="E93" i="4"/>
  <c r="H93" i="9" s="1"/>
  <c r="T93" i="4"/>
  <c r="AL93" i="9" s="1"/>
  <c r="L93" i="4"/>
  <c r="V93" i="9" s="1"/>
  <c r="D93" i="4"/>
  <c r="F93" i="9" s="1"/>
  <c r="S93" i="4"/>
  <c r="AJ93" i="9" s="1"/>
  <c r="K93" i="4"/>
  <c r="T93" i="9" s="1"/>
  <c r="C93" i="4"/>
  <c r="D93" i="9" s="1"/>
  <c r="Q93" i="4"/>
  <c r="AF93" i="9" s="1"/>
  <c r="I93" i="4"/>
  <c r="P93" i="9" s="1"/>
  <c r="G93" i="4"/>
  <c r="L93" i="9" s="1"/>
  <c r="O93" i="4"/>
  <c r="AB93" i="9" s="1"/>
  <c r="J93" i="4"/>
  <c r="R93" i="9" s="1"/>
  <c r="R93" i="4"/>
  <c r="AH93" i="9" s="1"/>
  <c r="P93" i="4"/>
  <c r="AD93" i="9" s="1"/>
  <c r="H93" i="4"/>
  <c r="N93" i="9" s="1"/>
  <c r="A95" i="4" a="1"/>
  <c r="A95" i="4" s="1"/>
  <c r="B93" i="4"/>
  <c r="BA41" i="10"/>
  <c r="L46" i="8"/>
  <c r="I47" i="2"/>
  <c r="L186" i="8"/>
  <c r="L116" i="8"/>
  <c r="F40" i="8"/>
  <c r="G40" i="8" s="1"/>
  <c r="J40" i="8"/>
  <c r="N40" i="8"/>
  <c r="Q40" i="8" s="1"/>
  <c r="P40" i="8" s="1"/>
  <c r="S44" i="2"/>
  <c r="R43" i="2" a="1"/>
  <c r="U43" i="2" a="1"/>
  <c r="N42" i="2" a="1"/>
  <c r="K42" i="2" a="1"/>
  <c r="O40" i="2" a="1"/>
  <c r="L40" i="2" a="1"/>
  <c r="D42" i="8" a="1"/>
  <c r="M43" i="2" a="1"/>
  <c r="J43" i="2" a="1"/>
  <c r="P44" i="2"/>
  <c r="M43" i="8" a="1"/>
  <c r="B93" i="9" l="1"/>
  <c r="U43" i="2"/>
  <c r="R43" i="2"/>
  <c r="L40" i="2"/>
  <c r="O40" i="2"/>
  <c r="K42" i="2"/>
  <c r="N42" i="2"/>
  <c r="C108" i="8"/>
  <c r="I38" i="8" a="1"/>
  <c r="I38" i="8" s="1"/>
  <c r="K180" i="8"/>
  <c r="V40" i="2"/>
  <c r="O108" i="8"/>
  <c r="O178" i="8"/>
  <c r="O109" i="8"/>
  <c r="O179" i="8"/>
  <c r="Q107" i="8"/>
  <c r="P107" i="8" s="1"/>
  <c r="D107" i="8" a="1"/>
  <c r="D107" i="8" s="1"/>
  <c r="F107" i="8" s="1"/>
  <c r="G107" i="8" s="1"/>
  <c r="B107" i="8"/>
  <c r="I107" i="8" a="1"/>
  <c r="I107" i="8" s="1"/>
  <c r="J107" i="8"/>
  <c r="M107" i="8" a="1"/>
  <c r="M107" i="8" s="1"/>
  <c r="N107" i="8"/>
  <c r="H107" i="8"/>
  <c r="E107" i="8" s="1"/>
  <c r="K112" i="8"/>
  <c r="M43" i="8"/>
  <c r="K44" i="8"/>
  <c r="J43" i="2"/>
  <c r="M43" i="2"/>
  <c r="D42" i="8"/>
  <c r="BI1" i="10"/>
  <c r="P95" i="4"/>
  <c r="AD95" i="9" s="1"/>
  <c r="H95" i="4"/>
  <c r="N95" i="9" s="1"/>
  <c r="A97" i="4" a="1"/>
  <c r="A97" i="4" s="1"/>
  <c r="O95" i="4"/>
  <c r="AB95" i="9" s="1"/>
  <c r="G95" i="4"/>
  <c r="L95" i="9" s="1"/>
  <c r="W95" i="4"/>
  <c r="AN95" i="9" s="1"/>
  <c r="N95" i="4"/>
  <c r="Z95" i="9" s="1"/>
  <c r="F95" i="4"/>
  <c r="V95" i="4"/>
  <c r="AM95" i="9" s="1"/>
  <c r="M95" i="4"/>
  <c r="X95" i="9" s="1"/>
  <c r="E95" i="4"/>
  <c r="H95" i="9" s="1"/>
  <c r="S95" i="4"/>
  <c r="AJ95" i="9" s="1"/>
  <c r="K95" i="4"/>
  <c r="T95" i="9" s="1"/>
  <c r="C95" i="4"/>
  <c r="D95" i="9" s="1"/>
  <c r="B95" i="4"/>
  <c r="R95" i="4"/>
  <c r="AH95" i="9" s="1"/>
  <c r="J95" i="4"/>
  <c r="R95" i="9" s="1"/>
  <c r="I95" i="4"/>
  <c r="P95" i="9" s="1"/>
  <c r="T95" i="4"/>
  <c r="AL95" i="9" s="1"/>
  <c r="Q95" i="4"/>
  <c r="AF95" i="9" s="1"/>
  <c r="L95" i="4"/>
  <c r="V95" i="9" s="1"/>
  <c r="D95" i="4"/>
  <c r="F95" i="9" s="1"/>
  <c r="J95" i="9"/>
  <c r="A97" i="9" a="1"/>
  <c r="A97" i="9" s="1"/>
  <c r="L47" i="8"/>
  <c r="I48" i="2"/>
  <c r="L187" i="8"/>
  <c r="L117" i="8"/>
  <c r="A96" i="9" a="1"/>
  <c r="A96" i="9" s="1"/>
  <c r="F41" i="8"/>
  <c r="G41" i="8" s="1"/>
  <c r="J41" i="8"/>
  <c r="N41" i="8"/>
  <c r="Q41" i="8" s="1"/>
  <c r="P41" i="8" s="1"/>
  <c r="A96" i="4" a="1"/>
  <c r="A96" i="4" s="1"/>
  <c r="O94" i="4"/>
  <c r="AB94" i="9" s="1"/>
  <c r="G94" i="4"/>
  <c r="L94" i="9" s="1"/>
  <c r="W94" i="4"/>
  <c r="AN94" i="9" s="1"/>
  <c r="N94" i="4"/>
  <c r="Z94" i="9" s="1"/>
  <c r="F94" i="4"/>
  <c r="J94" i="9" s="1"/>
  <c r="V94" i="4"/>
  <c r="AM94" i="9" s="1"/>
  <c r="M94" i="4"/>
  <c r="X94" i="9" s="1"/>
  <c r="E94" i="4"/>
  <c r="H94" i="9" s="1"/>
  <c r="T94" i="4"/>
  <c r="AL94" i="9" s="1"/>
  <c r="L94" i="4"/>
  <c r="V94" i="9" s="1"/>
  <c r="D94" i="4"/>
  <c r="F94" i="9" s="1"/>
  <c r="R94" i="4"/>
  <c r="AH94" i="9" s="1"/>
  <c r="J94" i="4"/>
  <c r="R94" i="9" s="1"/>
  <c r="B94" i="4"/>
  <c r="C94" i="4"/>
  <c r="D94" i="9" s="1"/>
  <c r="S94" i="4"/>
  <c r="AJ94" i="9" s="1"/>
  <c r="K94" i="4"/>
  <c r="T94" i="9" s="1"/>
  <c r="I94" i="4"/>
  <c r="P94" i="9" s="1"/>
  <c r="P94" i="4"/>
  <c r="AD94" i="9" s="1"/>
  <c r="H94" i="4"/>
  <c r="N94" i="9" s="1"/>
  <c r="Q94" i="4"/>
  <c r="AF94" i="9" s="1"/>
  <c r="Q44" i="2" a="1"/>
  <c r="T44" i="2" a="1"/>
  <c r="S45" i="2"/>
  <c r="N43" i="2" a="1"/>
  <c r="L41" i="2" a="1"/>
  <c r="O41" i="2" a="1"/>
  <c r="K43" i="2" a="1"/>
  <c r="D43" i="8" a="1"/>
  <c r="J44" i="2" a="1"/>
  <c r="M44" i="8" a="1"/>
  <c r="P45" i="2"/>
  <c r="M44" i="2" a="1"/>
  <c r="T44" i="2" l="1"/>
  <c r="Q44" i="2"/>
  <c r="B95" i="9"/>
  <c r="K43" i="2"/>
  <c r="O41" i="2"/>
  <c r="L41" i="2"/>
  <c r="N43" i="2"/>
  <c r="K113" i="8"/>
  <c r="O40" i="8"/>
  <c r="W40" i="2"/>
  <c r="K181" i="8"/>
  <c r="V41" i="2"/>
  <c r="Q108" i="8"/>
  <c r="P108" i="8" s="1"/>
  <c r="M108" i="8" a="1"/>
  <c r="M108" i="8" s="1"/>
  <c r="J108" i="8"/>
  <c r="D108" i="8" a="1"/>
  <c r="D108" i="8" s="1"/>
  <c r="F108" i="8" s="1"/>
  <c r="G108" i="8" s="1"/>
  <c r="I108" i="8" a="1"/>
  <c r="I108" i="8" s="1"/>
  <c r="N108" i="8"/>
  <c r="H108" i="8"/>
  <c r="E108" i="8" s="1"/>
  <c r="B108" i="8"/>
  <c r="M44" i="2"/>
  <c r="K45" i="8"/>
  <c r="M44" i="8"/>
  <c r="J44" i="2"/>
  <c r="D43" i="8"/>
  <c r="A99" i="9" a="1"/>
  <c r="A99" i="9" s="1"/>
  <c r="Q96" i="4"/>
  <c r="AF96" i="9" s="1"/>
  <c r="I96" i="4"/>
  <c r="P96" i="9" s="1"/>
  <c r="P96" i="4"/>
  <c r="AD96" i="9" s="1"/>
  <c r="H96" i="4"/>
  <c r="N96" i="9" s="1"/>
  <c r="A98" i="4" a="1"/>
  <c r="A98" i="4" s="1"/>
  <c r="O96" i="4"/>
  <c r="AB96" i="9" s="1"/>
  <c r="G96" i="4"/>
  <c r="L96" i="9" s="1"/>
  <c r="W96" i="4"/>
  <c r="AN96" i="9" s="1"/>
  <c r="N96" i="4"/>
  <c r="Z96" i="9" s="1"/>
  <c r="F96" i="4"/>
  <c r="J96" i="9" s="1"/>
  <c r="T96" i="4"/>
  <c r="AL96" i="9" s="1"/>
  <c r="L96" i="4"/>
  <c r="V96" i="9" s="1"/>
  <c r="D96" i="4"/>
  <c r="F96" i="9" s="1"/>
  <c r="V96" i="4"/>
  <c r="AM96" i="9" s="1"/>
  <c r="B96" i="4"/>
  <c r="B96" i="9" s="1"/>
  <c r="R96" i="4"/>
  <c r="AH96" i="9" s="1"/>
  <c r="J96" i="4"/>
  <c r="R96" i="9" s="1"/>
  <c r="E96" i="4"/>
  <c r="H96" i="9" s="1"/>
  <c r="K96" i="4"/>
  <c r="T96" i="9" s="1"/>
  <c r="C96" i="4"/>
  <c r="D96" i="9" s="1"/>
  <c r="S96" i="4"/>
  <c r="AJ96" i="9" s="1"/>
  <c r="M96" i="4"/>
  <c r="X96" i="9" s="1"/>
  <c r="A98" i="9" a="1"/>
  <c r="A98" i="9" s="1"/>
  <c r="L48" i="8"/>
  <c r="I49" i="2"/>
  <c r="L188" i="8"/>
  <c r="L118" i="8"/>
  <c r="BP1" i="10"/>
  <c r="B94" i="9"/>
  <c r="F42" i="8"/>
  <c r="G42" i="8" s="1"/>
  <c r="N42" i="8"/>
  <c r="Q42" i="8" s="1"/>
  <c r="P42" i="8" s="1"/>
  <c r="J42" i="8"/>
  <c r="R97" i="4"/>
  <c r="AH97" i="9" s="1"/>
  <c r="J97" i="4"/>
  <c r="R97" i="9" s="1"/>
  <c r="B97" i="4"/>
  <c r="Q97" i="4"/>
  <c r="AF97" i="9" s="1"/>
  <c r="I97" i="4"/>
  <c r="P97" i="9" s="1"/>
  <c r="P97" i="4"/>
  <c r="AD97" i="9" s="1"/>
  <c r="H97" i="4"/>
  <c r="N97" i="9" s="1"/>
  <c r="A99" i="4" a="1"/>
  <c r="A99" i="4" s="1"/>
  <c r="O97" i="4"/>
  <c r="AB97" i="9" s="1"/>
  <c r="G97" i="4"/>
  <c r="L97" i="9" s="1"/>
  <c r="V97" i="4"/>
  <c r="AM97" i="9" s="1"/>
  <c r="M97" i="4"/>
  <c r="X97" i="9" s="1"/>
  <c r="E97" i="4"/>
  <c r="H97" i="9" s="1"/>
  <c r="T97" i="4"/>
  <c r="AL97" i="9" s="1"/>
  <c r="N97" i="4"/>
  <c r="Z97" i="9" s="1"/>
  <c r="F97" i="4"/>
  <c r="J97" i="9" s="1"/>
  <c r="D97" i="4"/>
  <c r="F97" i="9" s="1"/>
  <c r="W97" i="4"/>
  <c r="AN97" i="9" s="1"/>
  <c r="S97" i="4"/>
  <c r="AJ97" i="9" s="1"/>
  <c r="L97" i="4"/>
  <c r="V97" i="9" s="1"/>
  <c r="K97" i="4"/>
  <c r="T97" i="9" s="1"/>
  <c r="C97" i="4"/>
  <c r="D97" i="9" s="1"/>
  <c r="Q45" i="2" a="1"/>
  <c r="T45" i="2" a="1"/>
  <c r="N44" i="2" a="1"/>
  <c r="S46" i="2"/>
  <c r="K44" i="2" a="1"/>
  <c r="O42" i="2" a="1"/>
  <c r="L42" i="2" a="1"/>
  <c r="J45" i="2" a="1"/>
  <c r="D44" i="8" a="1"/>
  <c r="M45" i="2" a="1"/>
  <c r="M45" i="8" a="1"/>
  <c r="P46" i="2"/>
  <c r="K44" i="2" l="1"/>
  <c r="N44" i="2"/>
  <c r="T45" i="2"/>
  <c r="Q45" i="2"/>
  <c r="K114" i="8"/>
  <c r="B97" i="9"/>
  <c r="L42" i="2"/>
  <c r="O42" i="2"/>
  <c r="K182" i="8"/>
  <c r="V42" i="2"/>
  <c r="O41" i="8"/>
  <c r="W41" i="2"/>
  <c r="C110" i="8"/>
  <c r="I40" i="8" a="1"/>
  <c r="I40" i="8" s="1"/>
  <c r="O180" i="8"/>
  <c r="O110" i="8"/>
  <c r="K46" i="8"/>
  <c r="M45" i="8"/>
  <c r="M45" i="2"/>
  <c r="D44" i="8"/>
  <c r="J45" i="2"/>
  <c r="A100" i="9" a="1"/>
  <c r="A100" i="9" s="1"/>
  <c r="A101" i="9" a="1"/>
  <c r="A101" i="9" s="1"/>
  <c r="T99" i="4"/>
  <c r="AL99" i="9" s="1"/>
  <c r="L99" i="4"/>
  <c r="V99" i="9" s="1"/>
  <c r="D99" i="4"/>
  <c r="F99" i="9" s="1"/>
  <c r="S99" i="4"/>
  <c r="AJ99" i="9" s="1"/>
  <c r="K99" i="4"/>
  <c r="T99" i="9" s="1"/>
  <c r="C99" i="4"/>
  <c r="D99" i="9" s="1"/>
  <c r="R99" i="4"/>
  <c r="AH99" i="9" s="1"/>
  <c r="J99" i="4"/>
  <c r="R99" i="9" s="1"/>
  <c r="B99" i="4"/>
  <c r="Q99" i="4"/>
  <c r="AF99" i="9" s="1"/>
  <c r="I99" i="4"/>
  <c r="P99" i="9" s="1"/>
  <c r="A101" i="4" a="1"/>
  <c r="A101" i="4" s="1"/>
  <c r="O99" i="4"/>
  <c r="AB99" i="9" s="1"/>
  <c r="G99" i="4"/>
  <c r="L99" i="9" s="1"/>
  <c r="P99" i="4"/>
  <c r="AD99" i="9" s="1"/>
  <c r="M99" i="4"/>
  <c r="X99" i="9" s="1"/>
  <c r="E99" i="4"/>
  <c r="H99" i="9" s="1"/>
  <c r="W99" i="4"/>
  <c r="AN99" i="9" s="1"/>
  <c r="V99" i="4"/>
  <c r="AM99" i="9" s="1"/>
  <c r="N99" i="4"/>
  <c r="Z99" i="9" s="1"/>
  <c r="H99" i="4"/>
  <c r="N99" i="9" s="1"/>
  <c r="F99" i="4"/>
  <c r="J99" i="9" s="1"/>
  <c r="I50" i="2"/>
  <c r="L189" i="8"/>
  <c r="L49" i="8"/>
  <c r="L119" i="8"/>
  <c r="BI9" i="10"/>
  <c r="S98" i="4"/>
  <c r="AJ98" i="9" s="1"/>
  <c r="K98" i="4"/>
  <c r="T98" i="9" s="1"/>
  <c r="C98" i="4"/>
  <c r="D98" i="9" s="1"/>
  <c r="R98" i="4"/>
  <c r="AH98" i="9" s="1"/>
  <c r="J98" i="4"/>
  <c r="R98" i="9" s="1"/>
  <c r="B98" i="4"/>
  <c r="B98" i="9" s="1"/>
  <c r="Q98" i="4"/>
  <c r="AF98" i="9" s="1"/>
  <c r="I98" i="4"/>
  <c r="P98" i="9" s="1"/>
  <c r="P98" i="4"/>
  <c r="AD98" i="9" s="1"/>
  <c r="H98" i="4"/>
  <c r="N98" i="9" s="1"/>
  <c r="W98" i="4"/>
  <c r="AN98" i="9" s="1"/>
  <c r="N98" i="4"/>
  <c r="Z98" i="9" s="1"/>
  <c r="F98" i="4"/>
  <c r="J98" i="9" s="1"/>
  <c r="T98" i="4"/>
  <c r="AL98" i="9" s="1"/>
  <c r="M98" i="4"/>
  <c r="X98" i="9" s="1"/>
  <c r="A100" i="4" a="1"/>
  <c r="A100" i="4" s="1"/>
  <c r="E98" i="4"/>
  <c r="H98" i="9" s="1"/>
  <c r="D98" i="4"/>
  <c r="F98" i="9" s="1"/>
  <c r="G98" i="4"/>
  <c r="L98" i="9" s="1"/>
  <c r="V98" i="4"/>
  <c r="AM98" i="9" s="1"/>
  <c r="O98" i="4"/>
  <c r="AB98" i="9" s="1"/>
  <c r="L98" i="4"/>
  <c r="V98" i="9" s="1"/>
  <c r="F43" i="8"/>
  <c r="G43" i="8" s="1"/>
  <c r="N43" i="8"/>
  <c r="Q43" i="8" s="1"/>
  <c r="P43" i="8" s="1"/>
  <c r="J43" i="8"/>
  <c r="Q46" i="2" a="1"/>
  <c r="T46" i="2" a="1"/>
  <c r="U44" i="2" a="1"/>
  <c r="S47" i="2"/>
  <c r="N45" i="2" a="1"/>
  <c r="K45" i="2" a="1"/>
  <c r="R44" i="2" a="1"/>
  <c r="L43" i="2" a="1"/>
  <c r="O43" i="2" a="1"/>
  <c r="M46" i="8" a="1"/>
  <c r="M46" i="2" a="1"/>
  <c r="D45" i="8" a="1"/>
  <c r="P47" i="2"/>
  <c r="J46" i="2" a="1"/>
  <c r="R44" i="2" l="1"/>
  <c r="K45" i="2"/>
  <c r="N45" i="2"/>
  <c r="U44" i="2"/>
  <c r="T46" i="2"/>
  <c r="Q46" i="2"/>
  <c r="K115" i="8"/>
  <c r="B99" i="9"/>
  <c r="O43" i="2"/>
  <c r="L43" i="2"/>
  <c r="C111" i="8"/>
  <c r="I41" i="8" a="1"/>
  <c r="I41" i="8" s="1"/>
  <c r="O181" i="8"/>
  <c r="O111" i="8"/>
  <c r="O42" i="8"/>
  <c r="W42" i="2"/>
  <c r="H110" i="8"/>
  <c r="E110" i="8" s="1"/>
  <c r="N110" i="8"/>
  <c r="B110" i="8"/>
  <c r="M110" i="8" a="1"/>
  <c r="M110" i="8" s="1"/>
  <c r="D110" i="8" a="1"/>
  <c r="D110" i="8" s="1"/>
  <c r="F110" i="8" s="1"/>
  <c r="G110" i="8" s="1"/>
  <c r="I110" i="8" a="1"/>
  <c r="I110" i="8" s="1"/>
  <c r="J110" i="8"/>
  <c r="Q110" i="8"/>
  <c r="P110" i="8" s="1"/>
  <c r="K183" i="8"/>
  <c r="V43" i="2"/>
  <c r="J46" i="2"/>
  <c r="K47" i="8"/>
  <c r="D45" i="8"/>
  <c r="M46" i="2"/>
  <c r="M46" i="8"/>
  <c r="A103" i="9" a="1"/>
  <c r="A103" i="9" s="1"/>
  <c r="F44" i="8"/>
  <c r="G44" i="8" s="1"/>
  <c r="J44" i="8"/>
  <c r="N44" i="8"/>
  <c r="Q44" i="8" s="1"/>
  <c r="P44" i="8" s="1"/>
  <c r="V100" i="4"/>
  <c r="AM100" i="9" s="1"/>
  <c r="M100" i="4"/>
  <c r="E100" i="4"/>
  <c r="T100" i="4"/>
  <c r="L100" i="4"/>
  <c r="V100" i="9" s="1"/>
  <c r="D100" i="4"/>
  <c r="F100" i="9" s="1"/>
  <c r="S100" i="4"/>
  <c r="K100" i="4"/>
  <c r="T100" i="9" s="1"/>
  <c r="C100" i="4"/>
  <c r="D100" i="9" s="1"/>
  <c r="R100" i="4"/>
  <c r="J100" i="4"/>
  <c r="R100" i="9" s="1"/>
  <c r="B100" i="4"/>
  <c r="P100" i="4"/>
  <c r="AD100" i="9" s="1"/>
  <c r="H100" i="4"/>
  <c r="N100" i="9" s="1"/>
  <c r="O100" i="4"/>
  <c r="AB100" i="9" s="1"/>
  <c r="I100" i="4"/>
  <c r="P100" i="9" s="1"/>
  <c r="W100" i="4"/>
  <c r="AN100" i="9" s="1"/>
  <c r="A102" i="4" a="1"/>
  <c r="A102" i="4" s="1"/>
  <c r="F100" i="4"/>
  <c r="J100" i="9" s="1"/>
  <c r="Q100" i="4"/>
  <c r="N100" i="4"/>
  <c r="Z100" i="9" s="1"/>
  <c r="G100" i="4"/>
  <c r="L100" i="9" s="1"/>
  <c r="BP9" i="10"/>
  <c r="I51" i="2"/>
  <c r="W101" i="4"/>
  <c r="AN101" i="9" s="1"/>
  <c r="N101" i="4"/>
  <c r="Z101" i="9" s="1"/>
  <c r="F101" i="4"/>
  <c r="J101" i="9" s="1"/>
  <c r="V101" i="4"/>
  <c r="AM101" i="9" s="1"/>
  <c r="M101" i="4"/>
  <c r="X101" i="9" s="1"/>
  <c r="E101" i="4"/>
  <c r="H101" i="9" s="1"/>
  <c r="T101" i="4"/>
  <c r="AL101" i="9" s="1"/>
  <c r="L101" i="4"/>
  <c r="V101" i="9" s="1"/>
  <c r="D101" i="4"/>
  <c r="F101" i="9" s="1"/>
  <c r="S101" i="4"/>
  <c r="AJ101" i="9" s="1"/>
  <c r="K101" i="4"/>
  <c r="T101" i="9" s="1"/>
  <c r="C101" i="4"/>
  <c r="D101" i="9" s="1"/>
  <c r="Q101" i="4"/>
  <c r="AF101" i="9" s="1"/>
  <c r="I101" i="4"/>
  <c r="P101" i="9" s="1"/>
  <c r="O101" i="4"/>
  <c r="AB101" i="9" s="1"/>
  <c r="H101" i="4"/>
  <c r="N101" i="9" s="1"/>
  <c r="R101" i="4"/>
  <c r="AH101" i="9" s="1"/>
  <c r="P101" i="4"/>
  <c r="AD101" i="9" s="1"/>
  <c r="J101" i="4"/>
  <c r="R101" i="9" s="1"/>
  <c r="G101" i="4"/>
  <c r="L101" i="9" s="1"/>
  <c r="A103" i="4" a="1"/>
  <c r="A103" i="4" s="1"/>
  <c r="B101" i="4"/>
  <c r="AJ100" i="9"/>
  <c r="AF100" i="9"/>
  <c r="A102" i="9" a="1"/>
  <c r="A102" i="9" s="1"/>
  <c r="X100" i="9"/>
  <c r="H100" i="9"/>
  <c r="AL100" i="9"/>
  <c r="AH100" i="9"/>
  <c r="B100" i="9"/>
  <c r="Q47" i="2" a="1"/>
  <c r="R45" i="2" a="1"/>
  <c r="L44" i="2" a="1"/>
  <c r="U45" i="2" a="1"/>
  <c r="T47" i="2" a="1"/>
  <c r="S48" i="2"/>
  <c r="O44" i="2" a="1"/>
  <c r="N46" i="2" a="1"/>
  <c r="K46" i="2" a="1"/>
  <c r="M47" i="2" a="1"/>
  <c r="P48" i="2"/>
  <c r="J47" i="2" a="1"/>
  <c r="D46" i="8" a="1"/>
  <c r="M47" i="8" a="1"/>
  <c r="K46" i="2" l="1"/>
  <c r="N46" i="2"/>
  <c r="O44" i="2"/>
  <c r="T47" i="2"/>
  <c r="U45" i="2"/>
  <c r="L44" i="2"/>
  <c r="R45" i="2"/>
  <c r="Q47" i="2"/>
  <c r="K116" i="8"/>
  <c r="K184" i="8"/>
  <c r="V44" i="2"/>
  <c r="C112" i="8"/>
  <c r="I42" i="8" a="1"/>
  <c r="I42" i="8" s="1"/>
  <c r="O112" i="8"/>
  <c r="O182" i="8"/>
  <c r="M111" i="8" a="1"/>
  <c r="M111" i="8" s="1"/>
  <c r="D111" i="8" a="1"/>
  <c r="D111" i="8" s="1"/>
  <c r="F111" i="8" s="1"/>
  <c r="G111" i="8" s="1"/>
  <c r="J111" i="8"/>
  <c r="B111" i="8"/>
  <c r="N111" i="8"/>
  <c r="H111" i="8"/>
  <c r="E111" i="8" s="1"/>
  <c r="I111" i="8" a="1"/>
  <c r="I111" i="8" s="1"/>
  <c r="Q111" i="8"/>
  <c r="P111" i="8" s="1"/>
  <c r="O43" i="8"/>
  <c r="W43" i="2"/>
  <c r="M47" i="8"/>
  <c r="D46" i="8"/>
  <c r="J47" i="2"/>
  <c r="K48" i="8"/>
  <c r="M47" i="2"/>
  <c r="A104" i="4" a="1"/>
  <c r="A104" i="4" s="1"/>
  <c r="O102" i="4"/>
  <c r="AB102" i="9" s="1"/>
  <c r="G102" i="4"/>
  <c r="L102" i="9" s="1"/>
  <c r="W102" i="4"/>
  <c r="AN102" i="9" s="1"/>
  <c r="N102" i="4"/>
  <c r="Z102" i="9" s="1"/>
  <c r="F102" i="4"/>
  <c r="J102" i="9" s="1"/>
  <c r="V102" i="4"/>
  <c r="AM102" i="9" s="1"/>
  <c r="M102" i="4"/>
  <c r="X102" i="9" s="1"/>
  <c r="E102" i="4"/>
  <c r="H102" i="9" s="1"/>
  <c r="T102" i="4"/>
  <c r="AL102" i="9" s="1"/>
  <c r="L102" i="4"/>
  <c r="V102" i="9" s="1"/>
  <c r="D102" i="4"/>
  <c r="F102" i="9" s="1"/>
  <c r="R102" i="4"/>
  <c r="AH102" i="9" s="1"/>
  <c r="J102" i="4"/>
  <c r="R102" i="9" s="1"/>
  <c r="B102" i="4"/>
  <c r="B102" i="9" s="1"/>
  <c r="K102" i="4"/>
  <c r="T102" i="9" s="1"/>
  <c r="H102" i="4"/>
  <c r="N102" i="9" s="1"/>
  <c r="S102" i="4"/>
  <c r="AJ102" i="9" s="1"/>
  <c r="Q102" i="4"/>
  <c r="AF102" i="9" s="1"/>
  <c r="P102" i="4"/>
  <c r="AD102" i="9" s="1"/>
  <c r="I102" i="4"/>
  <c r="P102" i="9" s="1"/>
  <c r="C102" i="4"/>
  <c r="D102" i="9" s="1"/>
  <c r="A104" i="9" a="1"/>
  <c r="A104" i="9" s="1"/>
  <c r="A105" i="9" a="1"/>
  <c r="A105" i="9" s="1"/>
  <c r="B101" i="9"/>
  <c r="P103" i="4"/>
  <c r="AD103" i="9" s="1"/>
  <c r="H103" i="4"/>
  <c r="N103" i="9" s="1"/>
  <c r="A105" i="4" a="1"/>
  <c r="A105" i="4" s="1"/>
  <c r="O103" i="4"/>
  <c r="AB103" i="9" s="1"/>
  <c r="G103" i="4"/>
  <c r="L103" i="9" s="1"/>
  <c r="W103" i="4"/>
  <c r="AN103" i="9" s="1"/>
  <c r="N103" i="4"/>
  <c r="Z103" i="9" s="1"/>
  <c r="F103" i="4"/>
  <c r="J103" i="9" s="1"/>
  <c r="V103" i="4"/>
  <c r="AM103" i="9" s="1"/>
  <c r="M103" i="4"/>
  <c r="X103" i="9" s="1"/>
  <c r="E103" i="4"/>
  <c r="H103" i="9" s="1"/>
  <c r="S103" i="4"/>
  <c r="AJ103" i="9" s="1"/>
  <c r="K103" i="4"/>
  <c r="T103" i="9" s="1"/>
  <c r="C103" i="4"/>
  <c r="D103" i="9" s="1"/>
  <c r="J103" i="4"/>
  <c r="R103" i="9" s="1"/>
  <c r="D103" i="4"/>
  <c r="F103" i="9" s="1"/>
  <c r="R103" i="4"/>
  <c r="AH103" i="9" s="1"/>
  <c r="Q103" i="4"/>
  <c r="AF103" i="9" s="1"/>
  <c r="T103" i="4"/>
  <c r="AL103" i="9" s="1"/>
  <c r="L103" i="4"/>
  <c r="V103" i="9" s="1"/>
  <c r="I103" i="4"/>
  <c r="P103" i="9" s="1"/>
  <c r="B103" i="4"/>
  <c r="BI17" i="10"/>
  <c r="F45" i="8"/>
  <c r="G45" i="8" s="1"/>
  <c r="N45" i="8"/>
  <c r="Q45" i="8" s="1"/>
  <c r="P45" i="8" s="1"/>
  <c r="J45" i="8"/>
  <c r="I52" i="2"/>
  <c r="Q48" i="2" a="1"/>
  <c r="L45" i="2" a="1"/>
  <c r="K47" i="2" a="1"/>
  <c r="R46" i="2" a="1"/>
  <c r="T48" i="2" a="1"/>
  <c r="N47" i="2" a="1"/>
  <c r="U46" i="2" a="1"/>
  <c r="O45" i="2" a="1"/>
  <c r="S49" i="2"/>
  <c r="J48" i="2" a="1"/>
  <c r="D47" i="8" a="1"/>
  <c r="P49" i="2"/>
  <c r="M48" i="2" a="1"/>
  <c r="M48" i="8" a="1"/>
  <c r="O45" i="2" l="1"/>
  <c r="U46" i="2"/>
  <c r="N47" i="2"/>
  <c r="T48" i="2"/>
  <c r="R46" i="2"/>
  <c r="K47" i="2"/>
  <c r="L45" i="2"/>
  <c r="Q48" i="2"/>
  <c r="O44" i="8"/>
  <c r="W44" i="2"/>
  <c r="B103" i="9"/>
  <c r="K117" i="8"/>
  <c r="K185" i="8"/>
  <c r="V45" i="2"/>
  <c r="C113" i="8"/>
  <c r="I43" i="8" a="1"/>
  <c r="I43" i="8" s="1"/>
  <c r="O183" i="8"/>
  <c r="O113" i="8"/>
  <c r="J112" i="8"/>
  <c r="B112" i="8"/>
  <c r="I112" i="8" a="1"/>
  <c r="I112" i="8" s="1"/>
  <c r="N112" i="8"/>
  <c r="H112" i="8"/>
  <c r="E112" i="8" s="1"/>
  <c r="Q112" i="8"/>
  <c r="P112" i="8" s="1"/>
  <c r="M112" i="8" a="1"/>
  <c r="M112" i="8" s="1"/>
  <c r="D112" i="8" a="1"/>
  <c r="D112" i="8" s="1"/>
  <c r="F112" i="8" s="1"/>
  <c r="G112" i="8" s="1"/>
  <c r="M48" i="8"/>
  <c r="M48" i="2"/>
  <c r="K49" i="8"/>
  <c r="D47" i="8"/>
  <c r="J48" i="2"/>
  <c r="R105" i="4"/>
  <c r="AH105" i="9" s="1"/>
  <c r="J105" i="4"/>
  <c r="R105" i="9" s="1"/>
  <c r="B105" i="4"/>
  <c r="Q105" i="4"/>
  <c r="AF105" i="9" s="1"/>
  <c r="I105" i="4"/>
  <c r="P105" i="9" s="1"/>
  <c r="P105" i="4"/>
  <c r="AD105" i="9" s="1"/>
  <c r="H105" i="4"/>
  <c r="N105" i="9" s="1"/>
  <c r="A107" i="4" a="1"/>
  <c r="A107" i="4" s="1"/>
  <c r="O105" i="4"/>
  <c r="AB105" i="9" s="1"/>
  <c r="G105" i="4"/>
  <c r="L105" i="9" s="1"/>
  <c r="V105" i="4"/>
  <c r="AM105" i="9" s="1"/>
  <c r="M105" i="4"/>
  <c r="X105" i="9" s="1"/>
  <c r="E105" i="4"/>
  <c r="H105" i="9" s="1"/>
  <c r="F105" i="4"/>
  <c r="J105" i="9" s="1"/>
  <c r="W105" i="4"/>
  <c r="AN105" i="9" s="1"/>
  <c r="C105" i="4"/>
  <c r="D105" i="9" s="1"/>
  <c r="N105" i="4"/>
  <c r="Z105" i="9" s="1"/>
  <c r="L105" i="4"/>
  <c r="V105" i="9" s="1"/>
  <c r="S105" i="4"/>
  <c r="AJ105" i="9" s="1"/>
  <c r="K105" i="4"/>
  <c r="T105" i="9" s="1"/>
  <c r="D105" i="4"/>
  <c r="F105" i="9" s="1"/>
  <c r="T105" i="4"/>
  <c r="AL105" i="9" s="1"/>
  <c r="I53" i="2"/>
  <c r="A107" i="9" a="1"/>
  <c r="A107" i="9" s="1"/>
  <c r="BP17" i="10"/>
  <c r="Q104" i="4"/>
  <c r="AF104" i="9" s="1"/>
  <c r="I104" i="4"/>
  <c r="P104" i="9" s="1"/>
  <c r="P104" i="4"/>
  <c r="AD104" i="9" s="1"/>
  <c r="H104" i="4"/>
  <c r="N104" i="9" s="1"/>
  <c r="A106" i="4" a="1"/>
  <c r="A106" i="4" s="1"/>
  <c r="O104" i="4"/>
  <c r="AB104" i="9" s="1"/>
  <c r="G104" i="4"/>
  <c r="L104" i="9" s="1"/>
  <c r="W104" i="4"/>
  <c r="AN104" i="9" s="1"/>
  <c r="N104" i="4"/>
  <c r="Z104" i="9" s="1"/>
  <c r="F104" i="4"/>
  <c r="J104" i="9" s="1"/>
  <c r="T104" i="4"/>
  <c r="AL104" i="9" s="1"/>
  <c r="L104" i="4"/>
  <c r="V104" i="9" s="1"/>
  <c r="D104" i="4"/>
  <c r="F104" i="9" s="1"/>
  <c r="J104" i="4"/>
  <c r="R104" i="9" s="1"/>
  <c r="C104" i="4"/>
  <c r="D104" i="9" s="1"/>
  <c r="R104" i="4"/>
  <c r="AH104" i="9" s="1"/>
  <c r="M104" i="4"/>
  <c r="X104" i="9" s="1"/>
  <c r="V104" i="4"/>
  <c r="AM104" i="9" s="1"/>
  <c r="S104" i="4"/>
  <c r="AJ104" i="9" s="1"/>
  <c r="K104" i="4"/>
  <c r="T104" i="9" s="1"/>
  <c r="E104" i="4"/>
  <c r="H104" i="9" s="1"/>
  <c r="B104" i="4"/>
  <c r="B104" i="9" s="1"/>
  <c r="A106" i="9" a="1"/>
  <c r="A106" i="9" s="1"/>
  <c r="N46" i="8"/>
  <c r="Q46" i="8" s="1"/>
  <c r="P46" i="8" s="1"/>
  <c r="J46" i="8"/>
  <c r="F46" i="8"/>
  <c r="G46" i="8" s="1"/>
  <c r="Q49" i="2" a="1"/>
  <c r="T49" i="2" a="1"/>
  <c r="K48" i="2" a="1"/>
  <c r="O46" i="2" a="1"/>
  <c r="N48" i="2" a="1"/>
  <c r="U47" i="2" a="1"/>
  <c r="S50" i="2"/>
  <c r="L46" i="2" a="1"/>
  <c r="R47" i="2" a="1"/>
  <c r="M49" i="2" a="1"/>
  <c r="D48" i="8" a="1"/>
  <c r="P50" i="2"/>
  <c r="M49" i="8" a="1"/>
  <c r="J49" i="2" a="1"/>
  <c r="R47" i="2" l="1"/>
  <c r="L46" i="2"/>
  <c r="U47" i="2"/>
  <c r="N48" i="2"/>
  <c r="O46" i="2"/>
  <c r="K48" i="2"/>
  <c r="T49" i="2"/>
  <c r="Q49" i="2"/>
  <c r="K186" i="8"/>
  <c r="V46" i="2"/>
  <c r="B105" i="9"/>
  <c r="C114" i="8"/>
  <c r="I44" i="8" a="1"/>
  <c r="I44" i="8" s="1"/>
  <c r="O45" i="8"/>
  <c r="W45" i="2"/>
  <c r="O184" i="8"/>
  <c r="O114" i="8"/>
  <c r="K118" i="8"/>
  <c r="I113" i="8" a="1"/>
  <c r="I113" i="8" s="1"/>
  <c r="Q113" i="8"/>
  <c r="P113" i="8" s="1"/>
  <c r="H113" i="8"/>
  <c r="E113" i="8" s="1"/>
  <c r="N113" i="8"/>
  <c r="M113" i="8" a="1"/>
  <c r="M113" i="8" s="1"/>
  <c r="B113" i="8"/>
  <c r="J113" i="8"/>
  <c r="D113" i="8" a="1"/>
  <c r="D113" i="8" s="1"/>
  <c r="F113" i="8" s="1"/>
  <c r="G113" i="8" s="1"/>
  <c r="J49" i="2"/>
  <c r="M49" i="8"/>
  <c r="K50" i="8"/>
  <c r="W50" i="2"/>
  <c r="C120" i="8" s="1"/>
  <c r="D48" i="8"/>
  <c r="M49" i="2"/>
  <c r="AL107" i="9"/>
  <c r="A109" i="9" a="1"/>
  <c r="A109" i="9" s="1"/>
  <c r="BI25" i="10"/>
  <c r="T107" i="4"/>
  <c r="L107" i="4"/>
  <c r="V107" i="9" s="1"/>
  <c r="D107" i="4"/>
  <c r="F107" i="9" s="1"/>
  <c r="S107" i="4"/>
  <c r="AJ107" i="9" s="1"/>
  <c r="K107" i="4"/>
  <c r="T107" i="9" s="1"/>
  <c r="C107" i="4"/>
  <c r="D107" i="9" s="1"/>
  <c r="R107" i="4"/>
  <c r="AH107" i="9" s="1"/>
  <c r="J107" i="4"/>
  <c r="R107" i="9" s="1"/>
  <c r="B107" i="4"/>
  <c r="Q107" i="4"/>
  <c r="AF107" i="9" s="1"/>
  <c r="I107" i="4"/>
  <c r="P107" i="9" s="1"/>
  <c r="A109" i="4" a="1"/>
  <c r="A109" i="4" s="1"/>
  <c r="O107" i="4"/>
  <c r="AB107" i="9" s="1"/>
  <c r="G107" i="4"/>
  <c r="L107" i="9" s="1"/>
  <c r="E107" i="4"/>
  <c r="H107" i="9" s="1"/>
  <c r="V107" i="4"/>
  <c r="AM107" i="9" s="1"/>
  <c r="M107" i="4"/>
  <c r="X107" i="9" s="1"/>
  <c r="H107" i="4"/>
  <c r="N107" i="9" s="1"/>
  <c r="N107" i="4"/>
  <c r="Z107" i="9" s="1"/>
  <c r="F107" i="4"/>
  <c r="J107" i="9" s="1"/>
  <c r="P107" i="4"/>
  <c r="AD107" i="9" s="1"/>
  <c r="W107" i="4"/>
  <c r="AN107" i="9" s="1"/>
  <c r="S106" i="4"/>
  <c r="AJ106" i="9" s="1"/>
  <c r="K106" i="4"/>
  <c r="T106" i="9" s="1"/>
  <c r="C106" i="4"/>
  <c r="D106" i="9" s="1"/>
  <c r="R106" i="4"/>
  <c r="AH106" i="9" s="1"/>
  <c r="J106" i="4"/>
  <c r="R106" i="9" s="1"/>
  <c r="B106" i="4"/>
  <c r="Q106" i="4"/>
  <c r="AF106" i="9" s="1"/>
  <c r="I106" i="4"/>
  <c r="P106" i="4"/>
  <c r="AD106" i="9" s="1"/>
  <c r="H106" i="4"/>
  <c r="N106" i="9" s="1"/>
  <c r="W106" i="4"/>
  <c r="AN106" i="9" s="1"/>
  <c r="N106" i="4"/>
  <c r="Z106" i="9" s="1"/>
  <c r="F106" i="4"/>
  <c r="J106" i="9" s="1"/>
  <c r="A108" i="4" a="1"/>
  <c r="A108" i="4" s="1"/>
  <c r="E106" i="4"/>
  <c r="H106" i="9" s="1"/>
  <c r="V106" i="4"/>
  <c r="AM106" i="9" s="1"/>
  <c r="M106" i="4"/>
  <c r="X106" i="9" s="1"/>
  <c r="L106" i="4"/>
  <c r="V106" i="9" s="1"/>
  <c r="T106" i="4"/>
  <c r="AL106" i="9" s="1"/>
  <c r="O106" i="4"/>
  <c r="AB106" i="9" s="1"/>
  <c r="G106" i="4"/>
  <c r="L106" i="9" s="1"/>
  <c r="D106" i="4"/>
  <c r="F106" i="9" s="1"/>
  <c r="I54" i="2"/>
  <c r="F47" i="8"/>
  <c r="G47" i="8" s="1"/>
  <c r="J47" i="8"/>
  <c r="N47" i="8"/>
  <c r="Q47" i="8" s="1"/>
  <c r="P47" i="8" s="1"/>
  <c r="P106" i="9"/>
  <c r="A108" i="9" a="1"/>
  <c r="A108" i="9" s="1"/>
  <c r="B106" i="9"/>
  <c r="Q50" i="2" a="1"/>
  <c r="N49" i="2" a="1"/>
  <c r="L47" i="2" a="1"/>
  <c r="K49" i="2" a="1"/>
  <c r="T50" i="2" a="1"/>
  <c r="O47" i="2" a="1"/>
  <c r="R48" i="2" a="1"/>
  <c r="U48" i="2" a="1"/>
  <c r="S51" i="2"/>
  <c r="M50" i="2" a="1"/>
  <c r="D49" i="8" a="1"/>
  <c r="J50" i="2" a="1"/>
  <c r="P51" i="2"/>
  <c r="U48" i="2" l="1"/>
  <c r="R48" i="2"/>
  <c r="O47" i="2"/>
  <c r="T50" i="2"/>
  <c r="K49" i="2"/>
  <c r="L47" i="2"/>
  <c r="N49" i="2"/>
  <c r="Q50" i="2"/>
  <c r="M114" i="8" a="1"/>
  <c r="M114" i="8" s="1"/>
  <c r="B114" i="8"/>
  <c r="J114" i="8"/>
  <c r="D114" i="8" a="1"/>
  <c r="D114" i="8" s="1"/>
  <c r="F114" i="8" s="1"/>
  <c r="G114" i="8" s="1"/>
  <c r="I114" i="8" a="1"/>
  <c r="I114" i="8" s="1"/>
  <c r="H114" i="8"/>
  <c r="E114" i="8" s="1"/>
  <c r="Q114" i="8"/>
  <c r="P114" i="8" s="1"/>
  <c r="N114" i="8"/>
  <c r="O46" i="8"/>
  <c r="W46" i="2"/>
  <c r="C115" i="8"/>
  <c r="I45" i="8" a="1"/>
  <c r="I45" i="8" s="1"/>
  <c r="K119" i="8"/>
  <c r="K187" i="8"/>
  <c r="V47" i="2"/>
  <c r="O115" i="8"/>
  <c r="O185" i="8"/>
  <c r="K51" i="8"/>
  <c r="W51" i="2"/>
  <c r="C121" i="8" s="1"/>
  <c r="J50" i="2"/>
  <c r="D49" i="8"/>
  <c r="M50" i="2"/>
  <c r="V108" i="4"/>
  <c r="AM108" i="9" s="1"/>
  <c r="M108" i="4"/>
  <c r="E108" i="4"/>
  <c r="T108" i="4"/>
  <c r="L108" i="4"/>
  <c r="D108" i="4"/>
  <c r="S108" i="4"/>
  <c r="K108" i="4"/>
  <c r="C108" i="4"/>
  <c r="R108" i="4"/>
  <c r="J108" i="4"/>
  <c r="B108" i="4"/>
  <c r="P108" i="4"/>
  <c r="H108" i="4"/>
  <c r="Q108" i="4"/>
  <c r="I108" i="4"/>
  <c r="G108" i="4"/>
  <c r="W108" i="4"/>
  <c r="AN108" i="9" s="1"/>
  <c r="O108" i="4"/>
  <c r="N108" i="4"/>
  <c r="A110" i="4" a="1"/>
  <c r="A110" i="4" s="1"/>
  <c r="F108" i="4"/>
  <c r="AL109" i="9"/>
  <c r="V109" i="9"/>
  <c r="F109" i="9"/>
  <c r="AH109" i="9"/>
  <c r="R109" i="9"/>
  <c r="B109" i="9"/>
  <c r="AD109" i="9"/>
  <c r="N109" i="9"/>
  <c r="Z109" i="9"/>
  <c r="J109" i="9"/>
  <c r="T109" i="9"/>
  <c r="P109" i="9"/>
  <c r="L109" i="9"/>
  <c r="H109" i="9"/>
  <c r="AJ109" i="9"/>
  <c r="D109" i="9"/>
  <c r="AF109" i="9"/>
  <c r="X109" i="9"/>
  <c r="A111" i="9" a="1"/>
  <c r="A111" i="9" s="1"/>
  <c r="AB109" i="9"/>
  <c r="I120" i="8" a="1"/>
  <c r="I120" i="8" s="1"/>
  <c r="N120" i="8"/>
  <c r="H120" i="8"/>
  <c r="E120" i="8" s="1"/>
  <c r="Q120" i="8"/>
  <c r="P120" i="8" s="1"/>
  <c r="D120" i="8" a="1"/>
  <c r="D120" i="8" s="1"/>
  <c r="F120" i="8" s="1"/>
  <c r="G120" i="8" s="1"/>
  <c r="M120" i="8" a="1"/>
  <c r="M120" i="8" s="1"/>
  <c r="B120" i="8"/>
  <c r="J120" i="8"/>
  <c r="F48" i="8"/>
  <c r="G48" i="8" s="1"/>
  <c r="J48" i="8"/>
  <c r="N48" i="8"/>
  <c r="Q48" i="8" s="1"/>
  <c r="P48" i="8" s="1"/>
  <c r="I55" i="2"/>
  <c r="BP25" i="10"/>
  <c r="AJ108" i="9"/>
  <c r="T108" i="9"/>
  <c r="D108" i="9"/>
  <c r="AF108" i="9"/>
  <c r="P108" i="9"/>
  <c r="A110" i="9" a="1"/>
  <c r="A110" i="9" s="1"/>
  <c r="AB108" i="9"/>
  <c r="L108" i="9"/>
  <c r="X108" i="9"/>
  <c r="H108" i="9"/>
  <c r="AH108" i="9"/>
  <c r="B108" i="9"/>
  <c r="AD108" i="9"/>
  <c r="Z108" i="9"/>
  <c r="V108" i="9"/>
  <c r="R108" i="9"/>
  <c r="N108" i="9"/>
  <c r="AL108" i="9"/>
  <c r="F108" i="9"/>
  <c r="J108" i="9"/>
  <c r="W109" i="4"/>
  <c r="AN109" i="9" s="1"/>
  <c r="N109" i="4"/>
  <c r="F109" i="4"/>
  <c r="V109" i="4"/>
  <c r="AM109" i="9" s="1"/>
  <c r="M109" i="4"/>
  <c r="E109" i="4"/>
  <c r="T109" i="4"/>
  <c r="L109" i="4"/>
  <c r="D109" i="4"/>
  <c r="S109" i="4"/>
  <c r="K109" i="4"/>
  <c r="C109" i="4"/>
  <c r="Q109" i="4"/>
  <c r="I109" i="4"/>
  <c r="P109" i="4"/>
  <c r="H109" i="4"/>
  <c r="G109" i="4"/>
  <c r="J109" i="4"/>
  <c r="A111" i="4" a="1"/>
  <c r="A111" i="4" s="1"/>
  <c r="B109" i="4"/>
  <c r="R109" i="4"/>
  <c r="O109" i="4"/>
  <c r="B107" i="9"/>
  <c r="Q51" i="2" a="1"/>
  <c r="T51" i="2" a="1"/>
  <c r="K50" i="2" a="1"/>
  <c r="S52" i="2"/>
  <c r="O48" i="2" a="1"/>
  <c r="L48" i="2" a="1"/>
  <c r="N50" i="2" a="1"/>
  <c r="U49" i="2" a="1"/>
  <c r="R49" i="2" a="1"/>
  <c r="J51" i="2" a="1"/>
  <c r="P52" i="2"/>
  <c r="M51" i="2" a="1"/>
  <c r="R49" i="2" l="1"/>
  <c r="U49" i="2"/>
  <c r="N50" i="2"/>
  <c r="L48" i="2"/>
  <c r="O48" i="2"/>
  <c r="K50" i="2"/>
  <c r="T51" i="2"/>
  <c r="Q51" i="2"/>
  <c r="N115" i="8"/>
  <c r="H115" i="8"/>
  <c r="E115" i="8" s="1"/>
  <c r="D115" i="8" a="1"/>
  <c r="D115" i="8" s="1"/>
  <c r="F115" i="8" s="1"/>
  <c r="G115" i="8" s="1"/>
  <c r="I115" i="8" a="1"/>
  <c r="I115" i="8" s="1"/>
  <c r="Q115" i="8"/>
  <c r="P115" i="8" s="1"/>
  <c r="M115" i="8" a="1"/>
  <c r="M115" i="8" s="1"/>
  <c r="J115" i="8"/>
  <c r="B115" i="8"/>
  <c r="C116" i="8"/>
  <c r="I46" i="8" a="1"/>
  <c r="I46" i="8" s="1"/>
  <c r="K188" i="8"/>
  <c r="V48" i="2"/>
  <c r="O47" i="8"/>
  <c r="W47" i="2"/>
  <c r="O186" i="8"/>
  <c r="O116" i="8"/>
  <c r="K120" i="8"/>
  <c r="M51" i="2"/>
  <c r="K52" i="8"/>
  <c r="W52" i="2"/>
  <c r="C122" i="8" s="1"/>
  <c r="J51" i="2"/>
  <c r="F49" i="8"/>
  <c r="G49" i="8" s="1"/>
  <c r="N49" i="8"/>
  <c r="Q49" i="8" s="1"/>
  <c r="P49" i="8" s="1"/>
  <c r="J49" i="8"/>
  <c r="Z111" i="9"/>
  <c r="J111" i="9"/>
  <c r="AL111" i="9"/>
  <c r="V111" i="9"/>
  <c r="F111" i="9"/>
  <c r="AH111" i="9"/>
  <c r="R111" i="9"/>
  <c r="B111" i="9"/>
  <c r="AD111" i="9"/>
  <c r="N111" i="9"/>
  <c r="X111" i="9"/>
  <c r="T111" i="9"/>
  <c r="P111" i="9"/>
  <c r="L111" i="9"/>
  <c r="H111" i="9"/>
  <c r="AJ111" i="9"/>
  <c r="D111" i="9"/>
  <c r="A113" i="9" a="1"/>
  <c r="A113" i="9" s="1"/>
  <c r="AB111" i="9"/>
  <c r="AF111" i="9"/>
  <c r="P111" i="4"/>
  <c r="H111" i="4"/>
  <c r="A113" i="4" a="1"/>
  <c r="A113" i="4" s="1"/>
  <c r="O111" i="4"/>
  <c r="G111" i="4"/>
  <c r="W111" i="4"/>
  <c r="AN111" i="9" s="1"/>
  <c r="N111" i="4"/>
  <c r="F111" i="4"/>
  <c r="V111" i="4"/>
  <c r="AM111" i="9" s="1"/>
  <c r="M111" i="4"/>
  <c r="E111" i="4"/>
  <c r="S111" i="4"/>
  <c r="K111" i="4"/>
  <c r="C111" i="4"/>
  <c r="R111" i="4"/>
  <c r="L111" i="4"/>
  <c r="D111" i="4"/>
  <c r="B111" i="4"/>
  <c r="I111" i="4"/>
  <c r="T111" i="4"/>
  <c r="J111" i="4"/>
  <c r="Q111" i="4"/>
  <c r="A112" i="4" a="1"/>
  <c r="A112" i="4" s="1"/>
  <c r="O110" i="4"/>
  <c r="G110" i="4"/>
  <c r="W110" i="4"/>
  <c r="AN110" i="9" s="1"/>
  <c r="N110" i="4"/>
  <c r="F110" i="4"/>
  <c r="V110" i="4"/>
  <c r="AM110" i="9" s="1"/>
  <c r="M110" i="4"/>
  <c r="E110" i="4"/>
  <c r="T110" i="4"/>
  <c r="L110" i="4"/>
  <c r="D110" i="4"/>
  <c r="R110" i="4"/>
  <c r="J110" i="4"/>
  <c r="B110" i="4"/>
  <c r="S110" i="4"/>
  <c r="P110" i="4"/>
  <c r="H110" i="4"/>
  <c r="C110" i="4"/>
  <c r="Q110" i="4"/>
  <c r="K110" i="4"/>
  <c r="I110" i="4"/>
  <c r="BI33" i="10"/>
  <c r="I56" i="2"/>
  <c r="D121" i="8" a="1"/>
  <c r="D121" i="8" s="1"/>
  <c r="F121" i="8" s="1"/>
  <c r="G121" i="8" s="1"/>
  <c r="I121" i="8" a="1"/>
  <c r="I121" i="8" s="1"/>
  <c r="N121" i="8"/>
  <c r="H121" i="8"/>
  <c r="E121" i="8" s="1"/>
  <c r="M121" i="8" a="1"/>
  <c r="M121" i="8" s="1"/>
  <c r="B121" i="8"/>
  <c r="J121" i="8"/>
  <c r="Q121" i="8"/>
  <c r="P121" i="8" s="1"/>
  <c r="X110" i="9"/>
  <c r="H110" i="9"/>
  <c r="AJ110" i="9"/>
  <c r="T110" i="9"/>
  <c r="D110" i="9"/>
  <c r="AF110" i="9"/>
  <c r="P110" i="9"/>
  <c r="A112" i="9" a="1"/>
  <c r="A112" i="9" s="1"/>
  <c r="AB110" i="9"/>
  <c r="L110" i="9"/>
  <c r="AL110" i="9"/>
  <c r="F110" i="9"/>
  <c r="AH110" i="9"/>
  <c r="B110" i="9"/>
  <c r="AD110" i="9"/>
  <c r="Z110" i="9"/>
  <c r="V110" i="9"/>
  <c r="R110" i="9"/>
  <c r="J110" i="9"/>
  <c r="N110" i="9"/>
  <c r="Q52" i="2" a="1"/>
  <c r="N51" i="2" a="1"/>
  <c r="L49" i="2" a="1"/>
  <c r="K51" i="2" a="1"/>
  <c r="O49" i="2" a="1"/>
  <c r="U50" i="2" a="1"/>
  <c r="R50" i="2" a="1"/>
  <c r="T52" i="2" a="1"/>
  <c r="S53" i="2"/>
  <c r="P53" i="2"/>
  <c r="M52" i="2" a="1"/>
  <c r="J52" i="2" a="1"/>
  <c r="T52" i="2" l="1"/>
  <c r="R50" i="2"/>
  <c r="U50" i="2"/>
  <c r="O49" i="2"/>
  <c r="K51" i="2"/>
  <c r="L49" i="2"/>
  <c r="N51" i="2"/>
  <c r="Q52" i="2"/>
  <c r="O48" i="8"/>
  <c r="W48" i="2"/>
  <c r="O187" i="8"/>
  <c r="O117" i="8"/>
  <c r="B116" i="8"/>
  <c r="M116" i="8" a="1"/>
  <c r="M116" i="8" s="1"/>
  <c r="Q116" i="8"/>
  <c r="P116" i="8" s="1"/>
  <c r="I116" i="8" a="1"/>
  <c r="I116" i="8" s="1"/>
  <c r="J116" i="8"/>
  <c r="N116" i="8"/>
  <c r="H116" i="8"/>
  <c r="E116" i="8" s="1"/>
  <c r="D116" i="8" a="1"/>
  <c r="D116" i="8" s="1"/>
  <c r="F116" i="8" s="1"/>
  <c r="G116" i="8" s="1"/>
  <c r="K121" i="8"/>
  <c r="K189" i="8"/>
  <c r="V49" i="2"/>
  <c r="C117" i="8"/>
  <c r="I47" i="8" a="1"/>
  <c r="I47" i="8" s="1"/>
  <c r="J52" i="2"/>
  <c r="M52" i="2"/>
  <c r="K53" i="8"/>
  <c r="W53" i="2"/>
  <c r="C123" i="8" s="1"/>
  <c r="A114" i="9" a="1"/>
  <c r="A114" i="9" s="1"/>
  <c r="AB112" i="9"/>
  <c r="L112" i="9"/>
  <c r="X112" i="9"/>
  <c r="H112" i="9"/>
  <c r="AJ112" i="9"/>
  <c r="T112" i="9"/>
  <c r="D112" i="9"/>
  <c r="AF112" i="9"/>
  <c r="P112" i="9"/>
  <c r="J112" i="9"/>
  <c r="AL112" i="9"/>
  <c r="F112" i="9"/>
  <c r="AH112" i="9"/>
  <c r="B112" i="9"/>
  <c r="AD112" i="9"/>
  <c r="Z112" i="9"/>
  <c r="V112" i="9"/>
  <c r="N112" i="9"/>
  <c r="R112" i="9"/>
  <c r="I57" i="2"/>
  <c r="R113" i="4"/>
  <c r="J113" i="4"/>
  <c r="B113" i="4"/>
  <c r="Q113" i="4"/>
  <c r="I113" i="4"/>
  <c r="P113" i="4"/>
  <c r="H113" i="4"/>
  <c r="A115" i="4" a="1"/>
  <c r="A115" i="4" s="1"/>
  <c r="O113" i="4"/>
  <c r="G113" i="4"/>
  <c r="V113" i="4"/>
  <c r="AM113" i="9" s="1"/>
  <c r="M113" i="4"/>
  <c r="E113" i="4"/>
  <c r="N113" i="4"/>
  <c r="K113" i="4"/>
  <c r="W113" i="4"/>
  <c r="AN113" i="9" s="1"/>
  <c r="C113" i="4"/>
  <c r="T113" i="4"/>
  <c r="D113" i="4"/>
  <c r="S113" i="4"/>
  <c r="F113" i="4"/>
  <c r="L113" i="4"/>
  <c r="Q112" i="4"/>
  <c r="I112" i="4"/>
  <c r="P112" i="4"/>
  <c r="H112" i="4"/>
  <c r="A114" i="4" a="1"/>
  <c r="A114" i="4" s="1"/>
  <c r="O112" i="4"/>
  <c r="G112" i="4"/>
  <c r="W112" i="4"/>
  <c r="AN112" i="9" s="1"/>
  <c r="N112" i="4"/>
  <c r="F112" i="4"/>
  <c r="T112" i="4"/>
  <c r="L112" i="4"/>
  <c r="D112" i="4"/>
  <c r="R112" i="4"/>
  <c r="K112" i="4"/>
  <c r="C112" i="4"/>
  <c r="V112" i="4"/>
  <c r="AM112" i="9" s="1"/>
  <c r="B112" i="4"/>
  <c r="S112" i="4"/>
  <c r="M112" i="4"/>
  <c r="J112" i="4"/>
  <c r="E112" i="4"/>
  <c r="BP33" i="10"/>
  <c r="D122" i="8" a="1"/>
  <c r="D122" i="8" s="1"/>
  <c r="F122" i="8" s="1"/>
  <c r="G122" i="8" s="1"/>
  <c r="I122" i="8" a="1"/>
  <c r="I122" i="8" s="1"/>
  <c r="J122" i="8"/>
  <c r="H122" i="8"/>
  <c r="E122" i="8" s="1"/>
  <c r="Q122" i="8"/>
  <c r="P122" i="8" s="1"/>
  <c r="M122" i="8" a="1"/>
  <c r="M122" i="8" s="1"/>
  <c r="B122" i="8"/>
  <c r="N122" i="8"/>
  <c r="AD113" i="9"/>
  <c r="N113" i="9"/>
  <c r="Z113" i="9"/>
  <c r="J113" i="9"/>
  <c r="AL113" i="9"/>
  <c r="V113" i="9"/>
  <c r="F113" i="9"/>
  <c r="AH113" i="9"/>
  <c r="R113" i="9"/>
  <c r="B113" i="9"/>
  <c r="A115" i="9" a="1"/>
  <c r="A115" i="9" s="1"/>
  <c r="AB113" i="9"/>
  <c r="X113" i="9"/>
  <c r="T113" i="9"/>
  <c r="P113" i="9"/>
  <c r="L113" i="9"/>
  <c r="H113" i="9"/>
  <c r="AF113" i="9"/>
  <c r="AJ113" i="9"/>
  <c r="D113" i="9"/>
  <c r="Q53" i="2" a="1"/>
  <c r="T53" i="2" a="1"/>
  <c r="K52" i="2" a="1"/>
  <c r="N52" i="2" a="1"/>
  <c r="L50" i="2" a="1"/>
  <c r="O50" i="2" a="1"/>
  <c r="U51" i="2" a="1"/>
  <c r="S54" i="2"/>
  <c r="R51" i="2" a="1"/>
  <c r="M53" i="2" a="1"/>
  <c r="J53" i="2" a="1"/>
  <c r="P54" i="2"/>
  <c r="R51" i="2" l="1"/>
  <c r="U51" i="2"/>
  <c r="O50" i="2"/>
  <c r="L50" i="2"/>
  <c r="N52" i="2"/>
  <c r="K52" i="2"/>
  <c r="T53" i="2"/>
  <c r="Q53" i="2"/>
  <c r="N117" i="8"/>
  <c r="H117" i="8"/>
  <c r="E117" i="8" s="1"/>
  <c r="B117" i="8"/>
  <c r="J117" i="8"/>
  <c r="D117" i="8" a="1"/>
  <c r="D117" i="8" s="1"/>
  <c r="F117" i="8" s="1"/>
  <c r="G117" i="8" s="1"/>
  <c r="Q117" i="8"/>
  <c r="P117" i="8" s="1"/>
  <c r="M117" i="8" a="1"/>
  <c r="M117" i="8" s="1"/>
  <c r="I117" i="8" a="1"/>
  <c r="I117" i="8" s="1"/>
  <c r="C118" i="8"/>
  <c r="I48" i="8" a="1"/>
  <c r="I48" i="8" s="1"/>
  <c r="K190" i="8"/>
  <c r="V50" i="2"/>
  <c r="O50" i="8" s="1"/>
  <c r="O49" i="8"/>
  <c r="W49" i="2"/>
  <c r="O188" i="8"/>
  <c r="O118" i="8"/>
  <c r="K122" i="8"/>
  <c r="K54" i="8"/>
  <c r="W54" i="2"/>
  <c r="C124" i="8" s="1"/>
  <c r="J53" i="2"/>
  <c r="M53" i="2"/>
  <c r="I58" i="2"/>
  <c r="AH115" i="9"/>
  <c r="R115" i="9"/>
  <c r="B115" i="9"/>
  <c r="AD115" i="9"/>
  <c r="N115" i="9"/>
  <c r="Z115" i="9"/>
  <c r="J115" i="9"/>
  <c r="AL115" i="9"/>
  <c r="V115" i="9"/>
  <c r="F115" i="9"/>
  <c r="AF115" i="9"/>
  <c r="A117" i="9" a="1"/>
  <c r="A117" i="9" s="1"/>
  <c r="AB115" i="9"/>
  <c r="X115" i="9"/>
  <c r="T115" i="9"/>
  <c r="P115" i="9"/>
  <c r="L115" i="9"/>
  <c r="AJ115" i="9"/>
  <c r="D115" i="9"/>
  <c r="H115" i="9"/>
  <c r="S114" i="4"/>
  <c r="K114" i="4"/>
  <c r="C114" i="4"/>
  <c r="R114" i="4"/>
  <c r="J114" i="4"/>
  <c r="B114" i="4"/>
  <c r="Q114" i="4"/>
  <c r="I114" i="4"/>
  <c r="P114" i="4"/>
  <c r="H114" i="4"/>
  <c r="W114" i="4"/>
  <c r="AN114" i="9" s="1"/>
  <c r="N114" i="4"/>
  <c r="F114" i="4"/>
  <c r="M114" i="4"/>
  <c r="G114" i="4"/>
  <c r="V114" i="4"/>
  <c r="AM114" i="9" s="1"/>
  <c r="T114" i="4"/>
  <c r="O114" i="4"/>
  <c r="L114" i="4"/>
  <c r="A116" i="4" a="1"/>
  <c r="A116" i="4" s="1"/>
  <c r="E114" i="4"/>
  <c r="D114" i="4"/>
  <c r="N123" i="8"/>
  <c r="H123" i="8"/>
  <c r="E123" i="8" s="1"/>
  <c r="D123" i="8" a="1"/>
  <c r="D123" i="8" s="1"/>
  <c r="F123" i="8" s="1"/>
  <c r="G123" i="8" s="1"/>
  <c r="I123" i="8" a="1"/>
  <c r="I123" i="8" s="1"/>
  <c r="Q123" i="8"/>
  <c r="P123" i="8" s="1"/>
  <c r="M123" i="8" a="1"/>
  <c r="M123" i="8" s="1"/>
  <c r="J123" i="8"/>
  <c r="B123" i="8"/>
  <c r="BI41" i="10"/>
  <c r="AF114" i="9"/>
  <c r="P114" i="9"/>
  <c r="A116" i="9" a="1"/>
  <c r="A116" i="9" s="1"/>
  <c r="AB114" i="9"/>
  <c r="L114" i="9"/>
  <c r="X114" i="9"/>
  <c r="H114" i="9"/>
  <c r="AJ114" i="9"/>
  <c r="T114" i="9"/>
  <c r="D114" i="9"/>
  <c r="N114" i="9"/>
  <c r="J114" i="9"/>
  <c r="AL114" i="9"/>
  <c r="F114" i="9"/>
  <c r="AH114" i="9"/>
  <c r="B114" i="9"/>
  <c r="AD114" i="9"/>
  <c r="Z114" i="9"/>
  <c r="R114" i="9"/>
  <c r="V114" i="9"/>
  <c r="T115" i="4"/>
  <c r="L115" i="4"/>
  <c r="D115" i="4"/>
  <c r="S115" i="4"/>
  <c r="K115" i="4"/>
  <c r="C115" i="4"/>
  <c r="R115" i="4"/>
  <c r="J115" i="4"/>
  <c r="B115" i="4"/>
  <c r="Q115" i="4"/>
  <c r="I115" i="4"/>
  <c r="A117" i="4" a="1"/>
  <c r="A117" i="4" s="1"/>
  <c r="O115" i="4"/>
  <c r="G115" i="4"/>
  <c r="M115" i="4"/>
  <c r="F115" i="4"/>
  <c r="V115" i="4"/>
  <c r="AM115" i="9" s="1"/>
  <c r="P115" i="4"/>
  <c r="W115" i="4"/>
  <c r="AN115" i="9" s="1"/>
  <c r="N115" i="4"/>
  <c r="E115" i="4"/>
  <c r="H115" i="4"/>
  <c r="Q54" i="2" a="1"/>
  <c r="N53" i="2" a="1"/>
  <c r="L51" i="2" a="1"/>
  <c r="K53" i="2" a="1"/>
  <c r="S55" i="2"/>
  <c r="T54" i="2" a="1"/>
  <c r="U52" i="2" a="1"/>
  <c r="O51" i="2" a="1"/>
  <c r="R52" i="2" a="1"/>
  <c r="J54" i="2" a="1"/>
  <c r="P55" i="2"/>
  <c r="M54" i="2" a="1"/>
  <c r="R52" i="2" l="1"/>
  <c r="O51" i="2"/>
  <c r="U52" i="2"/>
  <c r="T54" i="2"/>
  <c r="K53" i="2"/>
  <c r="L51" i="2"/>
  <c r="N53" i="2"/>
  <c r="Q54" i="2"/>
  <c r="O119" i="8"/>
  <c r="O189" i="8"/>
  <c r="O190" i="8"/>
  <c r="O120" i="8"/>
  <c r="C119" i="8"/>
  <c r="I49" i="8" a="1"/>
  <c r="I49" i="8" s="1"/>
  <c r="B118" i="8"/>
  <c r="D118" i="8" a="1"/>
  <c r="D118" i="8" s="1"/>
  <c r="F118" i="8" s="1"/>
  <c r="G118" i="8" s="1"/>
  <c r="I118" i="8" a="1"/>
  <c r="I118" i="8" s="1"/>
  <c r="N118" i="8"/>
  <c r="J118" i="8"/>
  <c r="H118" i="8"/>
  <c r="E118" i="8" s="1"/>
  <c r="Q118" i="8"/>
  <c r="P118" i="8" s="1"/>
  <c r="M118" i="8" a="1"/>
  <c r="M118" i="8" s="1"/>
  <c r="K123" i="8"/>
  <c r="K191" i="8"/>
  <c r="V51" i="2"/>
  <c r="O51" i="8" s="1"/>
  <c r="M54" i="2"/>
  <c r="K55" i="8"/>
  <c r="W55" i="2"/>
  <c r="C125" i="8" s="1"/>
  <c r="J54" i="2"/>
  <c r="BP41" i="10"/>
  <c r="I59" i="2"/>
  <c r="AJ116" i="9"/>
  <c r="T116" i="9"/>
  <c r="D116" i="9"/>
  <c r="AF116" i="9"/>
  <c r="P116" i="9"/>
  <c r="A118" i="9" a="1"/>
  <c r="A118" i="9" s="1"/>
  <c r="AB116" i="9"/>
  <c r="L116" i="9"/>
  <c r="X116" i="9"/>
  <c r="H116" i="9"/>
  <c r="R116" i="9"/>
  <c r="N116" i="9"/>
  <c r="J116" i="9"/>
  <c r="AL116" i="9"/>
  <c r="F116" i="9"/>
  <c r="AH116" i="9"/>
  <c r="B116" i="9"/>
  <c r="AD116" i="9"/>
  <c r="V116" i="9"/>
  <c r="Z116" i="9"/>
  <c r="V116" i="4"/>
  <c r="AM116" i="9" s="1"/>
  <c r="M116" i="4"/>
  <c r="E116" i="4"/>
  <c r="T116" i="4"/>
  <c r="L116" i="4"/>
  <c r="D116" i="4"/>
  <c r="S116" i="4"/>
  <c r="K116" i="4"/>
  <c r="C116" i="4"/>
  <c r="R116" i="4"/>
  <c r="J116" i="4"/>
  <c r="B116" i="4"/>
  <c r="P116" i="4"/>
  <c r="H116" i="4"/>
  <c r="I116" i="4"/>
  <c r="A118" i="4" a="1"/>
  <c r="A118" i="4" s="1"/>
  <c r="F116" i="4"/>
  <c r="Q116" i="4"/>
  <c r="O116" i="4"/>
  <c r="W116" i="4"/>
  <c r="AN116" i="9" s="1"/>
  <c r="N116" i="4"/>
  <c r="G116" i="4"/>
  <c r="AL117" i="9"/>
  <c r="V117" i="9"/>
  <c r="F117" i="9"/>
  <c r="AH117" i="9"/>
  <c r="R117" i="9"/>
  <c r="B117" i="9"/>
  <c r="AD117" i="9"/>
  <c r="N117" i="9"/>
  <c r="Z117" i="9"/>
  <c r="J117" i="9"/>
  <c r="AJ117" i="9"/>
  <c r="D117" i="9"/>
  <c r="AF117" i="9"/>
  <c r="A119" i="9" a="1"/>
  <c r="A119" i="9" s="1"/>
  <c r="AB117" i="9"/>
  <c r="X117" i="9"/>
  <c r="T117" i="9"/>
  <c r="P117" i="9"/>
  <c r="H117" i="9"/>
  <c r="L117" i="9"/>
  <c r="I124" i="8" a="1"/>
  <c r="I124" i="8" s="1"/>
  <c r="N124" i="8"/>
  <c r="H124" i="8"/>
  <c r="E124" i="8" s="1"/>
  <c r="Q124" i="8"/>
  <c r="P124" i="8" s="1"/>
  <c r="D124" i="8" a="1"/>
  <c r="D124" i="8" s="1"/>
  <c r="F124" i="8" s="1"/>
  <c r="G124" i="8" s="1"/>
  <c r="M124" i="8" a="1"/>
  <c r="M124" i="8" s="1"/>
  <c r="B124" i="8"/>
  <c r="J124" i="8"/>
  <c r="W117" i="4"/>
  <c r="AN117" i="9" s="1"/>
  <c r="N117" i="4"/>
  <c r="F117" i="4"/>
  <c r="V117" i="4"/>
  <c r="AM117" i="9" s="1"/>
  <c r="M117" i="4"/>
  <c r="E117" i="4"/>
  <c r="T117" i="4"/>
  <c r="L117" i="4"/>
  <c r="D117" i="4"/>
  <c r="S117" i="4"/>
  <c r="K117" i="4"/>
  <c r="C117" i="4"/>
  <c r="Q117" i="4"/>
  <c r="I117" i="4"/>
  <c r="H117" i="4"/>
  <c r="A119" i="4" a="1"/>
  <c r="A119" i="4" s="1"/>
  <c r="B117" i="4"/>
  <c r="P117" i="4"/>
  <c r="O117" i="4"/>
  <c r="R117" i="4"/>
  <c r="J117" i="4"/>
  <c r="G117" i="4"/>
  <c r="Q55" i="2" a="1"/>
  <c r="R53" i="2" a="1"/>
  <c r="L52" i="2" a="1"/>
  <c r="K54" i="2" a="1"/>
  <c r="S56" i="2"/>
  <c r="O52" i="2" a="1"/>
  <c r="N54" i="2" a="1"/>
  <c r="T55" i="2" a="1"/>
  <c r="U53" i="2" a="1"/>
  <c r="M55" i="2" a="1"/>
  <c r="J55" i="2" a="1"/>
  <c r="P56" i="2"/>
  <c r="U53" i="2" l="1"/>
  <c r="T55" i="2"/>
  <c r="N54" i="2"/>
  <c r="O52" i="2"/>
  <c r="K54" i="2"/>
  <c r="L52" i="2"/>
  <c r="R53" i="2"/>
  <c r="Q55" i="2"/>
  <c r="Q119" i="8"/>
  <c r="P119" i="8" s="1"/>
  <c r="M119" i="8" a="1"/>
  <c r="M119" i="8" s="1"/>
  <c r="B119" i="8"/>
  <c r="H119" i="8"/>
  <c r="E119" i="8" s="1"/>
  <c r="I119" i="8" a="1"/>
  <c r="I119" i="8" s="1"/>
  <c r="J119" i="8"/>
  <c r="N119" i="8"/>
  <c r="D119" i="8" a="1"/>
  <c r="D119" i="8" s="1"/>
  <c r="F119" i="8" s="1"/>
  <c r="G119" i="8" s="1"/>
  <c r="O191" i="8"/>
  <c r="O121" i="8"/>
  <c r="K124" i="8"/>
  <c r="K192" i="8"/>
  <c r="V52" i="2"/>
  <c r="O52" i="8" s="1"/>
  <c r="K56" i="8"/>
  <c r="W56" i="2"/>
  <c r="C126" i="8" s="1"/>
  <c r="J55" i="2"/>
  <c r="M55" i="2"/>
  <c r="BX1" i="10"/>
  <c r="Z119" i="9"/>
  <c r="J119" i="9"/>
  <c r="AL119" i="9"/>
  <c r="V119" i="9"/>
  <c r="F119" i="9"/>
  <c r="AH119" i="9"/>
  <c r="R119" i="9"/>
  <c r="B119" i="9"/>
  <c r="AD119" i="9"/>
  <c r="N119" i="9"/>
  <c r="H119" i="9"/>
  <c r="AJ119" i="9"/>
  <c r="D119" i="9"/>
  <c r="AF119" i="9"/>
  <c r="A121" i="9" a="1"/>
  <c r="A121" i="9" s="1"/>
  <c r="AB119" i="9"/>
  <c r="X119" i="9"/>
  <c r="T119" i="9"/>
  <c r="L119" i="9"/>
  <c r="P119" i="9"/>
  <c r="P119" i="4"/>
  <c r="H119" i="4"/>
  <c r="A121" i="4" a="1"/>
  <c r="A121" i="4" s="1"/>
  <c r="O119" i="4"/>
  <c r="G119" i="4"/>
  <c r="W119" i="4"/>
  <c r="AN119" i="9" s="1"/>
  <c r="N119" i="4"/>
  <c r="F119" i="4"/>
  <c r="V119" i="4"/>
  <c r="AM119" i="9" s="1"/>
  <c r="M119" i="4"/>
  <c r="E119" i="4"/>
  <c r="S119" i="4"/>
  <c r="K119" i="4"/>
  <c r="C119" i="4"/>
  <c r="D119" i="4"/>
  <c r="T119" i="4"/>
  <c r="L119" i="4"/>
  <c r="J119" i="4"/>
  <c r="R119" i="4"/>
  <c r="Q119" i="4"/>
  <c r="I119" i="4"/>
  <c r="B119" i="4"/>
  <c r="I60" i="2"/>
  <c r="D125" i="8" a="1"/>
  <c r="D125" i="8" s="1"/>
  <c r="F125" i="8" s="1"/>
  <c r="G125" i="8" s="1"/>
  <c r="I125" i="8" a="1"/>
  <c r="I125" i="8" s="1"/>
  <c r="N125" i="8"/>
  <c r="H125" i="8"/>
  <c r="E125" i="8" s="1"/>
  <c r="Q125" i="8"/>
  <c r="P125" i="8" s="1"/>
  <c r="B125" i="8"/>
  <c r="M125" i="8" a="1"/>
  <c r="M125" i="8" s="1"/>
  <c r="J125" i="8"/>
  <c r="A120" i="4" a="1"/>
  <c r="A120" i="4" s="1"/>
  <c r="O118" i="4"/>
  <c r="G118" i="4"/>
  <c r="W118" i="4"/>
  <c r="AN118" i="9" s="1"/>
  <c r="N118" i="4"/>
  <c r="F118" i="4"/>
  <c r="V118" i="4"/>
  <c r="AM118" i="9" s="1"/>
  <c r="M118" i="4"/>
  <c r="E118" i="4"/>
  <c r="T118" i="4"/>
  <c r="L118" i="4"/>
  <c r="D118" i="4"/>
  <c r="R118" i="4"/>
  <c r="J118" i="4"/>
  <c r="B118" i="4"/>
  <c r="H118" i="4"/>
  <c r="P118" i="4"/>
  <c r="K118" i="4"/>
  <c r="Q118" i="4"/>
  <c r="I118" i="4"/>
  <c r="C118" i="4"/>
  <c r="S118" i="4"/>
  <c r="X118" i="9"/>
  <c r="H118" i="9"/>
  <c r="AJ118" i="9"/>
  <c r="T118" i="9"/>
  <c r="D118" i="9"/>
  <c r="AF118" i="9"/>
  <c r="P118" i="9"/>
  <c r="A120" i="9" a="1"/>
  <c r="A120" i="9" s="1"/>
  <c r="AB118" i="9"/>
  <c r="L118" i="9"/>
  <c r="V118" i="9"/>
  <c r="R118" i="9"/>
  <c r="N118" i="9"/>
  <c r="J118" i="9"/>
  <c r="AL118" i="9"/>
  <c r="F118" i="9"/>
  <c r="AH118" i="9"/>
  <c r="B118" i="9"/>
  <c r="Z118" i="9"/>
  <c r="AD118" i="9"/>
  <c r="Q56" i="2" a="1"/>
  <c r="L53" i="2" a="1"/>
  <c r="S57" i="2"/>
  <c r="O53" i="2" a="1"/>
  <c r="K55" i="2" a="1"/>
  <c r="N55" i="2" a="1"/>
  <c r="U54" i="2" a="1"/>
  <c r="T56" i="2" a="1"/>
  <c r="R54" i="2" a="1"/>
  <c r="J56" i="2" a="1"/>
  <c r="M56" i="2" a="1"/>
  <c r="P57" i="2"/>
  <c r="R54" i="2" l="1"/>
  <c r="T56" i="2"/>
  <c r="U54" i="2"/>
  <c r="N55" i="2"/>
  <c r="K55" i="2"/>
  <c r="O53" i="2"/>
  <c r="L53" i="2"/>
  <c r="Q56" i="2"/>
  <c r="O192" i="8"/>
  <c r="O122" i="8"/>
  <c r="K125" i="8"/>
  <c r="K193" i="8"/>
  <c r="V53" i="2"/>
  <c r="O53" i="8" s="1"/>
  <c r="K57" i="8"/>
  <c r="W57" i="2"/>
  <c r="C127" i="8" s="1"/>
  <c r="M56" i="2"/>
  <c r="J56" i="2"/>
  <c r="CE1" i="10"/>
  <c r="A122" i="9" a="1"/>
  <c r="A122" i="9" s="1"/>
  <c r="AB120" i="9"/>
  <c r="L120" i="9"/>
  <c r="X120" i="9"/>
  <c r="H120" i="9"/>
  <c r="AJ120" i="9"/>
  <c r="T120" i="9"/>
  <c r="D120" i="9"/>
  <c r="AF120" i="9"/>
  <c r="P120" i="9"/>
  <c r="Z120" i="9"/>
  <c r="V120" i="9"/>
  <c r="R120" i="9"/>
  <c r="N120" i="9"/>
  <c r="J120" i="9"/>
  <c r="AL120" i="9"/>
  <c r="F120" i="9"/>
  <c r="AD120" i="9"/>
  <c r="B120" i="9"/>
  <c r="AH120" i="9"/>
  <c r="I61" i="2"/>
  <c r="AD121" i="9"/>
  <c r="N121" i="9"/>
  <c r="A123" i="9" a="1"/>
  <c r="A123" i="9" s="1"/>
  <c r="AB121" i="9"/>
  <c r="Z121" i="9"/>
  <c r="J121" i="9"/>
  <c r="AL121" i="9"/>
  <c r="V121" i="9"/>
  <c r="F121" i="9"/>
  <c r="AH121" i="9"/>
  <c r="R121" i="9"/>
  <c r="B121" i="9"/>
  <c r="L121" i="9"/>
  <c r="H121" i="9"/>
  <c r="D121" i="9"/>
  <c r="AJ121" i="9"/>
  <c r="AF121" i="9"/>
  <c r="X121" i="9"/>
  <c r="P121" i="9"/>
  <c r="T121" i="9"/>
  <c r="N126" i="8"/>
  <c r="H126" i="8"/>
  <c r="E126" i="8" s="1"/>
  <c r="M126" i="8" a="1"/>
  <c r="M126" i="8" s="1"/>
  <c r="D126" i="8" a="1"/>
  <c r="D126" i="8" s="1"/>
  <c r="F126" i="8" s="1"/>
  <c r="G126" i="8" s="1"/>
  <c r="I126" i="8" a="1"/>
  <c r="I126" i="8" s="1"/>
  <c r="J126" i="8"/>
  <c r="B126" i="8"/>
  <c r="Q126" i="8"/>
  <c r="P126" i="8" s="1"/>
  <c r="R121" i="4"/>
  <c r="J121" i="4"/>
  <c r="B121" i="4"/>
  <c r="Q121" i="4"/>
  <c r="I121" i="4"/>
  <c r="P121" i="4"/>
  <c r="H121" i="4"/>
  <c r="A123" i="4" a="1"/>
  <c r="A123" i="4" s="1"/>
  <c r="O121" i="4"/>
  <c r="G121" i="4"/>
  <c r="V121" i="4"/>
  <c r="AM121" i="9" s="1"/>
  <c r="M121" i="4"/>
  <c r="E121" i="4"/>
  <c r="W121" i="4"/>
  <c r="AN121" i="9" s="1"/>
  <c r="C121" i="4"/>
  <c r="S121" i="4"/>
  <c r="K121" i="4"/>
  <c r="F121" i="4"/>
  <c r="T121" i="4"/>
  <c r="N121" i="4"/>
  <c r="L121" i="4"/>
  <c r="D121" i="4"/>
  <c r="Q120" i="4"/>
  <c r="I120" i="4"/>
  <c r="P120" i="4"/>
  <c r="H120" i="4"/>
  <c r="A122" i="4" a="1"/>
  <c r="A122" i="4" s="1"/>
  <c r="O120" i="4"/>
  <c r="G120" i="4"/>
  <c r="W120" i="4"/>
  <c r="AN120" i="9" s="1"/>
  <c r="N120" i="4"/>
  <c r="F120" i="4"/>
  <c r="T120" i="4"/>
  <c r="L120" i="4"/>
  <c r="D120" i="4"/>
  <c r="C120" i="4"/>
  <c r="S120" i="4"/>
  <c r="K120" i="4"/>
  <c r="J120" i="4"/>
  <c r="M120" i="4"/>
  <c r="B120" i="4"/>
  <c r="E120" i="4"/>
  <c r="V120" i="4"/>
  <c r="AM120" i="9" s="1"/>
  <c r="R120" i="4"/>
  <c r="Q57" i="2" a="1"/>
  <c r="L54" i="2" a="1"/>
  <c r="K56" i="2" a="1"/>
  <c r="N56" i="2" a="1"/>
  <c r="U55" i="2" a="1"/>
  <c r="O54" i="2" a="1"/>
  <c r="S58" i="2"/>
  <c r="R55" i="2" a="1"/>
  <c r="T57" i="2" a="1"/>
  <c r="M57" i="2" a="1"/>
  <c r="P58" i="2"/>
  <c r="J57" i="2" a="1"/>
  <c r="T57" i="2" l="1"/>
  <c r="R55" i="2"/>
  <c r="O54" i="2"/>
  <c r="U55" i="2"/>
  <c r="N56" i="2"/>
  <c r="K56" i="2"/>
  <c r="L54" i="2"/>
  <c r="Q57" i="2"/>
  <c r="O193" i="8"/>
  <c r="O123" i="8"/>
  <c r="K126" i="8"/>
  <c r="K194" i="8"/>
  <c r="V54" i="2"/>
  <c r="O54" i="8" s="1"/>
  <c r="J57" i="2"/>
  <c r="K58" i="8"/>
  <c r="W58" i="2"/>
  <c r="C128" i="8" s="1"/>
  <c r="M57" i="2"/>
  <c r="I127" i="8" a="1"/>
  <c r="I127" i="8" s="1"/>
  <c r="B127" i="8"/>
  <c r="N127" i="8"/>
  <c r="H127" i="8"/>
  <c r="E127" i="8" s="1"/>
  <c r="D127" i="8" a="1"/>
  <c r="D127" i="8" s="1"/>
  <c r="F127" i="8" s="1"/>
  <c r="G127" i="8" s="1"/>
  <c r="Q127" i="8"/>
  <c r="P127" i="8" s="1"/>
  <c r="M127" i="8" a="1"/>
  <c r="M127" i="8" s="1"/>
  <c r="J127" i="8"/>
  <c r="I62" i="2"/>
  <c r="AF122" i="9"/>
  <c r="P122" i="9"/>
  <c r="AD122" i="9"/>
  <c r="N122" i="9"/>
  <c r="A124" i="9" a="1"/>
  <c r="A124" i="9" s="1"/>
  <c r="AB122" i="9"/>
  <c r="L122" i="9"/>
  <c r="X122" i="9"/>
  <c r="H122" i="9"/>
  <c r="AJ122" i="9"/>
  <c r="T122" i="9"/>
  <c r="D122" i="9"/>
  <c r="F122" i="9"/>
  <c r="B122" i="9"/>
  <c r="AL122" i="9"/>
  <c r="AH122" i="9"/>
  <c r="Z122" i="9"/>
  <c r="V122" i="9"/>
  <c r="J122" i="9"/>
  <c r="R122" i="9"/>
  <c r="S122" i="4"/>
  <c r="K122" i="4"/>
  <c r="C122" i="4"/>
  <c r="R122" i="4"/>
  <c r="J122" i="4"/>
  <c r="B122" i="4"/>
  <c r="Q122" i="4"/>
  <c r="I122" i="4"/>
  <c r="P122" i="4"/>
  <c r="H122" i="4"/>
  <c r="W122" i="4"/>
  <c r="AN122" i="9" s="1"/>
  <c r="N122" i="4"/>
  <c r="F122" i="4"/>
  <c r="V122" i="4"/>
  <c r="AM122" i="9" s="1"/>
  <c r="O122" i="4"/>
  <c r="G122" i="4"/>
  <c r="A124" i="4" a="1"/>
  <c r="A124" i="4" s="1"/>
  <c r="E122" i="4"/>
  <c r="L122" i="4"/>
  <c r="D122" i="4"/>
  <c r="M122" i="4"/>
  <c r="T122" i="4"/>
  <c r="T123" i="4"/>
  <c r="L123" i="4"/>
  <c r="D123" i="4"/>
  <c r="S123" i="4"/>
  <c r="K123" i="4"/>
  <c r="C123" i="4"/>
  <c r="R123" i="4"/>
  <c r="J123" i="4"/>
  <c r="B123" i="4"/>
  <c r="Q123" i="4"/>
  <c r="I123" i="4"/>
  <c r="A125" i="4" a="1"/>
  <c r="A125" i="4" s="1"/>
  <c r="O123" i="4"/>
  <c r="G123" i="4"/>
  <c r="V123" i="4"/>
  <c r="AM123" i="9" s="1"/>
  <c r="N123" i="4"/>
  <c r="F123" i="4"/>
  <c r="E123" i="4"/>
  <c r="W123" i="4"/>
  <c r="AN123" i="9" s="1"/>
  <c r="P123" i="4"/>
  <c r="M123" i="4"/>
  <c r="H123" i="4"/>
  <c r="AH123" i="9"/>
  <c r="R123" i="9"/>
  <c r="B123" i="9"/>
  <c r="AF123" i="9"/>
  <c r="P123" i="9"/>
  <c r="AD123" i="9"/>
  <c r="N123" i="9"/>
  <c r="A125" i="9" a="1"/>
  <c r="A125" i="9" s="1"/>
  <c r="Z123" i="9"/>
  <c r="J123" i="9"/>
  <c r="AL123" i="9"/>
  <c r="V123" i="9"/>
  <c r="F123" i="9"/>
  <c r="D123" i="9"/>
  <c r="AJ123" i="9"/>
  <c r="AB123" i="9"/>
  <c r="X123" i="9"/>
  <c r="T123" i="9"/>
  <c r="H123" i="9"/>
  <c r="L123" i="9"/>
  <c r="BX9" i="10"/>
  <c r="Q58" i="2" a="1"/>
  <c r="N57" i="2" a="1"/>
  <c r="K57" i="2" a="1"/>
  <c r="L55" i="2" a="1"/>
  <c r="U56" i="2" a="1"/>
  <c r="T58" i="2" a="1"/>
  <c r="S59" i="2"/>
  <c r="O55" i="2" a="1"/>
  <c r="R56" i="2" a="1"/>
  <c r="M58" i="2" a="1"/>
  <c r="P59" i="2"/>
  <c r="J58" i="2" a="1"/>
  <c r="R56" i="2" l="1"/>
  <c r="O55" i="2"/>
  <c r="T58" i="2"/>
  <c r="U56" i="2"/>
  <c r="L55" i="2"/>
  <c r="K57" i="2"/>
  <c r="N57" i="2"/>
  <c r="Q58" i="2"/>
  <c r="K195" i="8"/>
  <c r="V55" i="2"/>
  <c r="O55" i="8" s="1"/>
  <c r="O124" i="8"/>
  <c r="O194" i="8"/>
  <c r="K127" i="8"/>
  <c r="J58" i="2"/>
  <c r="K59" i="8"/>
  <c r="W59" i="2"/>
  <c r="C129" i="8" s="1"/>
  <c r="M58" i="2"/>
  <c r="AJ124" i="9"/>
  <c r="T124" i="9"/>
  <c r="D124" i="9"/>
  <c r="AH124" i="9"/>
  <c r="R124" i="9"/>
  <c r="B124" i="9"/>
  <c r="AF124" i="9"/>
  <c r="P124" i="9"/>
  <c r="A126" i="9" a="1"/>
  <c r="A126" i="9" s="1"/>
  <c r="AB124" i="9"/>
  <c r="L124" i="9"/>
  <c r="X124" i="9"/>
  <c r="H124" i="9"/>
  <c r="AL124" i="9"/>
  <c r="AD124" i="9"/>
  <c r="Z124" i="9"/>
  <c r="V124" i="9"/>
  <c r="N124" i="9"/>
  <c r="F124" i="9"/>
  <c r="J124" i="9"/>
  <c r="V124" i="4"/>
  <c r="AM124" i="9" s="1"/>
  <c r="M124" i="4"/>
  <c r="E124" i="4"/>
  <c r="T124" i="4"/>
  <c r="L124" i="4"/>
  <c r="D124" i="4"/>
  <c r="S124" i="4"/>
  <c r="K124" i="4"/>
  <c r="C124" i="4"/>
  <c r="R124" i="4"/>
  <c r="J124" i="4"/>
  <c r="B124" i="4"/>
  <c r="P124" i="4"/>
  <c r="H124" i="4"/>
  <c r="Q124" i="4"/>
  <c r="N124" i="4"/>
  <c r="A126" i="4" a="1"/>
  <c r="A126" i="4" s="1"/>
  <c r="F124" i="4"/>
  <c r="G124" i="4"/>
  <c r="W124" i="4"/>
  <c r="AN124" i="9" s="1"/>
  <c r="I124" i="4"/>
  <c r="O124" i="4"/>
  <c r="D128" i="8" a="1"/>
  <c r="D128" i="8" s="1"/>
  <c r="F128" i="8" s="1"/>
  <c r="G128" i="8" s="1"/>
  <c r="Q128" i="8"/>
  <c r="P128" i="8" s="1"/>
  <c r="J128" i="8"/>
  <c r="I128" i="8" a="1"/>
  <c r="I128" i="8" s="1"/>
  <c r="N128" i="8"/>
  <c r="H128" i="8"/>
  <c r="E128" i="8" s="1"/>
  <c r="B128" i="8"/>
  <c r="M128" i="8" a="1"/>
  <c r="M128" i="8" s="1"/>
  <c r="CE9" i="10"/>
  <c r="AL125" i="9"/>
  <c r="V125" i="9"/>
  <c r="F125" i="9"/>
  <c r="AJ125" i="9"/>
  <c r="T125" i="9"/>
  <c r="D125" i="9"/>
  <c r="AH125" i="9"/>
  <c r="R125" i="9"/>
  <c r="B125" i="9"/>
  <c r="AF125" i="9"/>
  <c r="P125" i="9"/>
  <c r="AD125" i="9"/>
  <c r="N125" i="9"/>
  <c r="Z125" i="9"/>
  <c r="J125" i="9"/>
  <c r="A127" i="9" a="1"/>
  <c r="A127" i="9" s="1"/>
  <c r="AB125" i="9"/>
  <c r="X125" i="9"/>
  <c r="H125" i="9"/>
  <c r="L125" i="9"/>
  <c r="I63" i="2"/>
  <c r="W125" i="4"/>
  <c r="AN125" i="9" s="1"/>
  <c r="N125" i="4"/>
  <c r="F125" i="4"/>
  <c r="V125" i="4"/>
  <c r="AM125" i="9" s="1"/>
  <c r="M125" i="4"/>
  <c r="E125" i="4"/>
  <c r="T125" i="4"/>
  <c r="L125" i="4"/>
  <c r="D125" i="4"/>
  <c r="S125" i="4"/>
  <c r="K125" i="4"/>
  <c r="C125" i="4"/>
  <c r="Q125" i="4"/>
  <c r="I125" i="4"/>
  <c r="P125" i="4"/>
  <c r="J125" i="4"/>
  <c r="A127" i="4" a="1"/>
  <c r="A127" i="4" s="1"/>
  <c r="B125" i="4"/>
  <c r="R125" i="4"/>
  <c r="O125" i="4"/>
  <c r="H125" i="4"/>
  <c r="G125" i="4"/>
  <c r="Q59" i="2" a="1"/>
  <c r="L56" i="2" a="1"/>
  <c r="K58" i="2" a="1"/>
  <c r="U57" i="2" a="1"/>
  <c r="T59" i="2" a="1"/>
  <c r="N58" i="2" a="1"/>
  <c r="O56" i="2" a="1"/>
  <c r="R57" i="2" a="1"/>
  <c r="S60" i="2"/>
  <c r="M59" i="2" a="1"/>
  <c r="J59" i="2" a="1"/>
  <c r="P60" i="2"/>
  <c r="R57" i="2" l="1"/>
  <c r="O56" i="2"/>
  <c r="N58" i="2"/>
  <c r="T59" i="2"/>
  <c r="U57" i="2"/>
  <c r="K58" i="2"/>
  <c r="L56" i="2"/>
  <c r="Q59" i="2"/>
  <c r="O125" i="8"/>
  <c r="O195" i="8"/>
  <c r="K128" i="8"/>
  <c r="K196" i="8"/>
  <c r="V56" i="2"/>
  <c r="O56" i="8" s="1"/>
  <c r="K60" i="8"/>
  <c r="W60" i="2"/>
  <c r="C130" i="8" s="1"/>
  <c r="J59" i="2"/>
  <c r="M59" i="2"/>
  <c r="I64" i="2"/>
  <c r="Z127" i="9"/>
  <c r="J127" i="9"/>
  <c r="X127" i="9"/>
  <c r="H127" i="9"/>
  <c r="AL127" i="9"/>
  <c r="V127" i="9"/>
  <c r="F127" i="9"/>
  <c r="AJ127" i="9"/>
  <c r="T127" i="9"/>
  <c r="D127" i="9"/>
  <c r="AH127" i="9"/>
  <c r="R127" i="9"/>
  <c r="B127" i="9"/>
  <c r="AD127" i="9"/>
  <c r="N127" i="9"/>
  <c r="AF127" i="9"/>
  <c r="A129" i="9" a="1"/>
  <c r="A129" i="9" s="1"/>
  <c r="AB127" i="9"/>
  <c r="P127" i="9"/>
  <c r="L127" i="9"/>
  <c r="Q129" i="8"/>
  <c r="P129" i="8" s="1"/>
  <c r="J129" i="8"/>
  <c r="I129" i="8" a="1"/>
  <c r="I129" i="8" s="1"/>
  <c r="B129" i="8"/>
  <c r="H129" i="8"/>
  <c r="E129" i="8" s="1"/>
  <c r="M129" i="8" a="1"/>
  <c r="M129" i="8" s="1"/>
  <c r="D129" i="8" a="1"/>
  <c r="D129" i="8" s="1"/>
  <c r="F129" i="8" s="1"/>
  <c r="G129" i="8" s="1"/>
  <c r="N129" i="8"/>
  <c r="P127" i="4"/>
  <c r="H127" i="4"/>
  <c r="A129" i="4" a="1"/>
  <c r="A129" i="4" s="1"/>
  <c r="O127" i="4"/>
  <c r="G127" i="4"/>
  <c r="W127" i="4"/>
  <c r="AN127" i="9" s="1"/>
  <c r="N127" i="4"/>
  <c r="F127" i="4"/>
  <c r="V127" i="4"/>
  <c r="AM127" i="9" s="1"/>
  <c r="M127" i="4"/>
  <c r="E127" i="4"/>
  <c r="S127" i="4"/>
  <c r="K127" i="4"/>
  <c r="C127" i="4"/>
  <c r="L127" i="4"/>
  <c r="I127" i="4"/>
  <c r="T127" i="4"/>
  <c r="R127" i="4"/>
  <c r="Q127" i="4"/>
  <c r="J127" i="4"/>
  <c r="D127" i="4"/>
  <c r="B127" i="4"/>
  <c r="A128" i="4" a="1"/>
  <c r="A128" i="4" s="1"/>
  <c r="O126" i="4"/>
  <c r="G126" i="4"/>
  <c r="W126" i="4"/>
  <c r="AN126" i="9" s="1"/>
  <c r="N126" i="4"/>
  <c r="F126" i="4"/>
  <c r="V126" i="4"/>
  <c r="AM126" i="9" s="1"/>
  <c r="M126" i="4"/>
  <c r="E126" i="4"/>
  <c r="T126" i="4"/>
  <c r="L126" i="4"/>
  <c r="D126" i="4"/>
  <c r="R126" i="4"/>
  <c r="J126" i="4"/>
  <c r="B126" i="4"/>
  <c r="P126" i="4"/>
  <c r="I126" i="4"/>
  <c r="S126" i="4"/>
  <c r="C126" i="4"/>
  <c r="Q126" i="4"/>
  <c r="H126" i="4"/>
  <c r="K126" i="4"/>
  <c r="X126" i="9"/>
  <c r="H126" i="9"/>
  <c r="AL126" i="9"/>
  <c r="V126" i="9"/>
  <c r="F126" i="9"/>
  <c r="AJ126" i="9"/>
  <c r="T126" i="9"/>
  <c r="D126" i="9"/>
  <c r="AH126" i="9"/>
  <c r="R126" i="9"/>
  <c r="B126" i="9"/>
  <c r="AF126" i="9"/>
  <c r="P126" i="9"/>
  <c r="A128" i="9" a="1"/>
  <c r="A128" i="9" s="1"/>
  <c r="AB126" i="9"/>
  <c r="L126" i="9"/>
  <c r="N126" i="9"/>
  <c r="J126" i="9"/>
  <c r="Z126" i="9"/>
  <c r="AD126" i="9"/>
  <c r="BX17" i="10"/>
  <c r="Q60" i="2" a="1"/>
  <c r="S61" i="2"/>
  <c r="T60" i="2" a="1"/>
  <c r="K59" i="2" a="1"/>
  <c r="L57" i="2" a="1"/>
  <c r="U58" i="2" a="1"/>
  <c r="N59" i="2" a="1"/>
  <c r="R58" i="2" a="1"/>
  <c r="O57" i="2" a="1"/>
  <c r="M60" i="2" a="1"/>
  <c r="P61" i="2"/>
  <c r="J60" i="2" a="1"/>
  <c r="O57" i="2" l="1"/>
  <c r="R58" i="2"/>
  <c r="N59" i="2"/>
  <c r="U58" i="2"/>
  <c r="L57" i="2"/>
  <c r="K59" i="2"/>
  <c r="T60" i="2"/>
  <c r="Q60" i="2"/>
  <c r="K197" i="8"/>
  <c r="V57" i="2"/>
  <c r="O57" i="8" s="1"/>
  <c r="O196" i="8"/>
  <c r="O126" i="8"/>
  <c r="K129" i="8"/>
  <c r="J60" i="2"/>
  <c r="K61" i="8"/>
  <c r="W61" i="2"/>
  <c r="C131" i="8" s="1"/>
  <c r="M60" i="2"/>
  <c r="CE17" i="10"/>
  <c r="Q128" i="4"/>
  <c r="I128" i="4"/>
  <c r="P128" i="4"/>
  <c r="H128" i="4"/>
  <c r="A130" i="4" a="1"/>
  <c r="A130" i="4" s="1"/>
  <c r="O128" i="4"/>
  <c r="G128" i="4"/>
  <c r="W128" i="4"/>
  <c r="AN128" i="9" s="1"/>
  <c r="N128" i="4"/>
  <c r="F128" i="4"/>
  <c r="T128" i="4"/>
  <c r="L128" i="4"/>
  <c r="D128" i="4"/>
  <c r="K128" i="4"/>
  <c r="E128" i="4"/>
  <c r="S128" i="4"/>
  <c r="R128" i="4"/>
  <c r="B128" i="4"/>
  <c r="V128" i="4"/>
  <c r="AM128" i="9" s="1"/>
  <c r="M128" i="4"/>
  <c r="C128" i="4"/>
  <c r="J128" i="4"/>
  <c r="R129" i="4"/>
  <c r="J129" i="4"/>
  <c r="B129" i="4"/>
  <c r="Q129" i="4"/>
  <c r="I129" i="4"/>
  <c r="P129" i="4"/>
  <c r="H129" i="4"/>
  <c r="A131" i="4" a="1"/>
  <c r="A131" i="4" s="1"/>
  <c r="O129" i="4"/>
  <c r="G129" i="4"/>
  <c r="V129" i="4"/>
  <c r="AM129" i="9" s="1"/>
  <c r="M129" i="4"/>
  <c r="E129" i="4"/>
  <c r="K129" i="4"/>
  <c r="D129" i="4"/>
  <c r="T129" i="4"/>
  <c r="S129" i="4"/>
  <c r="N129" i="4"/>
  <c r="W129" i="4"/>
  <c r="AN129" i="9" s="1"/>
  <c r="L129" i="4"/>
  <c r="F129" i="4"/>
  <c r="C129" i="4"/>
  <c r="I65" i="2"/>
  <c r="AD129" i="9"/>
  <c r="N129" i="9"/>
  <c r="A131" i="9" a="1"/>
  <c r="A131" i="9" s="1"/>
  <c r="AB129" i="9"/>
  <c r="L129" i="9"/>
  <c r="Z129" i="9"/>
  <c r="J129" i="9"/>
  <c r="X129" i="9"/>
  <c r="H129" i="9"/>
  <c r="AL129" i="9"/>
  <c r="V129" i="9"/>
  <c r="F129" i="9"/>
  <c r="AH129" i="9"/>
  <c r="R129" i="9"/>
  <c r="B129" i="9"/>
  <c r="D129" i="9"/>
  <c r="AJ129" i="9"/>
  <c r="AF129" i="9"/>
  <c r="P129" i="9"/>
  <c r="T129" i="9"/>
  <c r="A130" i="9" a="1"/>
  <c r="A130" i="9" s="1"/>
  <c r="AB128" i="9"/>
  <c r="L128" i="9"/>
  <c r="Z128" i="9"/>
  <c r="J128" i="9"/>
  <c r="X128" i="9"/>
  <c r="H128" i="9"/>
  <c r="AL128" i="9"/>
  <c r="V128" i="9"/>
  <c r="F128" i="9"/>
  <c r="AJ128" i="9"/>
  <c r="T128" i="9"/>
  <c r="D128" i="9"/>
  <c r="AF128" i="9"/>
  <c r="P128" i="9"/>
  <c r="AH128" i="9"/>
  <c r="AD128" i="9"/>
  <c r="R128" i="9"/>
  <c r="N128" i="9"/>
  <c r="B128" i="9"/>
  <c r="J130" i="8"/>
  <c r="Q130" i="8"/>
  <c r="P130" i="8" s="1"/>
  <c r="I130" i="8" a="1"/>
  <c r="I130" i="8" s="1"/>
  <c r="B130" i="8"/>
  <c r="N130" i="8"/>
  <c r="D130" i="8" a="1"/>
  <c r="D130" i="8" s="1"/>
  <c r="F130" i="8" s="1"/>
  <c r="G130" i="8" s="1"/>
  <c r="H130" i="8"/>
  <c r="E130" i="8" s="1"/>
  <c r="M130" i="8" a="1"/>
  <c r="M130" i="8" s="1"/>
  <c r="Q61" i="2" a="1"/>
  <c r="T61" i="2" a="1"/>
  <c r="K60" i="2" a="1"/>
  <c r="L58" i="2" a="1"/>
  <c r="U59" i="2" a="1"/>
  <c r="S62" i="2"/>
  <c r="O58" i="2" a="1"/>
  <c r="N60" i="2" a="1"/>
  <c r="R59" i="2" a="1"/>
  <c r="M61" i="2" a="1"/>
  <c r="J61" i="2" a="1"/>
  <c r="P62" i="2"/>
  <c r="R59" i="2" l="1"/>
  <c r="N60" i="2"/>
  <c r="O58" i="2"/>
  <c r="U59" i="2"/>
  <c r="L58" i="2"/>
  <c r="K60" i="2"/>
  <c r="T61" i="2"/>
  <c r="Q61" i="2"/>
  <c r="O127" i="8"/>
  <c r="O197" i="8"/>
  <c r="K198" i="8"/>
  <c r="V58" i="2"/>
  <c r="O58" i="8" s="1"/>
  <c r="K130" i="8"/>
  <c r="K62" i="8"/>
  <c r="W62" i="2"/>
  <c r="C132" i="8" s="1"/>
  <c r="J61" i="2"/>
  <c r="M61" i="2"/>
  <c r="AF130" i="9"/>
  <c r="P130" i="9"/>
  <c r="AD130" i="9"/>
  <c r="N130" i="9"/>
  <c r="A132" i="9" a="1"/>
  <c r="A132" i="9" s="1"/>
  <c r="AB130" i="9"/>
  <c r="L130" i="9"/>
  <c r="Z130" i="9"/>
  <c r="J130" i="9"/>
  <c r="X130" i="9"/>
  <c r="H130" i="9"/>
  <c r="AJ130" i="9"/>
  <c r="T130" i="9"/>
  <c r="D130" i="9"/>
  <c r="V130" i="9"/>
  <c r="R130" i="9"/>
  <c r="F130" i="9"/>
  <c r="B130" i="9"/>
  <c r="AH130" i="9"/>
  <c r="AL130" i="9"/>
  <c r="T131" i="4"/>
  <c r="L131" i="4"/>
  <c r="D131" i="4"/>
  <c r="S131" i="4"/>
  <c r="K131" i="4"/>
  <c r="C131" i="4"/>
  <c r="R131" i="4"/>
  <c r="J131" i="4"/>
  <c r="B131" i="4"/>
  <c r="Q131" i="4"/>
  <c r="I131" i="4"/>
  <c r="A133" i="4" a="1"/>
  <c r="A133" i="4" s="1"/>
  <c r="O131" i="4"/>
  <c r="G131" i="4"/>
  <c r="F131" i="4"/>
  <c r="W131" i="4"/>
  <c r="AN131" i="9" s="1"/>
  <c r="P131" i="4"/>
  <c r="N131" i="4"/>
  <c r="M131" i="4"/>
  <c r="V131" i="4"/>
  <c r="AM131" i="9" s="1"/>
  <c r="H131" i="4"/>
  <c r="E131" i="4"/>
  <c r="BX25" i="10"/>
  <c r="I66" i="2"/>
  <c r="S130" i="4"/>
  <c r="K130" i="4"/>
  <c r="C130" i="4"/>
  <c r="R130" i="4"/>
  <c r="J130" i="4"/>
  <c r="B130" i="4"/>
  <c r="Q130" i="4"/>
  <c r="I130" i="4"/>
  <c r="P130" i="4"/>
  <c r="H130" i="4"/>
  <c r="W130" i="4"/>
  <c r="AN130" i="9" s="1"/>
  <c r="N130" i="4"/>
  <c r="F130" i="4"/>
  <c r="G130" i="4"/>
  <c r="D130" i="4"/>
  <c r="T130" i="4"/>
  <c r="O130" i="4"/>
  <c r="M130" i="4"/>
  <c r="A132" i="4" a="1"/>
  <c r="A132" i="4" s="1"/>
  <c r="V130" i="4"/>
  <c r="AM130" i="9" s="1"/>
  <c r="E130" i="4"/>
  <c r="L130" i="4"/>
  <c r="M131" i="8" a="1"/>
  <c r="M131" i="8" s="1"/>
  <c r="D131" i="8" a="1"/>
  <c r="D131" i="8" s="1"/>
  <c r="F131" i="8" s="1"/>
  <c r="G131" i="8" s="1"/>
  <c r="J131" i="8"/>
  <c r="Q131" i="8"/>
  <c r="P131" i="8" s="1"/>
  <c r="I131" i="8" a="1"/>
  <c r="I131" i="8" s="1"/>
  <c r="B131" i="8"/>
  <c r="H131" i="8"/>
  <c r="E131" i="8" s="1"/>
  <c r="N131" i="8"/>
  <c r="AH131" i="9"/>
  <c r="R131" i="9"/>
  <c r="B131" i="9"/>
  <c r="AF131" i="9"/>
  <c r="P131" i="9"/>
  <c r="AD131" i="9"/>
  <c r="N131" i="9"/>
  <c r="A133" i="9" a="1"/>
  <c r="A133" i="9" s="1"/>
  <c r="AB131" i="9"/>
  <c r="L131" i="9"/>
  <c r="Z131" i="9"/>
  <c r="J131" i="9"/>
  <c r="AL131" i="9"/>
  <c r="V131" i="9"/>
  <c r="F131" i="9"/>
  <c r="AJ131" i="9"/>
  <c r="X131" i="9"/>
  <c r="T131" i="9"/>
  <c r="H131" i="9"/>
  <c r="D131" i="9"/>
  <c r="L59" i="2" a="1"/>
  <c r="K61" i="2" a="1"/>
  <c r="U60" i="2" a="1"/>
  <c r="T62" i="2" a="1"/>
  <c r="O59" i="2" a="1"/>
  <c r="R60" i="2" a="1"/>
  <c r="S63" i="2"/>
  <c r="Q62" i="2" a="1"/>
  <c r="N61" i="2" a="1"/>
  <c r="P63" i="2"/>
  <c r="M62" i="2" a="1"/>
  <c r="J62" i="2" a="1"/>
  <c r="N61" i="2" l="1"/>
  <c r="Q62" i="2"/>
  <c r="R60" i="2"/>
  <c r="O59" i="2"/>
  <c r="T62" i="2"/>
  <c r="U60" i="2"/>
  <c r="K61" i="2"/>
  <c r="L59" i="2"/>
  <c r="O198" i="8"/>
  <c r="O128" i="8"/>
  <c r="K131" i="8"/>
  <c r="K199" i="8"/>
  <c r="V59" i="2"/>
  <c r="O59" i="8" s="1"/>
  <c r="J62" i="2"/>
  <c r="M62" i="2"/>
  <c r="K63" i="8"/>
  <c r="W63" i="2"/>
  <c r="C133" i="8" s="1"/>
  <c r="V132" i="4"/>
  <c r="AM132" i="9" s="1"/>
  <c r="M132" i="4"/>
  <c r="E132" i="4"/>
  <c r="T132" i="4"/>
  <c r="L132" i="4"/>
  <c r="D132" i="4"/>
  <c r="S132" i="4"/>
  <c r="K132" i="4"/>
  <c r="C132" i="4"/>
  <c r="R132" i="4"/>
  <c r="J132" i="4"/>
  <c r="B132" i="4"/>
  <c r="P132" i="4"/>
  <c r="H132" i="4"/>
  <c r="A134" i="4" a="1"/>
  <c r="A134" i="4" s="1"/>
  <c r="F132" i="4"/>
  <c r="W132" i="4"/>
  <c r="AN132" i="9" s="1"/>
  <c r="O132" i="4"/>
  <c r="N132" i="4"/>
  <c r="I132" i="4"/>
  <c r="G132" i="4"/>
  <c r="Q132" i="4"/>
  <c r="AL133" i="9"/>
  <c r="V133" i="9"/>
  <c r="F133" i="9"/>
  <c r="AJ133" i="9"/>
  <c r="T133" i="9"/>
  <c r="D133" i="9"/>
  <c r="AH133" i="9"/>
  <c r="R133" i="9"/>
  <c r="B133" i="9"/>
  <c r="AF133" i="9"/>
  <c r="P133" i="9"/>
  <c r="AD133" i="9"/>
  <c r="N133" i="9"/>
  <c r="Z133" i="9"/>
  <c r="J133" i="9"/>
  <c r="L133" i="9"/>
  <c r="H133" i="9"/>
  <c r="X133" i="9"/>
  <c r="A135" i="9" a="1"/>
  <c r="A135" i="9" s="1"/>
  <c r="AB133" i="9"/>
  <c r="I67" i="2"/>
  <c r="W133" i="4"/>
  <c r="AN133" i="9" s="1"/>
  <c r="N133" i="4"/>
  <c r="F133" i="4"/>
  <c r="V133" i="4"/>
  <c r="AM133" i="9" s="1"/>
  <c r="M133" i="4"/>
  <c r="E133" i="4"/>
  <c r="T133" i="4"/>
  <c r="L133" i="4"/>
  <c r="D133" i="4"/>
  <c r="S133" i="4"/>
  <c r="K133" i="4"/>
  <c r="C133" i="4"/>
  <c r="Q133" i="4"/>
  <c r="I133" i="4"/>
  <c r="A135" i="4" a="1"/>
  <c r="A135" i="4" s="1"/>
  <c r="B133" i="4"/>
  <c r="R133" i="4"/>
  <c r="O133" i="4"/>
  <c r="J133" i="4"/>
  <c r="H133" i="4"/>
  <c r="P133" i="4"/>
  <c r="G133" i="4"/>
  <c r="B132" i="8"/>
  <c r="D132" i="8" a="1"/>
  <c r="D132" i="8" s="1"/>
  <c r="F132" i="8" s="1"/>
  <c r="G132" i="8" s="1"/>
  <c r="J132" i="8"/>
  <c r="H132" i="8"/>
  <c r="E132" i="8" s="1"/>
  <c r="M132" i="8" a="1"/>
  <c r="M132" i="8" s="1"/>
  <c r="I132" i="8" a="1"/>
  <c r="I132" i="8" s="1"/>
  <c r="N132" i="8"/>
  <c r="Q132" i="8"/>
  <c r="P132" i="8" s="1"/>
  <c r="CE25" i="10"/>
  <c r="AJ132" i="9"/>
  <c r="T132" i="9"/>
  <c r="D132" i="9"/>
  <c r="AH132" i="9"/>
  <c r="R132" i="9"/>
  <c r="B132" i="9"/>
  <c r="AF132" i="9"/>
  <c r="P132" i="9"/>
  <c r="AD132" i="9"/>
  <c r="N132" i="9"/>
  <c r="A134" i="9" a="1"/>
  <c r="A134" i="9" s="1"/>
  <c r="AB132" i="9"/>
  <c r="L132" i="9"/>
  <c r="X132" i="9"/>
  <c r="H132" i="9"/>
  <c r="AL132" i="9"/>
  <c r="Z132" i="9"/>
  <c r="V132" i="9"/>
  <c r="F132" i="9"/>
  <c r="J132" i="9"/>
  <c r="Q63" i="2" a="1"/>
  <c r="S64" i="2"/>
  <c r="K62" i="2" a="1"/>
  <c r="U61" i="2" a="1"/>
  <c r="T63" i="2" a="1"/>
  <c r="L60" i="2" a="1"/>
  <c r="R61" i="2" a="1"/>
  <c r="N62" i="2" a="1"/>
  <c r="O60" i="2" a="1"/>
  <c r="J63" i="2" a="1"/>
  <c r="M63" i="2" a="1"/>
  <c r="P64" i="2"/>
  <c r="O60" i="2" l="1"/>
  <c r="N62" i="2"/>
  <c r="R61" i="2"/>
  <c r="L60" i="2"/>
  <c r="T63" i="2"/>
  <c r="U61" i="2"/>
  <c r="K62" i="2"/>
  <c r="Q63" i="2"/>
  <c r="K200" i="8"/>
  <c r="V60" i="2"/>
  <c r="O60" i="8" s="1"/>
  <c r="K132" i="8"/>
  <c r="O129" i="8"/>
  <c r="O199" i="8"/>
  <c r="K64" i="8"/>
  <c r="W64" i="2"/>
  <c r="C134" i="8" s="1"/>
  <c r="M63" i="2"/>
  <c r="J63" i="2"/>
  <c r="BX33" i="10"/>
  <c r="Z135" i="9"/>
  <c r="J135" i="9"/>
  <c r="X135" i="9"/>
  <c r="H135" i="9"/>
  <c r="AL135" i="9"/>
  <c r="V135" i="9"/>
  <c r="F135" i="9"/>
  <c r="AJ135" i="9"/>
  <c r="T135" i="9"/>
  <c r="D135" i="9"/>
  <c r="AH135" i="9"/>
  <c r="R135" i="9"/>
  <c r="B135" i="9"/>
  <c r="AD135" i="9"/>
  <c r="N135" i="9"/>
  <c r="AF135" i="9"/>
  <c r="A137" i="9" a="1"/>
  <c r="A137" i="9" s="1"/>
  <c r="AB135" i="9"/>
  <c r="P135" i="9"/>
  <c r="L135" i="9"/>
  <c r="P135" i="4"/>
  <c r="H135" i="4"/>
  <c r="A137" i="4" a="1"/>
  <c r="A137" i="4" s="1"/>
  <c r="O135" i="4"/>
  <c r="G135" i="4"/>
  <c r="W135" i="4"/>
  <c r="AN135" i="9" s="1"/>
  <c r="N135" i="4"/>
  <c r="F135" i="4"/>
  <c r="V135" i="4"/>
  <c r="AM135" i="9" s="1"/>
  <c r="M135" i="4"/>
  <c r="E135" i="4"/>
  <c r="S135" i="4"/>
  <c r="K135" i="4"/>
  <c r="C135" i="4"/>
  <c r="T135" i="4"/>
  <c r="Q135" i="4"/>
  <c r="J135" i="4"/>
  <c r="I135" i="4"/>
  <c r="D135" i="4"/>
  <c r="R135" i="4"/>
  <c r="L135" i="4"/>
  <c r="B135" i="4"/>
  <c r="X134" i="9"/>
  <c r="H134" i="9"/>
  <c r="AL134" i="9"/>
  <c r="V134" i="9"/>
  <c r="F134" i="9"/>
  <c r="AJ134" i="9"/>
  <c r="T134" i="9"/>
  <c r="D134" i="9"/>
  <c r="AH134" i="9"/>
  <c r="R134" i="9"/>
  <c r="B134" i="9"/>
  <c r="AF134" i="9"/>
  <c r="P134" i="9"/>
  <c r="A136" i="9" a="1"/>
  <c r="A136" i="9" s="1"/>
  <c r="AB134" i="9"/>
  <c r="L134" i="9"/>
  <c r="AD134" i="9"/>
  <c r="Z134" i="9"/>
  <c r="N134" i="9"/>
  <c r="J134" i="9"/>
  <c r="A136" i="4" a="1"/>
  <c r="A136" i="4" s="1"/>
  <c r="O134" i="4"/>
  <c r="G134" i="4"/>
  <c r="W134" i="4"/>
  <c r="AN134" i="9" s="1"/>
  <c r="N134" i="4"/>
  <c r="F134" i="4"/>
  <c r="V134" i="4"/>
  <c r="AM134" i="9" s="1"/>
  <c r="M134" i="4"/>
  <c r="E134" i="4"/>
  <c r="T134" i="4"/>
  <c r="L134" i="4"/>
  <c r="D134" i="4"/>
  <c r="R134" i="4"/>
  <c r="J134" i="4"/>
  <c r="B134" i="4"/>
  <c r="Q134" i="4"/>
  <c r="K134" i="4"/>
  <c r="I134" i="4"/>
  <c r="H134" i="4"/>
  <c r="S134" i="4"/>
  <c r="P134" i="4"/>
  <c r="C134" i="4"/>
  <c r="Q133" i="8"/>
  <c r="P133" i="8" s="1"/>
  <c r="J133" i="8"/>
  <c r="M133" i="8" a="1"/>
  <c r="M133" i="8" s="1"/>
  <c r="D133" i="8" a="1"/>
  <c r="D133" i="8" s="1"/>
  <c r="F133" i="8" s="1"/>
  <c r="G133" i="8" s="1"/>
  <c r="N133" i="8"/>
  <c r="I133" i="8" a="1"/>
  <c r="I133" i="8" s="1"/>
  <c r="H133" i="8"/>
  <c r="E133" i="8" s="1"/>
  <c r="B133" i="8"/>
  <c r="I68" i="2"/>
  <c r="Q64" i="2" a="1"/>
  <c r="T64" i="2" a="1"/>
  <c r="K63" i="2" a="1"/>
  <c r="U62" i="2" a="1"/>
  <c r="L61" i="2" a="1"/>
  <c r="S65" i="2"/>
  <c r="N63" i="2" a="1"/>
  <c r="R62" i="2" a="1"/>
  <c r="O61" i="2" a="1"/>
  <c r="P65" i="2"/>
  <c r="J64" i="2" a="1"/>
  <c r="M64" i="2" a="1"/>
  <c r="O61" i="2" l="1"/>
  <c r="R62" i="2"/>
  <c r="N63" i="2"/>
  <c r="L61" i="2"/>
  <c r="U62" i="2"/>
  <c r="K63" i="2"/>
  <c r="T64" i="2"/>
  <c r="Q64" i="2"/>
  <c r="O200" i="8"/>
  <c r="O130" i="8"/>
  <c r="K201" i="8"/>
  <c r="V61" i="2"/>
  <c r="O61" i="8" s="1"/>
  <c r="K133" i="8"/>
  <c r="M64" i="2"/>
  <c r="J64" i="2"/>
  <c r="K65" i="8"/>
  <c r="W65" i="2"/>
  <c r="C135" i="8" s="1"/>
  <c r="A138" i="9" a="1"/>
  <c r="A138" i="9" s="1"/>
  <c r="AB136" i="9"/>
  <c r="L136" i="9"/>
  <c r="Z136" i="9"/>
  <c r="J136" i="9"/>
  <c r="X136" i="9"/>
  <c r="H136" i="9"/>
  <c r="AL136" i="9"/>
  <c r="V136" i="9"/>
  <c r="F136" i="9"/>
  <c r="AJ136" i="9"/>
  <c r="T136" i="9"/>
  <c r="D136" i="9"/>
  <c r="AF136" i="9"/>
  <c r="P136" i="9"/>
  <c r="B136" i="9"/>
  <c r="AH136" i="9"/>
  <c r="AD136" i="9"/>
  <c r="N136" i="9"/>
  <c r="R136" i="9"/>
  <c r="I69" i="2"/>
  <c r="CE33" i="10"/>
  <c r="Q136" i="4"/>
  <c r="I136" i="4"/>
  <c r="P136" i="4"/>
  <c r="H136" i="4"/>
  <c r="A138" i="4" a="1"/>
  <c r="A138" i="4" s="1"/>
  <c r="O136" i="4"/>
  <c r="G136" i="4"/>
  <c r="W136" i="4"/>
  <c r="AN136" i="9" s="1"/>
  <c r="N136" i="4"/>
  <c r="F136" i="4"/>
  <c r="T136" i="4"/>
  <c r="L136" i="4"/>
  <c r="D136" i="4"/>
  <c r="S136" i="4"/>
  <c r="M136" i="4"/>
  <c r="J136" i="4"/>
  <c r="E136" i="4"/>
  <c r="C136" i="4"/>
  <c r="V136" i="4"/>
  <c r="AM136" i="9" s="1"/>
  <c r="R136" i="4"/>
  <c r="K136" i="4"/>
  <c r="B136" i="4"/>
  <c r="N134" i="8"/>
  <c r="M134" i="8" a="1"/>
  <c r="M134" i="8" s="1"/>
  <c r="D134" i="8" a="1"/>
  <c r="D134" i="8" s="1"/>
  <c r="F134" i="8" s="1"/>
  <c r="G134" i="8" s="1"/>
  <c r="Q134" i="8"/>
  <c r="P134" i="8" s="1"/>
  <c r="I134" i="8" a="1"/>
  <c r="I134" i="8" s="1"/>
  <c r="B134" i="8"/>
  <c r="H134" i="8"/>
  <c r="E134" i="8" s="1"/>
  <c r="J134" i="8"/>
  <c r="R137" i="4"/>
  <c r="J137" i="4"/>
  <c r="B137" i="4"/>
  <c r="Q137" i="4"/>
  <c r="I137" i="4"/>
  <c r="P137" i="4"/>
  <c r="H137" i="4"/>
  <c r="A139" i="4" a="1"/>
  <c r="A139" i="4" s="1"/>
  <c r="O137" i="4"/>
  <c r="G137" i="4"/>
  <c r="V137" i="4"/>
  <c r="AM137" i="9" s="1"/>
  <c r="M137" i="4"/>
  <c r="E137" i="4"/>
  <c r="S137" i="4"/>
  <c r="L137" i="4"/>
  <c r="F137" i="4"/>
  <c r="D137" i="4"/>
  <c r="W137" i="4"/>
  <c r="AN137" i="9" s="1"/>
  <c r="C137" i="4"/>
  <c r="K137" i="4"/>
  <c r="N137" i="4"/>
  <c r="T137" i="4"/>
  <c r="AD137" i="9"/>
  <c r="N137" i="9"/>
  <c r="A139" i="9" a="1"/>
  <c r="A139" i="9" s="1"/>
  <c r="AB137" i="9"/>
  <c r="L137" i="9"/>
  <c r="Z137" i="9"/>
  <c r="J137" i="9"/>
  <c r="X137" i="9"/>
  <c r="H137" i="9"/>
  <c r="AL137" i="9"/>
  <c r="V137" i="9"/>
  <c r="F137" i="9"/>
  <c r="AH137" i="9"/>
  <c r="R137" i="9"/>
  <c r="B137" i="9"/>
  <c r="T137" i="9"/>
  <c r="P137" i="9"/>
  <c r="D137" i="9"/>
  <c r="AF137" i="9"/>
  <c r="AJ137" i="9"/>
  <c r="Q65" i="2" a="1"/>
  <c r="N64" i="2" a="1"/>
  <c r="S66" i="2"/>
  <c r="O62" i="2" a="1"/>
  <c r="K64" i="2" a="1"/>
  <c r="L62" i="2" a="1"/>
  <c r="U63" i="2" a="1"/>
  <c r="T65" i="2" a="1"/>
  <c r="R63" i="2" a="1"/>
  <c r="M65" i="2" a="1"/>
  <c r="P66" i="2"/>
  <c r="J65" i="2" a="1"/>
  <c r="R63" i="2" l="1"/>
  <c r="T65" i="2"/>
  <c r="U63" i="2"/>
  <c r="L62" i="2"/>
  <c r="K64" i="2"/>
  <c r="O62" i="2"/>
  <c r="N64" i="2"/>
  <c r="Q65" i="2"/>
  <c r="K202" i="8"/>
  <c r="V62" i="2"/>
  <c r="O62" i="8" s="1"/>
  <c r="K134" i="8"/>
  <c r="O201" i="8"/>
  <c r="O131" i="8"/>
  <c r="J65" i="2"/>
  <c r="K66" i="8"/>
  <c r="W66" i="2"/>
  <c r="C136" i="8" s="1"/>
  <c r="M65" i="2"/>
  <c r="BX41" i="10"/>
  <c r="M135" i="8" a="1"/>
  <c r="M135" i="8" s="1"/>
  <c r="H135" i="8"/>
  <c r="E135" i="8" s="1"/>
  <c r="N135" i="8"/>
  <c r="D135" i="8" a="1"/>
  <c r="D135" i="8" s="1"/>
  <c r="F135" i="8" s="1"/>
  <c r="G135" i="8" s="1"/>
  <c r="J135" i="8"/>
  <c r="Q135" i="8"/>
  <c r="P135" i="8" s="1"/>
  <c r="I135" i="8" a="1"/>
  <c r="I135" i="8" s="1"/>
  <c r="B135" i="8"/>
  <c r="AF138" i="9"/>
  <c r="P138" i="9"/>
  <c r="AD138" i="9"/>
  <c r="N138" i="9"/>
  <c r="A140" i="9" a="1"/>
  <c r="A140" i="9" s="1"/>
  <c r="AB138" i="9"/>
  <c r="L138" i="9"/>
  <c r="Z138" i="9"/>
  <c r="J138" i="9"/>
  <c r="X138" i="9"/>
  <c r="H138" i="9"/>
  <c r="AJ138" i="9"/>
  <c r="T138" i="9"/>
  <c r="D138" i="9"/>
  <c r="AL138" i="9"/>
  <c r="AH138" i="9"/>
  <c r="V138" i="9"/>
  <c r="R138" i="9"/>
  <c r="F138" i="9"/>
  <c r="B138" i="9"/>
  <c r="AH139" i="9"/>
  <c r="R139" i="9"/>
  <c r="B139" i="9"/>
  <c r="AF139" i="9"/>
  <c r="P139" i="9"/>
  <c r="AD139" i="9"/>
  <c r="N139" i="9"/>
  <c r="A141" i="9" a="1"/>
  <c r="A141" i="9" s="1"/>
  <c r="AB139" i="9"/>
  <c r="L139" i="9"/>
  <c r="Z139" i="9"/>
  <c r="J139" i="9"/>
  <c r="AL139" i="9"/>
  <c r="V139" i="9"/>
  <c r="F139" i="9"/>
  <c r="AJ139" i="9"/>
  <c r="X139" i="9"/>
  <c r="T139" i="9"/>
  <c r="D139" i="9"/>
  <c r="H139" i="9"/>
  <c r="T139" i="4"/>
  <c r="L139" i="4"/>
  <c r="D139" i="4"/>
  <c r="S139" i="4"/>
  <c r="K139" i="4"/>
  <c r="C139" i="4"/>
  <c r="R139" i="4"/>
  <c r="J139" i="4"/>
  <c r="B139" i="4"/>
  <c r="Q139" i="4"/>
  <c r="I139" i="4"/>
  <c r="A141" i="4" a="1"/>
  <c r="A141" i="4" s="1"/>
  <c r="O139" i="4"/>
  <c r="G139" i="4"/>
  <c r="N139" i="4"/>
  <c r="H139" i="4"/>
  <c r="E139" i="4"/>
  <c r="W139" i="4"/>
  <c r="AN139" i="9" s="1"/>
  <c r="V139" i="4"/>
  <c r="AM139" i="9" s="1"/>
  <c r="P139" i="4"/>
  <c r="M139" i="4"/>
  <c r="F139" i="4"/>
  <c r="S138" i="4"/>
  <c r="K138" i="4"/>
  <c r="C138" i="4"/>
  <c r="R138" i="4"/>
  <c r="J138" i="4"/>
  <c r="B138" i="4"/>
  <c r="Q138" i="4"/>
  <c r="I138" i="4"/>
  <c r="P138" i="4"/>
  <c r="H138" i="4"/>
  <c r="W138" i="4"/>
  <c r="AN138" i="9" s="1"/>
  <c r="N138" i="4"/>
  <c r="F138" i="4"/>
  <c r="O138" i="4"/>
  <c r="L138" i="4"/>
  <c r="A140" i="4" a="1"/>
  <c r="A140" i="4" s="1"/>
  <c r="E138" i="4"/>
  <c r="D138" i="4"/>
  <c r="V138" i="4"/>
  <c r="AM138" i="9" s="1"/>
  <c r="T138" i="4"/>
  <c r="M138" i="4"/>
  <c r="G138" i="4"/>
  <c r="I70" i="2"/>
  <c r="Q66" i="2" a="1"/>
  <c r="L63" i="2" a="1"/>
  <c r="K65" i="2" a="1"/>
  <c r="U64" i="2" a="1"/>
  <c r="N65" i="2" a="1"/>
  <c r="O63" i="2" a="1"/>
  <c r="R64" i="2" a="1"/>
  <c r="S67" i="2"/>
  <c r="T66" i="2" a="1"/>
  <c r="J66" i="2" a="1"/>
  <c r="M66" i="2" a="1"/>
  <c r="P67" i="2"/>
  <c r="T66" i="2" l="1"/>
  <c r="R64" i="2"/>
  <c r="O63" i="2"/>
  <c r="N65" i="2"/>
  <c r="U64" i="2"/>
  <c r="K65" i="2"/>
  <c r="L63" i="2"/>
  <c r="Q66" i="2"/>
  <c r="O202" i="8"/>
  <c r="O132" i="8"/>
  <c r="K135" i="8"/>
  <c r="K203" i="8"/>
  <c r="V63" i="2"/>
  <c r="O63" i="8" s="1"/>
  <c r="K67" i="8"/>
  <c r="W67" i="2"/>
  <c r="C137" i="8" s="1"/>
  <c r="M66" i="2"/>
  <c r="J66" i="2"/>
  <c r="B136" i="8"/>
  <c r="H136" i="8"/>
  <c r="E136" i="8" s="1"/>
  <c r="N136" i="8"/>
  <c r="M136" i="8" a="1"/>
  <c r="M136" i="8" s="1"/>
  <c r="D136" i="8" a="1"/>
  <c r="D136" i="8" s="1"/>
  <c r="F136" i="8" s="1"/>
  <c r="G136" i="8" s="1"/>
  <c r="Q136" i="8"/>
  <c r="P136" i="8" s="1"/>
  <c r="I136" i="8" a="1"/>
  <c r="I136" i="8" s="1"/>
  <c r="J136" i="8"/>
  <c r="CE41" i="10"/>
  <c r="V140" i="4"/>
  <c r="AM140" i="9" s="1"/>
  <c r="M140" i="4"/>
  <c r="E140" i="4"/>
  <c r="T140" i="4"/>
  <c r="L140" i="4"/>
  <c r="D140" i="4"/>
  <c r="S140" i="4"/>
  <c r="K140" i="4"/>
  <c r="C140" i="4"/>
  <c r="R140" i="4"/>
  <c r="J140" i="4"/>
  <c r="B140" i="4"/>
  <c r="P140" i="4"/>
  <c r="H140" i="4"/>
  <c r="N140" i="4"/>
  <c r="G140" i="4"/>
  <c r="A142" i="4" a="1"/>
  <c r="A142" i="4" s="1"/>
  <c r="W140" i="4"/>
  <c r="AN140" i="9" s="1"/>
  <c r="Q140" i="4"/>
  <c r="O140" i="4"/>
  <c r="F140" i="4"/>
  <c r="I140" i="4"/>
  <c r="AL141" i="9"/>
  <c r="V141" i="9"/>
  <c r="F141" i="9"/>
  <c r="AJ141" i="9"/>
  <c r="T141" i="9"/>
  <c r="D141" i="9"/>
  <c r="AH141" i="9"/>
  <c r="R141" i="9"/>
  <c r="B141" i="9"/>
  <c r="AF141" i="9"/>
  <c r="P141" i="9"/>
  <c r="AD141" i="9"/>
  <c r="N141" i="9"/>
  <c r="Z141" i="9"/>
  <c r="J141" i="9"/>
  <c r="A143" i="9" a="1"/>
  <c r="A143" i="9" s="1"/>
  <c r="AB141" i="9"/>
  <c r="X141" i="9"/>
  <c r="L141" i="9"/>
  <c r="H141" i="9"/>
  <c r="AJ140" i="9"/>
  <c r="T140" i="9"/>
  <c r="D140" i="9"/>
  <c r="AH140" i="9"/>
  <c r="R140" i="9"/>
  <c r="B140" i="9"/>
  <c r="AF140" i="9"/>
  <c r="P140" i="9"/>
  <c r="AD140" i="9"/>
  <c r="N140" i="9"/>
  <c r="A142" i="9" a="1"/>
  <c r="A142" i="9" s="1"/>
  <c r="AB140" i="9"/>
  <c r="L140" i="9"/>
  <c r="X140" i="9"/>
  <c r="H140" i="9"/>
  <c r="J140" i="9"/>
  <c r="F140" i="9"/>
  <c r="AL140" i="9"/>
  <c r="V140" i="9"/>
  <c r="Z140" i="9"/>
  <c r="W141" i="4"/>
  <c r="AN141" i="9" s="1"/>
  <c r="N141" i="4"/>
  <c r="F141" i="4"/>
  <c r="V141" i="4"/>
  <c r="AM141" i="9" s="1"/>
  <c r="M141" i="4"/>
  <c r="E141" i="4"/>
  <c r="T141" i="4"/>
  <c r="L141" i="4"/>
  <c r="D141" i="4"/>
  <c r="S141" i="4"/>
  <c r="K141" i="4"/>
  <c r="C141" i="4"/>
  <c r="Q141" i="4"/>
  <c r="I141" i="4"/>
  <c r="J141" i="4"/>
  <c r="G141" i="4"/>
  <c r="A143" i="4" a="1"/>
  <c r="A143" i="4" s="1"/>
  <c r="R141" i="4"/>
  <c r="P141" i="4"/>
  <c r="O141" i="4"/>
  <c r="H141" i="4"/>
  <c r="B141" i="4"/>
  <c r="Q67" i="2" a="1"/>
  <c r="N66" i="2" a="1"/>
  <c r="K66" i="2" a="1"/>
  <c r="T67" i="2" a="1"/>
  <c r="L64" i="2" a="1"/>
  <c r="U65" i="2" a="1"/>
  <c r="S68" i="2"/>
  <c r="R65" i="2" a="1"/>
  <c r="O64" i="2" a="1"/>
  <c r="M67" i="2" a="1"/>
  <c r="J67" i="2" a="1"/>
  <c r="P68" i="2"/>
  <c r="O64" i="2" l="1"/>
  <c r="R65" i="2"/>
  <c r="U65" i="2"/>
  <c r="L64" i="2"/>
  <c r="T67" i="2"/>
  <c r="K66" i="2"/>
  <c r="N66" i="2"/>
  <c r="Q67" i="2"/>
  <c r="K204" i="8"/>
  <c r="V64" i="2"/>
  <c r="O64" i="8" s="1"/>
  <c r="O203" i="8"/>
  <c r="O133" i="8"/>
  <c r="K136" i="8"/>
  <c r="K68" i="8"/>
  <c r="W68" i="2"/>
  <c r="C138" i="8" s="1"/>
  <c r="J67" i="2"/>
  <c r="M67" i="2"/>
  <c r="CM1" i="10"/>
  <c r="A144" i="4" a="1"/>
  <c r="A144" i="4" s="1"/>
  <c r="O142" i="4"/>
  <c r="G142" i="4"/>
  <c r="W142" i="4"/>
  <c r="AN142" i="9" s="1"/>
  <c r="N142" i="4"/>
  <c r="F142" i="4"/>
  <c r="V142" i="4"/>
  <c r="AM142" i="9" s="1"/>
  <c r="M142" i="4"/>
  <c r="E142" i="4"/>
  <c r="T142" i="4"/>
  <c r="L142" i="4"/>
  <c r="D142" i="4"/>
  <c r="R142" i="4"/>
  <c r="J142" i="4"/>
  <c r="B142" i="4"/>
  <c r="I142" i="4"/>
  <c r="C142" i="4"/>
  <c r="S142" i="4"/>
  <c r="Q142" i="4"/>
  <c r="P142" i="4"/>
  <c r="K142" i="4"/>
  <c r="H142" i="4"/>
  <c r="A145" i="9" a="1"/>
  <c r="A145" i="9" s="1"/>
  <c r="Z143" i="9"/>
  <c r="J143" i="9"/>
  <c r="X143" i="9"/>
  <c r="H143" i="9"/>
  <c r="AL143" i="9"/>
  <c r="V143" i="9"/>
  <c r="F143" i="9"/>
  <c r="AJ143" i="9"/>
  <c r="T143" i="9"/>
  <c r="D143" i="9"/>
  <c r="AH143" i="9"/>
  <c r="R143" i="9"/>
  <c r="B143" i="9"/>
  <c r="AD143" i="9"/>
  <c r="N143" i="9"/>
  <c r="AF143" i="9"/>
  <c r="AB143" i="9"/>
  <c r="L143" i="9"/>
  <c r="P143" i="9"/>
  <c r="X142" i="9"/>
  <c r="H142" i="9"/>
  <c r="AL142" i="9"/>
  <c r="V142" i="9"/>
  <c r="F142" i="9"/>
  <c r="AJ142" i="9"/>
  <c r="T142" i="9"/>
  <c r="D142" i="9"/>
  <c r="AH142" i="9"/>
  <c r="R142" i="9"/>
  <c r="B142" i="9"/>
  <c r="AF142" i="9"/>
  <c r="P142" i="9"/>
  <c r="A144" i="9" a="1"/>
  <c r="A144" i="9" s="1"/>
  <c r="AB142" i="9"/>
  <c r="L142" i="9"/>
  <c r="AD142" i="9"/>
  <c r="Z142" i="9"/>
  <c r="N142" i="9"/>
  <c r="J142" i="9"/>
  <c r="Q137" i="8"/>
  <c r="P137" i="8" s="1"/>
  <c r="J137" i="8"/>
  <c r="H137" i="8"/>
  <c r="E137" i="8" s="1"/>
  <c r="N137" i="8"/>
  <c r="M137" i="8" a="1"/>
  <c r="M137" i="8" s="1"/>
  <c r="D137" i="8" a="1"/>
  <c r="D137" i="8" s="1"/>
  <c r="F137" i="8" s="1"/>
  <c r="G137" i="8" s="1"/>
  <c r="I137" i="8" a="1"/>
  <c r="I137" i="8" s="1"/>
  <c r="B137" i="8"/>
  <c r="P143" i="4"/>
  <c r="H143" i="4"/>
  <c r="A145" i="4" a="1"/>
  <c r="A145" i="4" s="1"/>
  <c r="O143" i="4"/>
  <c r="G143" i="4"/>
  <c r="W143" i="4"/>
  <c r="AN143" i="9" s="1"/>
  <c r="N143" i="4"/>
  <c r="F143" i="4"/>
  <c r="V143" i="4"/>
  <c r="AM143" i="9" s="1"/>
  <c r="M143" i="4"/>
  <c r="E143" i="4"/>
  <c r="S143" i="4"/>
  <c r="K143" i="4"/>
  <c r="C143" i="4"/>
  <c r="I143" i="4"/>
  <c r="B143" i="4"/>
  <c r="T143" i="4"/>
  <c r="R143" i="4"/>
  <c r="Q143" i="4"/>
  <c r="L143" i="4"/>
  <c r="D143" i="4"/>
  <c r="J143" i="4"/>
  <c r="Q68" i="2" a="1"/>
  <c r="K67" i="2" a="1"/>
  <c r="U66" i="2" a="1"/>
  <c r="S69" i="2"/>
  <c r="L65" i="2" a="1"/>
  <c r="T68" i="2" a="1"/>
  <c r="O65" i="2" a="1"/>
  <c r="N67" i="2" a="1"/>
  <c r="R66" i="2" a="1"/>
  <c r="M68" i="2" a="1"/>
  <c r="P69" i="2"/>
  <c r="J68" i="2" a="1"/>
  <c r="R66" i="2" l="1"/>
  <c r="N67" i="2"/>
  <c r="O65" i="2"/>
  <c r="T68" i="2"/>
  <c r="L65" i="2"/>
  <c r="U66" i="2"/>
  <c r="K67" i="2"/>
  <c r="Q68" i="2"/>
  <c r="O134" i="8"/>
  <c r="O204" i="8"/>
  <c r="K205" i="8"/>
  <c r="V65" i="2"/>
  <c r="O65" i="8" s="1"/>
  <c r="K137" i="8"/>
  <c r="J68" i="2"/>
  <c r="K69" i="8"/>
  <c r="W69" i="2"/>
  <c r="C139" i="8" s="1"/>
  <c r="M68" i="2"/>
  <c r="I138" i="8" a="1"/>
  <c r="I138" i="8" s="1"/>
  <c r="B138" i="8"/>
  <c r="J138" i="8"/>
  <c r="Q138" i="8"/>
  <c r="P138" i="8" s="1"/>
  <c r="H138" i="8"/>
  <c r="E138" i="8" s="1"/>
  <c r="N138" i="8"/>
  <c r="M138" i="8" a="1"/>
  <c r="M138" i="8" s="1"/>
  <c r="D138" i="8" a="1"/>
  <c r="D138" i="8" s="1"/>
  <c r="F138" i="8" s="1"/>
  <c r="G138" i="8" s="1"/>
  <c r="R145" i="4"/>
  <c r="J145" i="4"/>
  <c r="B145" i="4"/>
  <c r="Q145" i="4"/>
  <c r="I145" i="4"/>
  <c r="P145" i="4"/>
  <c r="H145" i="4"/>
  <c r="O145" i="4"/>
  <c r="G145" i="4"/>
  <c r="V145" i="4"/>
  <c r="M145" i="4"/>
  <c r="E145" i="4"/>
  <c r="D145" i="4"/>
  <c r="T145" i="4"/>
  <c r="S145" i="4"/>
  <c r="N145" i="4"/>
  <c r="L145" i="4"/>
  <c r="K145" i="4"/>
  <c r="W145" i="4"/>
  <c r="AN145" i="9" s="1"/>
  <c r="F145" i="4"/>
  <c r="C145" i="4"/>
  <c r="AB144" i="9"/>
  <c r="L144" i="9"/>
  <c r="Z144" i="9"/>
  <c r="J144" i="9"/>
  <c r="X144" i="9"/>
  <c r="H144" i="9"/>
  <c r="AL144" i="9"/>
  <c r="V144" i="9"/>
  <c r="F144" i="9"/>
  <c r="AJ144" i="9"/>
  <c r="T144" i="9"/>
  <c r="D144" i="9"/>
  <c r="AF144" i="9"/>
  <c r="P144" i="9"/>
  <c r="R144" i="9"/>
  <c r="N144" i="9"/>
  <c r="B144" i="9"/>
  <c r="AD144" i="9"/>
  <c r="AH144" i="9"/>
  <c r="Q144" i="4"/>
  <c r="I144" i="4"/>
  <c r="P144" i="4"/>
  <c r="H144" i="4"/>
  <c r="O144" i="4"/>
  <c r="G144" i="4"/>
  <c r="W144" i="4"/>
  <c r="AN144" i="9" s="1"/>
  <c r="N144" i="4"/>
  <c r="F144" i="4"/>
  <c r="T144" i="4"/>
  <c r="L144" i="4"/>
  <c r="D144" i="4"/>
  <c r="E144" i="4"/>
  <c r="V144" i="4"/>
  <c r="AM144" i="9" s="1"/>
  <c r="B144" i="4"/>
  <c r="S144" i="4"/>
  <c r="R144" i="4"/>
  <c r="M144" i="4"/>
  <c r="K144" i="4"/>
  <c r="J144" i="4"/>
  <c r="C144" i="4"/>
  <c r="AF145" i="9"/>
  <c r="P145" i="9"/>
  <c r="AD145" i="9"/>
  <c r="N145" i="9"/>
  <c r="AB145" i="9"/>
  <c r="L145" i="9"/>
  <c r="Z145" i="9"/>
  <c r="J145" i="9"/>
  <c r="X145" i="9"/>
  <c r="H145" i="9"/>
  <c r="AL145" i="9"/>
  <c r="V145" i="9"/>
  <c r="F145" i="9"/>
  <c r="AH145" i="9"/>
  <c r="R145" i="9"/>
  <c r="B145" i="9"/>
  <c r="AJ145" i="9"/>
  <c r="T145" i="9"/>
  <c r="D145" i="9"/>
  <c r="CT1" i="10"/>
  <c r="Q69" i="2" a="1"/>
  <c r="S70" i="2"/>
  <c r="L66" i="2" a="1"/>
  <c r="K68" i="2" a="1"/>
  <c r="U67" i="2" a="1"/>
  <c r="N68" i="2" a="1"/>
  <c r="T69" i="2" a="1"/>
  <c r="O66" i="2" a="1"/>
  <c r="R67" i="2" a="1"/>
  <c r="J69" i="2" a="1"/>
  <c r="E2" i="7" a="1"/>
  <c r="M69" i="2" a="1"/>
  <c r="B3" i="7" a="1"/>
  <c r="E7" i="7" a="1"/>
  <c r="P70" i="2"/>
  <c r="E1" i="7" a="1"/>
  <c r="F8" i="7" a="1"/>
  <c r="R67" i="2" l="1"/>
  <c r="O66" i="2"/>
  <c r="T69" i="2"/>
  <c r="N68" i="2"/>
  <c r="U67" i="2"/>
  <c r="K68" i="2"/>
  <c r="L66" i="2"/>
  <c r="Q69" i="2"/>
  <c r="O135" i="8"/>
  <c r="O205" i="8"/>
  <c r="K138" i="8"/>
  <c r="K206" i="8"/>
  <c r="V66" i="2"/>
  <c r="O66" i="8" s="1"/>
  <c r="F8" i="7"/>
  <c r="E1" i="7"/>
  <c r="K70" i="8"/>
  <c r="E7" i="7"/>
  <c r="B3" i="7"/>
  <c r="M69" i="2"/>
  <c r="E2" i="7"/>
  <c r="J69" i="2"/>
  <c r="CM9" i="10"/>
  <c r="V147" i="9" a="1"/>
  <c r="V147" i="9" s="1"/>
  <c r="V146" i="9" a="1"/>
  <c r="V146" i="9" s="1"/>
  <c r="N146" i="9" a="1"/>
  <c r="N146" i="9" s="1"/>
  <c r="N147" i="9" a="1"/>
  <c r="N147" i="9" s="1"/>
  <c r="AM145" i="9"/>
  <c r="A211" i="8"/>
  <c r="A212" i="8"/>
  <c r="A213" i="8" s="1"/>
  <c r="M139" i="8" a="1"/>
  <c r="M139" i="8" s="1"/>
  <c r="D139" i="8" a="1"/>
  <c r="D139" i="8" s="1"/>
  <c r="F139" i="8" s="1"/>
  <c r="G139" i="8" s="1"/>
  <c r="J139" i="8"/>
  <c r="B139" i="8"/>
  <c r="I139" i="8" a="1"/>
  <c r="I139" i="8" s="1"/>
  <c r="Q139" i="8"/>
  <c r="P139" i="8" s="1"/>
  <c r="H139" i="8"/>
  <c r="E139" i="8" s="1"/>
  <c r="N139" i="8"/>
  <c r="D146" i="9" a="1"/>
  <c r="D146" i="9" s="1"/>
  <c r="D147" i="9" a="1"/>
  <c r="D147" i="9" s="1"/>
  <c r="AD146" i="9" a="1"/>
  <c r="AD146" i="9" s="1"/>
  <c r="AD147" i="9" a="1"/>
  <c r="AD147" i="9" s="1"/>
  <c r="T146" i="9" a="1"/>
  <c r="T146" i="9" s="1"/>
  <c r="T147" i="9" a="1"/>
  <c r="T147" i="9" s="1"/>
  <c r="H147" i="9" a="1"/>
  <c r="H147" i="9" s="1"/>
  <c r="H146" i="9" a="1"/>
  <c r="H146" i="9" s="1"/>
  <c r="P147" i="9" a="1"/>
  <c r="P147" i="9" s="1"/>
  <c r="P146" i="9" a="1"/>
  <c r="P146" i="9" s="1"/>
  <c r="AJ146" i="9" a="1"/>
  <c r="AJ146" i="9" s="1"/>
  <c r="AJ147" i="9" a="1"/>
  <c r="AJ147" i="9" s="1"/>
  <c r="X146" i="9" a="1"/>
  <c r="X146" i="9" s="1"/>
  <c r="X147" i="9" a="1"/>
  <c r="X147" i="9" s="1"/>
  <c r="AF146" i="9" a="1"/>
  <c r="AF146" i="9" s="1"/>
  <c r="AF147" i="9" a="1"/>
  <c r="AF147" i="9" s="1"/>
  <c r="B146" i="9" a="1"/>
  <c r="B146" i="9" s="1"/>
  <c r="B147" i="9" a="1"/>
  <c r="B147" i="9" s="1"/>
  <c r="J147" i="9" a="1"/>
  <c r="J147" i="9" s="1"/>
  <c r="J146" i="9" a="1"/>
  <c r="J146" i="9" s="1"/>
  <c r="R147" i="9" a="1"/>
  <c r="R147" i="9" s="1"/>
  <c r="R146" i="9" a="1"/>
  <c r="R146" i="9" s="1"/>
  <c r="AH146" i="9" a="1"/>
  <c r="AH146" i="9" s="1"/>
  <c r="AH147" i="9" a="1"/>
  <c r="AH147" i="9" s="1"/>
  <c r="L147" i="9" a="1"/>
  <c r="L147" i="9" s="1"/>
  <c r="L146" i="9" a="1"/>
  <c r="L146" i="9" s="1"/>
  <c r="Z146" i="9" a="1"/>
  <c r="Z146" i="9" s="1"/>
  <c r="Z147" i="9" a="1"/>
  <c r="Z147" i="9" s="1"/>
  <c r="F147" i="9" a="1"/>
  <c r="F147" i="9" s="1"/>
  <c r="F146" i="9" a="1"/>
  <c r="F146" i="9" s="1"/>
  <c r="AB147" i="9" a="1"/>
  <c r="AB147" i="9" s="1"/>
  <c r="AB146" i="9" a="1"/>
  <c r="AB146" i="9" s="1"/>
  <c r="Q70" i="2" a="1"/>
  <c r="T70" i="2" a="1"/>
  <c r="L67" i="2" a="1"/>
  <c r="K69" i="2" a="1"/>
  <c r="N69" i="2" a="1"/>
  <c r="U68" i="2" a="1"/>
  <c r="O67" i="2" a="1"/>
  <c r="R68" i="2" a="1"/>
  <c r="J70" i="2" a="1"/>
  <c r="M70" i="2" a="1"/>
  <c r="R68" i="2" l="1"/>
  <c r="O67" i="2"/>
  <c r="U68" i="2"/>
  <c r="N69" i="2"/>
  <c r="K69" i="2"/>
  <c r="L67" i="2"/>
  <c r="T70" i="2"/>
  <c r="Q70" i="2"/>
  <c r="O136" i="8"/>
  <c r="O206" i="8"/>
  <c r="K139" i="8"/>
  <c r="K207" i="8"/>
  <c r="V67" i="2"/>
  <c r="O67" i="8" s="1"/>
  <c r="M70" i="2"/>
  <c r="J70" i="2"/>
  <c r="CT9" i="10"/>
  <c r="H216" i="8"/>
  <c r="J2" i="7"/>
  <c r="A215" i="8"/>
  <c r="A217" i="8"/>
  <c r="A216" i="8"/>
  <c r="A218" i="8"/>
  <c r="E4" i="7"/>
  <c r="H212" i="8" s="1"/>
  <c r="E3" i="7"/>
  <c r="H211" i="8" s="1"/>
  <c r="H217" i="8"/>
  <c r="A7" i="7"/>
  <c r="C9" i="11"/>
  <c r="H215" i="8"/>
  <c r="J1" i="7"/>
  <c r="C9" i="5"/>
  <c r="I218" i="8"/>
  <c r="A8" i="7"/>
  <c r="L68" i="2" a="1"/>
  <c r="U69" i="2" a="1"/>
  <c r="O68" i="2" a="1"/>
  <c r="R69" i="2" a="1"/>
  <c r="N70" i="2" a="1"/>
  <c r="K70" i="2" a="1"/>
  <c r="I1" i="7"/>
  <c r="I2" i="7"/>
  <c r="K70" i="2" l="1"/>
  <c r="N70" i="2"/>
  <c r="R69" i="2"/>
  <c r="O68" i="2"/>
  <c r="U69" i="2"/>
  <c r="L68" i="2"/>
  <c r="O137" i="8"/>
  <c r="O207" i="8"/>
  <c r="K140" i="8"/>
  <c r="K208" i="8"/>
  <c r="V68" i="2"/>
  <c r="O68" i="8" s="1"/>
  <c r="A9" i="11"/>
  <c r="A9" i="5"/>
  <c r="CM17" i="10"/>
  <c r="E6" i="7"/>
  <c r="C218" i="8"/>
  <c r="Q218" i="8" s="1"/>
  <c r="P218" i="8" s="1"/>
  <c r="H8" i="7" a="1"/>
  <c r="H8" i="7" s="1"/>
  <c r="D218" i="8" s="1"/>
  <c r="G8" i="7"/>
  <c r="C217" i="8"/>
  <c r="Q217" i="8" s="1"/>
  <c r="P217" i="8" s="1"/>
  <c r="H7" i="7" a="1"/>
  <c r="H7" i="7" s="1"/>
  <c r="D217" i="8" s="1"/>
  <c r="G7" i="7"/>
  <c r="L69" i="2" a="1"/>
  <c r="U70" i="2" a="1"/>
  <c r="O69" i="2" a="1"/>
  <c r="R70" i="2" a="1"/>
  <c r="C247" i="8" a="1"/>
  <c r="A10" i="11"/>
  <c r="R70" i="2" l="1"/>
  <c r="O69" i="2"/>
  <c r="U70" i="2"/>
  <c r="L69" i="2"/>
  <c r="O208" i="8"/>
  <c r="O138" i="8"/>
  <c r="K209" i="8"/>
  <c r="V69" i="2"/>
  <c r="O69" i="8" s="1"/>
  <c r="B10" i="11"/>
  <c r="C247" i="8"/>
  <c r="J218" i="8"/>
  <c r="J8" i="7"/>
  <c r="T140" i="12"/>
  <c r="H214" i="8"/>
  <c r="C6" i="7"/>
  <c r="D6" i="7" s="1"/>
  <c r="CT17" i="10"/>
  <c r="J217" i="8"/>
  <c r="J7" i="7"/>
  <c r="L70" i="2" a="1"/>
  <c r="O70" i="2" a="1"/>
  <c r="A10" i="5"/>
  <c r="O70" i="2" l="1"/>
  <c r="L70" i="2"/>
  <c r="O209" i="8"/>
  <c r="O139" i="8"/>
  <c r="K210" i="8"/>
  <c r="V70" i="2"/>
  <c r="O70" i="8" s="1"/>
  <c r="B10" i="5"/>
  <c r="AA140" i="12"/>
  <c r="G214" i="8"/>
  <c r="Z140" i="12"/>
  <c r="F214" i="8"/>
  <c r="F247" i="8"/>
  <c r="G247" i="8" s="1"/>
  <c r="A247" i="8"/>
  <c r="CM25" i="10"/>
  <c r="C5" i="11"/>
  <c r="C6" i="11"/>
  <c r="C4" i="11"/>
  <c r="C3" i="11"/>
  <c r="C2" i="11"/>
  <c r="C8" i="11"/>
  <c r="C7" i="11"/>
  <c r="O210" i="8" l="1"/>
  <c r="O140" i="8"/>
  <c r="CT25" i="10"/>
  <c r="C2" i="5"/>
  <c r="K2" i="5" s="1"/>
  <c r="C8" i="5"/>
  <c r="K8" i="5" s="1"/>
  <c r="F8" i="5" s="1"/>
  <c r="C7" i="5"/>
  <c r="K7" i="5" s="1"/>
  <c r="F7" i="5" s="1"/>
  <c r="C5" i="5"/>
  <c r="K5" i="5" s="1"/>
  <c r="F5" i="5" s="1"/>
  <c r="C3" i="5"/>
  <c r="K3" i="5" s="1"/>
  <c r="F3" i="5" s="1"/>
  <c r="C4" i="5"/>
  <c r="K4" i="5" s="1"/>
  <c r="F4" i="5" s="1"/>
  <c r="C6" i="5"/>
  <c r="K6" i="5" s="1"/>
  <c r="F6" i="5" s="1"/>
  <c r="H231" i="8" a="1"/>
  <c r="H243" i="8" a="1"/>
  <c r="H235" i="8" a="1"/>
  <c r="H239" i="8" a="1"/>
  <c r="H223" i="8" a="1"/>
  <c r="H227" i="8" a="1"/>
  <c r="H227" i="8" l="1"/>
  <c r="H223" i="8"/>
  <c r="H239" i="8"/>
  <c r="H235" i="8"/>
  <c r="H243" i="8"/>
  <c r="H231" i="8"/>
  <c r="R101" i="12"/>
  <c r="T101" i="12"/>
  <c r="F2" i="5"/>
  <c r="CM33" i="10"/>
  <c r="H219" i="8" a="1"/>
  <c r="H219" i="8" l="1"/>
  <c r="CT33" i="10"/>
  <c r="Q227" i="8"/>
  <c r="P227" i="8" s="1"/>
  <c r="F227" i="8"/>
  <c r="G227" i="8" s="1"/>
  <c r="W101" i="12"/>
  <c r="AC101" i="12"/>
  <c r="Y101" i="12"/>
  <c r="Q231" i="8"/>
  <c r="P231" i="8" s="1"/>
  <c r="F231" i="8"/>
  <c r="G231" i="8" s="1"/>
  <c r="Q243" i="8"/>
  <c r="P243" i="8" s="1"/>
  <c r="F243" i="8"/>
  <c r="G243" i="8" s="1"/>
  <c r="Q235" i="8"/>
  <c r="P235" i="8" s="1"/>
  <c r="F235" i="8"/>
  <c r="G235" i="8" s="1"/>
  <c r="Q223" i="8"/>
  <c r="P223" i="8" s="1"/>
  <c r="F223" i="8"/>
  <c r="G223" i="8" s="1"/>
  <c r="Q239" i="8"/>
  <c r="P239" i="8" s="1"/>
  <c r="F239" i="8"/>
  <c r="G239" i="8" s="1"/>
  <c r="CM41" i="10" l="1"/>
  <c r="Q219" i="8"/>
  <c r="P219" i="8" s="1"/>
  <c r="F219" i="8"/>
  <c r="G219" i="8" s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7" i="6" a="1"/>
  <c r="O7" i="6" l="1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5" i="6" a="1"/>
  <c r="O5" i="6" l="1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3" i="6" a="1"/>
  <c r="O3" i="6" l="1"/>
  <c r="F3" i="6" a="1"/>
  <c r="O11" i="6" a="1"/>
  <c r="O1" i="6" a="1"/>
  <c r="F3" i="6" l="1"/>
  <c r="A3" i="6" s="1" a="1"/>
  <c r="A3" i="6" s="1"/>
  <c r="O11" i="6"/>
  <c r="O1" i="6"/>
  <c r="O9" i="6" s="1" a="1"/>
  <c r="O9" i="6" s="1"/>
  <c r="O17" i="6" s="1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O19" i="6" a="1"/>
  <c r="O8" i="6" a="1"/>
  <c r="O19" i="6" l="1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27" i="6" a="1"/>
  <c r="O6" i="6" a="1"/>
  <c r="O27" i="6" l="1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35" i="6" a="1"/>
  <c r="O4" i="6" a="1"/>
  <c r="O35" i="6" l="1"/>
  <c r="O4" i="6"/>
  <c r="O12" i="6" s="1" a="1"/>
  <c r="O12" i="6" s="1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43" i="6" a="1"/>
  <c r="O2" i="6" a="1"/>
  <c r="O43" i="6" l="1"/>
  <c r="O2" i="6"/>
  <c r="B9" i="6" a="1"/>
  <c r="B9" i="6" s="1"/>
  <c r="B11" i="6" a="1"/>
  <c r="B11" i="6" s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O51" i="6" a="1"/>
  <c r="F1" i="6" a="1"/>
  <c r="F4" i="6" a="1"/>
  <c r="F6" i="6" a="1"/>
  <c r="F8" i="6" a="1"/>
  <c r="O10" i="6" a="1"/>
  <c r="F2" i="6" a="1"/>
  <c r="F5" i="6" a="1"/>
  <c r="F7" i="6" a="1"/>
  <c r="F7" i="6" l="1"/>
  <c r="A7" i="6" s="1" a="1"/>
  <c r="A7" i="6" s="1"/>
  <c r="F5" i="6"/>
  <c r="A5" i="6" s="1" a="1"/>
  <c r="A5" i="6" s="1"/>
  <c r="F2" i="6"/>
  <c r="O10" i="6"/>
  <c r="F8" i="6"/>
  <c r="A8" i="6" s="1" a="1"/>
  <c r="A8" i="6" s="1"/>
  <c r="F6" i="6"/>
  <c r="A6" i="6" s="1" a="1"/>
  <c r="A6" i="6" s="1"/>
  <c r="F4" i="6"/>
  <c r="A4" i="6" s="1" a="1"/>
  <c r="A4" i="6" s="1"/>
  <c r="F1" i="6"/>
  <c r="A1" i="6" s="1" a="1"/>
  <c r="A1" i="6" s="1"/>
  <c r="O51" i="6"/>
  <c r="F13" i="6" a="1"/>
  <c r="F13" i="6" s="1"/>
  <c r="A13" i="6" s="1" a="1"/>
  <c r="A13" i="6" s="1"/>
  <c r="B21" i="6" a="1"/>
  <c r="B21" i="6" s="1"/>
  <c r="B22" i="6" a="1"/>
  <c r="B22" i="6" s="1"/>
  <c r="F14" i="6" a="1"/>
  <c r="F14" i="6" s="1"/>
  <c r="A14" i="6" s="1" a="1"/>
  <c r="A14" i="6" s="1"/>
  <c r="B20" i="6" a="1"/>
  <c r="B20" i="6" s="1"/>
  <c r="F12" i="6" a="1"/>
  <c r="F12" i="6" s="1"/>
  <c r="A12" i="6" s="1" a="1"/>
  <c r="A12" i="6" s="1"/>
  <c r="B19" i="6" a="1"/>
  <c r="B19" i="6" s="1"/>
  <c r="F11" i="6" a="1"/>
  <c r="F11" i="6" s="1"/>
  <c r="A11" i="6" s="1" a="1"/>
  <c r="A11" i="6" s="1"/>
  <c r="F9" i="6" a="1"/>
  <c r="F9" i="6" s="1"/>
  <c r="A9" i="6" s="1" a="1"/>
  <c r="A9" i="6" s="1"/>
  <c r="B17" i="6" a="1"/>
  <c r="B17" i="6" s="1"/>
  <c r="B24" i="6" a="1"/>
  <c r="B24" i="6" s="1"/>
  <c r="F16" i="6" a="1"/>
  <c r="F16" i="6" s="1"/>
  <c r="A16" i="6" s="1" a="1"/>
  <c r="A16" i="6" s="1"/>
  <c r="B23" i="6" a="1"/>
  <c r="B23" i="6" s="1"/>
  <c r="F15" i="6" a="1"/>
  <c r="F15" i="6" s="1"/>
  <c r="A15" i="6" s="1" a="1"/>
  <c r="A15" i="6" s="1"/>
  <c r="O59" i="6" a="1"/>
  <c r="A2" i="6" a="1"/>
  <c r="A2" i="6" l="1"/>
  <c r="O59" i="6"/>
  <c r="B27" i="6" a="1"/>
  <c r="B27" i="6" s="1"/>
  <c r="F19" i="6" a="1"/>
  <c r="F19" i="6" s="1"/>
  <c r="A19" i="6" s="1" a="1"/>
  <c r="A19" i="6" s="1"/>
  <c r="B28" i="6" a="1"/>
  <c r="B28" i="6" s="1"/>
  <c r="F20" i="6" a="1"/>
  <c r="F20" i="6" s="1"/>
  <c r="A20" i="6" s="1" a="1"/>
  <c r="A20" i="6" s="1"/>
  <c r="B31" i="6" a="1"/>
  <c r="B31" i="6" s="1"/>
  <c r="F23" i="6" a="1"/>
  <c r="F23" i="6" s="1"/>
  <c r="A23" i="6" s="1" a="1"/>
  <c r="A23" i="6" s="1"/>
  <c r="B32" i="6" a="1"/>
  <c r="B32" i="6" s="1"/>
  <c r="F24" i="6" a="1"/>
  <c r="F24" i="6" s="1"/>
  <c r="A24" i="6" s="1" a="1"/>
  <c r="A24" i="6" s="1"/>
  <c r="B30" i="6" a="1"/>
  <c r="B30" i="6" s="1"/>
  <c r="F22" i="6" a="1"/>
  <c r="F22" i="6" s="1"/>
  <c r="A22" i="6" s="1" a="1"/>
  <c r="A22" i="6" s="1"/>
  <c r="B10" i="6" a="1"/>
  <c r="B10" i="6" s="1"/>
  <c r="O18" i="6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F17" i="6" a="1"/>
  <c r="F17" i="6" s="1"/>
  <c r="A17" i="6" s="1" a="1"/>
  <c r="A17" i="6" s="1"/>
  <c r="B25" i="6" a="1"/>
  <c r="B25" i="6" s="1"/>
  <c r="F21" i="6" a="1"/>
  <c r="F21" i="6" s="1"/>
  <c r="A21" i="6" s="1" a="1"/>
  <c r="A21" i="6" s="1"/>
  <c r="B29" i="6" a="1"/>
  <c r="B29" i="6" s="1"/>
  <c r="F29" i="6" l="1" a="1"/>
  <c r="F29" i="6" s="1"/>
  <c r="A29" i="6" s="1" a="1"/>
  <c r="A29" i="6" s="1"/>
  <c r="B37" i="6" a="1"/>
  <c r="B37" i="6" s="1"/>
  <c r="B38" i="6" a="1"/>
  <c r="B38" i="6" s="1"/>
  <c r="F30" i="6" a="1"/>
  <c r="F30" i="6" s="1"/>
  <c r="A30" i="6" s="1" a="1"/>
  <c r="A30" i="6" s="1"/>
  <c r="F25" i="6" a="1"/>
  <c r="F25" i="6" s="1"/>
  <c r="A25" i="6" s="1" a="1"/>
  <c r="A25" i="6" s="1"/>
  <c r="B33" i="6" a="1"/>
  <c r="B33" i="6" s="1"/>
  <c r="B36" i="6" a="1"/>
  <c r="B36" i="6" s="1"/>
  <c r="F28" i="6" a="1"/>
  <c r="F28" i="6" s="1"/>
  <c r="A28" i="6" s="1" a="1"/>
  <c r="A28" i="6" s="1"/>
  <c r="B40" i="6" a="1"/>
  <c r="B40" i="6" s="1"/>
  <c r="F32" i="6" a="1"/>
  <c r="F32" i="6" s="1"/>
  <c r="A32" i="6" s="1" a="1"/>
  <c r="A32" i="6" s="1"/>
  <c r="B35" i="6" a="1"/>
  <c r="B35" i="6" s="1"/>
  <c r="F27" i="6" a="1"/>
  <c r="F27" i="6" s="1"/>
  <c r="A27" i="6" s="1" a="1"/>
  <c r="A27" i="6" s="1"/>
  <c r="B18" i="6" a="1"/>
  <c r="B18" i="6" s="1"/>
  <c r="F10" i="6" a="1"/>
  <c r="F10" i="6" s="1"/>
  <c r="A10" i="6" s="1" a="1"/>
  <c r="A10" i="6" s="1"/>
  <c r="B39" i="6" a="1"/>
  <c r="B39" i="6" s="1"/>
  <c r="F31" i="6" a="1"/>
  <c r="F31" i="6" s="1"/>
  <c r="A31" i="6" s="1" a="1"/>
  <c r="A31" i="6" s="1"/>
  <c r="F37" i="6" l="1" a="1"/>
  <c r="F37" i="6" s="1"/>
  <c r="A37" i="6" s="1" a="1"/>
  <c r="A37" i="6" s="1"/>
  <c r="B45" i="6" a="1"/>
  <c r="B45" i="6" s="1"/>
  <c r="B48" i="6" a="1"/>
  <c r="B48" i="6" s="1"/>
  <c r="F40" i="6" a="1"/>
  <c r="F40" i="6" s="1"/>
  <c r="A40" i="6" s="1" a="1"/>
  <c r="A40" i="6" s="1"/>
  <c r="B47" i="6" a="1"/>
  <c r="B47" i="6" s="1"/>
  <c r="F39" i="6" a="1"/>
  <c r="F39" i="6" s="1"/>
  <c r="A39" i="6" s="1" a="1"/>
  <c r="A39" i="6" s="1"/>
  <c r="B44" i="6" a="1"/>
  <c r="B44" i="6" s="1"/>
  <c r="F36" i="6" a="1"/>
  <c r="F36" i="6" s="1"/>
  <c r="A36" i="6" s="1" a="1"/>
  <c r="A36" i="6" s="1"/>
  <c r="F33" i="6" a="1"/>
  <c r="F33" i="6" s="1"/>
  <c r="A33" i="6" s="1" a="1"/>
  <c r="A33" i="6" s="1"/>
  <c r="B41" i="6" a="1"/>
  <c r="B41" i="6" s="1"/>
  <c r="B26" i="6" a="1"/>
  <c r="B26" i="6" s="1"/>
  <c r="F18" i="6" a="1"/>
  <c r="F18" i="6" s="1"/>
  <c r="A18" i="6" s="1" a="1"/>
  <c r="A18" i="6" s="1"/>
  <c r="B43" i="6" a="1"/>
  <c r="B43" i="6" s="1"/>
  <c r="F35" i="6" a="1"/>
  <c r="F35" i="6" s="1"/>
  <c r="A35" i="6" s="1" a="1"/>
  <c r="A35" i="6" s="1"/>
  <c r="B46" i="6" a="1"/>
  <c r="B46" i="6" s="1"/>
  <c r="F38" i="6" a="1"/>
  <c r="F38" i="6" s="1"/>
  <c r="A38" i="6" s="1" a="1"/>
  <c r="A38" i="6" s="1"/>
  <c r="B34" i="6" l="1" a="1"/>
  <c r="B34" i="6" s="1"/>
  <c r="F26" i="6" a="1"/>
  <c r="F26" i="6" s="1"/>
  <c r="A26" i="6" s="1" a="1"/>
  <c r="A26" i="6" s="1"/>
  <c r="F41" i="6" a="1"/>
  <c r="F41" i="6" s="1"/>
  <c r="A41" i="6" s="1" a="1"/>
  <c r="A41" i="6" s="1"/>
  <c r="B49" i="6" a="1"/>
  <c r="B49" i="6" s="1"/>
  <c r="B54" i="6" a="1"/>
  <c r="B54" i="6" s="1"/>
  <c r="F46" i="6" a="1"/>
  <c r="F46" i="6" s="1"/>
  <c r="A46" i="6" s="1" a="1"/>
  <c r="A46" i="6" s="1"/>
  <c r="B52" i="6" a="1"/>
  <c r="B52" i="6" s="1"/>
  <c r="F44" i="6" a="1"/>
  <c r="F44" i="6" s="1"/>
  <c r="A44" i="6" s="1" a="1"/>
  <c r="A44" i="6" s="1"/>
  <c r="B51" i="6" a="1"/>
  <c r="B51" i="6" s="1"/>
  <c r="F43" i="6" a="1"/>
  <c r="F43" i="6" s="1"/>
  <c r="A43" i="6" s="1" a="1"/>
  <c r="A43" i="6" s="1"/>
  <c r="B56" i="6" a="1"/>
  <c r="B56" i="6" s="1"/>
  <c r="F48" i="6" a="1"/>
  <c r="F48" i="6" s="1"/>
  <c r="A48" i="6" s="1" a="1"/>
  <c r="A48" i="6" s="1"/>
  <c r="B55" i="6" a="1"/>
  <c r="B55" i="6" s="1"/>
  <c r="F47" i="6" a="1"/>
  <c r="F47" i="6" s="1"/>
  <c r="A47" i="6" s="1" a="1"/>
  <c r="A47" i="6" s="1"/>
  <c r="F45" i="6" a="1"/>
  <c r="F45" i="6" s="1"/>
  <c r="A45" i="6" s="1" a="1"/>
  <c r="A45" i="6" s="1"/>
  <c r="B53" i="6" a="1"/>
  <c r="B53" i="6" s="1"/>
  <c r="B60" i="6" l="1" a="1"/>
  <c r="B60" i="6" s="1"/>
  <c r="F60" i="6" s="1" a="1"/>
  <c r="F60" i="6" s="1"/>
  <c r="A60" i="6" s="1" a="1"/>
  <c r="A60" i="6" s="1"/>
  <c r="F52" i="6" a="1"/>
  <c r="F52" i="6" s="1"/>
  <c r="A52" i="6" s="1" a="1"/>
  <c r="A52" i="6" s="1"/>
  <c r="B64" i="6" a="1"/>
  <c r="B64" i="6" s="1"/>
  <c r="F64" i="6" s="1" a="1"/>
  <c r="F64" i="6" s="1"/>
  <c r="A64" i="6" s="1" a="1"/>
  <c r="A64" i="6" s="1"/>
  <c r="F56" i="6" a="1"/>
  <c r="F56" i="6" s="1"/>
  <c r="A56" i="6" s="1" a="1"/>
  <c r="A56" i="6" s="1"/>
  <c r="F49" i="6" a="1"/>
  <c r="F49" i="6" s="1"/>
  <c r="A49" i="6" s="1" a="1"/>
  <c r="A49" i="6" s="1"/>
  <c r="B57" i="6" a="1"/>
  <c r="B57" i="6" s="1"/>
  <c r="F57" i="6" s="1" a="1"/>
  <c r="F57" i="6" s="1"/>
  <c r="A57" i="6" s="1" a="1"/>
  <c r="A57" i="6" s="1"/>
  <c r="F53" i="6" a="1"/>
  <c r="F53" i="6" s="1"/>
  <c r="A53" i="6" s="1" a="1"/>
  <c r="A53" i="6" s="1"/>
  <c r="B61" i="6" a="1"/>
  <c r="B61" i="6" s="1"/>
  <c r="F61" i="6" s="1" a="1"/>
  <c r="F61" i="6" s="1"/>
  <c r="A61" i="6" s="1" a="1"/>
  <c r="A61" i="6" s="1"/>
  <c r="B62" i="6" a="1"/>
  <c r="B62" i="6" s="1"/>
  <c r="F62" i="6" s="1" a="1"/>
  <c r="F62" i="6" s="1"/>
  <c r="A62" i="6" s="1" a="1"/>
  <c r="A62" i="6" s="1"/>
  <c r="F54" i="6" a="1"/>
  <c r="F54" i="6" s="1"/>
  <c r="A54" i="6" s="1" a="1"/>
  <c r="A54" i="6" s="1"/>
  <c r="B42" i="6" a="1"/>
  <c r="B42" i="6" s="1"/>
  <c r="F34" i="6" a="1"/>
  <c r="F34" i="6" s="1"/>
  <c r="A34" i="6" s="1" a="1"/>
  <c r="A34" i="6" s="1"/>
  <c r="B63" i="6" a="1"/>
  <c r="B63" i="6" s="1"/>
  <c r="F63" i="6" s="1" a="1"/>
  <c r="F63" i="6" s="1"/>
  <c r="A63" i="6" s="1" a="1"/>
  <c r="A63" i="6" s="1"/>
  <c r="F55" i="6" a="1"/>
  <c r="F55" i="6" s="1"/>
  <c r="A55" i="6" s="1" a="1"/>
  <c r="A55" i="6" s="1"/>
  <c r="B59" i="6" a="1"/>
  <c r="B59" i="6" s="1"/>
  <c r="F59" i="6" s="1" a="1"/>
  <c r="F59" i="6" s="1"/>
  <c r="A59" i="6" s="1" a="1"/>
  <c r="A59" i="6" s="1"/>
  <c r="F51" i="6" a="1"/>
  <c r="F51" i="6" s="1"/>
  <c r="A51" i="6" s="1" a="1"/>
  <c r="A51" i="6" s="1"/>
  <c r="B50" i="6" l="1" a="1"/>
  <c r="B50" i="6" s="1"/>
  <c r="F42" i="6" a="1"/>
  <c r="F42" i="6" s="1"/>
  <c r="A42" i="6" s="1" a="1"/>
  <c r="A42" i="6" s="1"/>
  <c r="B58" i="6" l="1" a="1"/>
  <c r="B58" i="6" s="1"/>
  <c r="F58" i="6" s="1" a="1"/>
  <c r="F58" i="6" s="1"/>
  <c r="A58" i="6" s="1" a="1"/>
  <c r="A58" i="6" s="1"/>
  <c r="F50" i="6" a="1"/>
  <c r="F50" i="6" s="1"/>
  <c r="A50" i="6" s="1" a="1"/>
  <c r="A50" i="6" s="1"/>
  <c r="R7" i="6" l="1" a="1"/>
  <c r="R7" i="6" s="1"/>
  <c r="C257" i="8" s="1"/>
  <c r="R12" i="6" a="1"/>
  <c r="R12" i="6" s="1"/>
  <c r="S12" i="6" s="1"/>
  <c r="D262" i="8" s="1"/>
  <c r="R14" i="6" a="1"/>
  <c r="R14" i="6" s="1"/>
  <c r="S14" i="6" s="1"/>
  <c r="D264" i="8" s="1"/>
  <c r="R2" i="6" a="1"/>
  <c r="R2" i="6" s="1"/>
  <c r="R11" i="6" a="1"/>
  <c r="R11" i="6" s="1"/>
  <c r="R13" i="6" a="1"/>
  <c r="R13" i="6" s="1"/>
  <c r="R9" i="6" a="1"/>
  <c r="R9" i="6" s="1"/>
  <c r="R15" i="6" a="1"/>
  <c r="R15" i="6" s="1"/>
  <c r="R4" i="6" a="1"/>
  <c r="R4" i="6" s="1"/>
  <c r="R5" i="6" a="1"/>
  <c r="R5" i="6" s="1"/>
  <c r="R8" i="6" a="1"/>
  <c r="R8" i="6" s="1"/>
  <c r="R6" i="6" a="1"/>
  <c r="R6" i="6" s="1"/>
  <c r="R1" i="6" a="1"/>
  <c r="R1" i="6" s="1"/>
  <c r="R3" i="6" a="1"/>
  <c r="R3" i="6" s="1"/>
  <c r="R10" i="6" a="1"/>
  <c r="R10" i="6" s="1"/>
  <c r="C264" i="8" l="1"/>
  <c r="A264" i="8" s="1"/>
  <c r="T7" i="6"/>
  <c r="H257" i="8" s="1"/>
  <c r="Q257" i="8" s="1"/>
  <c r="P257" i="8" s="1"/>
  <c r="C262" i="8"/>
  <c r="A262" i="8" s="1"/>
  <c r="T12" i="6"/>
  <c r="H262" i="8" s="1"/>
  <c r="Q262" i="8" s="1"/>
  <c r="P262" i="8" s="1"/>
  <c r="S7" i="6"/>
  <c r="D257" i="8" s="1"/>
  <c r="T14" i="6"/>
  <c r="H264" i="8" s="1"/>
  <c r="Q264" i="8" s="1"/>
  <c r="P264" i="8" s="1"/>
  <c r="C251" i="8"/>
  <c r="S1" i="6"/>
  <c r="D251" i="8" s="1"/>
  <c r="T1" i="6"/>
  <c r="H251" i="8" s="1"/>
  <c r="Q251" i="8" s="1"/>
  <c r="P251" i="8" s="1"/>
  <c r="C261" i="8"/>
  <c r="S11" i="6"/>
  <c r="D261" i="8" s="1"/>
  <c r="T11" i="6"/>
  <c r="H261" i="8" s="1"/>
  <c r="Q261" i="8" s="1"/>
  <c r="P261" i="8" s="1"/>
  <c r="S2" i="6"/>
  <c r="D252" i="8" s="1"/>
  <c r="T2" i="6"/>
  <c r="H252" i="8" s="1"/>
  <c r="Q252" i="8" s="1"/>
  <c r="P252" i="8" s="1"/>
  <c r="C252" i="8"/>
  <c r="S8" i="6"/>
  <c r="D258" i="8" s="1"/>
  <c r="T8" i="6"/>
  <c r="H258" i="8" s="1"/>
  <c r="Q258" i="8" s="1"/>
  <c r="P258" i="8" s="1"/>
  <c r="C258" i="8"/>
  <c r="T6" i="6"/>
  <c r="H256" i="8" s="1"/>
  <c r="Q256" i="8" s="1"/>
  <c r="P256" i="8" s="1"/>
  <c r="C256" i="8"/>
  <c r="S6" i="6"/>
  <c r="D256" i="8" s="1"/>
  <c r="J262" i="8"/>
  <c r="C255" i="8"/>
  <c r="S5" i="6"/>
  <c r="D255" i="8" s="1"/>
  <c r="T5" i="6"/>
  <c r="H255" i="8" s="1"/>
  <c r="Q255" i="8" s="1"/>
  <c r="P255" i="8" s="1"/>
  <c r="C254" i="8"/>
  <c r="S4" i="6"/>
  <c r="D254" i="8" s="1"/>
  <c r="T4" i="6"/>
  <c r="H254" i="8" s="1"/>
  <c r="Q254" i="8" s="1"/>
  <c r="P254" i="8" s="1"/>
  <c r="C260" i="8"/>
  <c r="S10" i="6"/>
  <c r="D260" i="8" s="1"/>
  <c r="T10" i="6"/>
  <c r="H260" i="8" s="1"/>
  <c r="Q260" i="8" s="1"/>
  <c r="P260" i="8" s="1"/>
  <c r="C265" i="8"/>
  <c r="S15" i="6"/>
  <c r="D265" i="8" s="1"/>
  <c r="T15" i="6"/>
  <c r="H265" i="8" s="1"/>
  <c r="Q265" i="8" s="1"/>
  <c r="P265" i="8" s="1"/>
  <c r="A257" i="8"/>
  <c r="J257" i="8"/>
  <c r="S9" i="6"/>
  <c r="D259" i="8" s="1"/>
  <c r="T9" i="6"/>
  <c r="H259" i="8" s="1"/>
  <c r="Q259" i="8" s="1"/>
  <c r="P259" i="8" s="1"/>
  <c r="C259" i="8"/>
  <c r="S3" i="6"/>
  <c r="D253" i="8" s="1"/>
  <c r="T3" i="6"/>
  <c r="H253" i="8" s="1"/>
  <c r="Q253" i="8" s="1"/>
  <c r="P253" i="8" s="1"/>
  <c r="C253" i="8"/>
  <c r="T13" i="6"/>
  <c r="H263" i="8" s="1"/>
  <c r="Q263" i="8" s="1"/>
  <c r="P263" i="8" s="1"/>
  <c r="C263" i="8"/>
  <c r="S13" i="6"/>
  <c r="D263" i="8" s="1"/>
  <c r="J264" i="8" l="1"/>
  <c r="A254" i="8"/>
  <c r="J254" i="8"/>
  <c r="A259" i="8"/>
  <c r="J259" i="8"/>
  <c r="A265" i="8"/>
  <c r="J265" i="8"/>
  <c r="A255" i="8"/>
  <c r="J255" i="8"/>
  <c r="J258" i="8"/>
  <c r="A258" i="8"/>
  <c r="A261" i="8"/>
  <c r="J261" i="8"/>
  <c r="A263" i="8"/>
  <c r="J263" i="8"/>
  <c r="A256" i="8"/>
  <c r="J256" i="8"/>
  <c r="R52" i="8" a="1"/>
  <c r="R52" i="8" s="1"/>
  <c r="R49" i="8" a="1"/>
  <c r="R49" i="8" s="1"/>
  <c r="R20" i="8" a="1"/>
  <c r="R20" i="8" s="1"/>
  <c r="R107" i="8" a="1"/>
  <c r="R107" i="8" s="1"/>
  <c r="R8" i="8" a="1"/>
  <c r="R8" i="8" s="1"/>
  <c r="R228" i="8" a="1"/>
  <c r="R228" i="8" s="1"/>
  <c r="R91" i="8" a="1"/>
  <c r="R91" i="8" s="1"/>
  <c r="R178" i="8" a="1"/>
  <c r="R178" i="8" s="1"/>
  <c r="R200" i="8" a="1"/>
  <c r="R200" i="8" s="1"/>
  <c r="R16" i="8" a="1"/>
  <c r="R16" i="8" s="1"/>
  <c r="R31" i="8" a="1"/>
  <c r="R31" i="8" s="1"/>
  <c r="R17" i="8" a="1"/>
  <c r="R17" i="8" s="1"/>
  <c r="R39" i="8" a="1"/>
  <c r="R39" i="8" s="1"/>
  <c r="R74" i="8" a="1"/>
  <c r="R74" i="8" s="1"/>
  <c r="R122" i="8" a="1"/>
  <c r="R122" i="8" s="1"/>
  <c r="R137" i="8" a="1"/>
  <c r="R137" i="8" s="1"/>
  <c r="R177" i="8" a="1"/>
  <c r="R177" i="8" s="1"/>
  <c r="R43" i="8" a="1"/>
  <c r="R43" i="8" s="1"/>
  <c r="R131" i="8" a="1"/>
  <c r="R131" i="8" s="1"/>
  <c r="R161" i="8" a="1"/>
  <c r="R161" i="8" s="1"/>
  <c r="R92" i="8" a="1"/>
  <c r="R92" i="8" s="1"/>
  <c r="R139" i="8" a="1"/>
  <c r="R139" i="8" s="1"/>
  <c r="R144" i="8" a="1"/>
  <c r="R144" i="8" s="1"/>
  <c r="R115" i="8" a="1"/>
  <c r="R115" i="8" s="1"/>
  <c r="R81" i="8" a="1"/>
  <c r="R81" i="8" s="1"/>
  <c r="R6" i="8" a="1"/>
  <c r="R6" i="8" s="1"/>
  <c r="R264" i="8" a="1"/>
  <c r="R264" i="8" s="1"/>
  <c r="R138" i="8" a="1"/>
  <c r="R138" i="8" s="1"/>
  <c r="R135" i="8" a="1"/>
  <c r="R135" i="8" s="1"/>
  <c r="R153" i="8" a="1"/>
  <c r="R153" i="8" s="1"/>
  <c r="R182" i="8" a="1"/>
  <c r="R182" i="8" s="1"/>
  <c r="R101" i="8" a="1"/>
  <c r="R101" i="8" s="1"/>
  <c r="R66" i="8" a="1"/>
  <c r="R66" i="8" s="1"/>
  <c r="R38" i="8" a="1"/>
  <c r="R38" i="8" s="1"/>
  <c r="R90" i="8" a="1"/>
  <c r="R90" i="8" s="1"/>
  <c r="R231" i="8" a="1"/>
  <c r="R231" i="8" s="1"/>
  <c r="R176" i="8" a="1"/>
  <c r="R176" i="8" s="1"/>
  <c r="R212" i="8" a="1"/>
  <c r="R212" i="8" s="1"/>
  <c r="R191" i="8" a="1"/>
  <c r="R191" i="8" s="1"/>
  <c r="R7" i="8" a="1"/>
  <c r="R7" i="8" s="1"/>
  <c r="R105" i="8" a="1"/>
  <c r="R105" i="8" s="1"/>
  <c r="R217" i="8" a="1"/>
  <c r="R217" i="8" s="1"/>
  <c r="R194" i="8" a="1"/>
  <c r="R194" i="8" s="1"/>
  <c r="R93" i="8" a="1"/>
  <c r="R93" i="8" s="1"/>
  <c r="R57" i="8" a="1"/>
  <c r="R57" i="8" s="1"/>
  <c r="R22" i="8" a="1"/>
  <c r="R22" i="8" s="1"/>
  <c r="R29" i="8" a="1"/>
  <c r="R29" i="8" s="1"/>
  <c r="R97" i="8" a="1"/>
  <c r="R97" i="8" s="1"/>
  <c r="R152" i="8" a="1"/>
  <c r="R152" i="8" s="1"/>
  <c r="R174" i="8" a="1"/>
  <c r="R174" i="8" s="1"/>
  <c r="R27" i="8" a="1"/>
  <c r="R27" i="8" s="1"/>
  <c r="R192" i="8" a="1"/>
  <c r="R192" i="8" s="1"/>
  <c r="R108" i="8" a="1"/>
  <c r="R108" i="8" s="1"/>
  <c r="R150" i="8" a="1"/>
  <c r="R150" i="8" s="1"/>
  <c r="R148" i="8" a="1"/>
  <c r="R148" i="8" s="1"/>
  <c r="R190" i="8" a="1"/>
  <c r="R190" i="8" s="1"/>
  <c r="R143" i="8" a="1"/>
  <c r="R143" i="8" s="1"/>
  <c r="R85" i="8" a="1"/>
  <c r="R85" i="8" s="1"/>
  <c r="R226" i="8" a="1"/>
  <c r="R226" i="8" s="1"/>
  <c r="R10" i="8" a="1"/>
  <c r="R10" i="8" s="1"/>
  <c r="R64" i="8" a="1"/>
  <c r="R64" i="8" s="1"/>
  <c r="R230" i="8" a="1"/>
  <c r="R230" i="8" s="1"/>
  <c r="R188" i="8" a="1"/>
  <c r="R188" i="8" s="1"/>
  <c r="R14" i="8" a="1"/>
  <c r="R14" i="8" s="1"/>
  <c r="R104" i="8" a="1"/>
  <c r="R104" i="8" s="1"/>
  <c r="R5" i="8" a="1"/>
  <c r="R5" i="8" s="1"/>
  <c r="R219" i="8" a="1"/>
  <c r="R219" i="8" s="1"/>
  <c r="R71" i="8" a="1"/>
  <c r="R71" i="8" s="1"/>
  <c r="R157" i="8" a="1"/>
  <c r="R157" i="8" s="1"/>
  <c r="R234" i="8" a="1"/>
  <c r="R234" i="8" s="1"/>
  <c r="R77" i="8" a="1"/>
  <c r="R77" i="8" s="1"/>
  <c r="R54" i="8" a="1"/>
  <c r="R54" i="8" s="1"/>
  <c r="R253" i="8" a="1"/>
  <c r="R253" i="8" s="1"/>
  <c r="R121" i="8" a="1"/>
  <c r="R121" i="8" s="1"/>
  <c r="R116" i="8" a="1"/>
  <c r="R116" i="8" s="1"/>
  <c r="R15" i="8" a="1"/>
  <c r="R15" i="8" s="1"/>
  <c r="R36" i="8" a="1"/>
  <c r="R36" i="8" s="1"/>
  <c r="R244" i="8" a="1"/>
  <c r="R244" i="8" s="1"/>
  <c r="R70" i="8" a="1"/>
  <c r="R70" i="8" s="1"/>
  <c r="R156" i="8" a="1"/>
  <c r="R156" i="8" s="1"/>
  <c r="R167" i="8" a="1"/>
  <c r="R167" i="8" s="1"/>
  <c r="R193" i="8" a="1"/>
  <c r="R193" i="8" s="1"/>
  <c r="R233" i="8" a="1"/>
  <c r="R233" i="8" s="1"/>
  <c r="R265" i="8" a="1"/>
  <c r="R265" i="8" s="1"/>
  <c r="R209" i="8" a="1"/>
  <c r="R209" i="8" s="1"/>
  <c r="R79" i="8" a="1"/>
  <c r="R79" i="8" s="1"/>
  <c r="R202" i="8" a="1"/>
  <c r="R202" i="8" s="1"/>
  <c r="R145" i="8" a="1"/>
  <c r="R145" i="8" s="1"/>
  <c r="R21" i="8" a="1"/>
  <c r="R21" i="8" s="1"/>
  <c r="R206" i="8" a="1"/>
  <c r="R206" i="8" s="1"/>
  <c r="R199" i="8" a="1"/>
  <c r="R199" i="8" s="1"/>
  <c r="R50" i="8" a="1"/>
  <c r="R50" i="8" s="1"/>
  <c r="R82" i="8" a="1"/>
  <c r="R82" i="8" s="1"/>
  <c r="R114" i="8" a="1"/>
  <c r="R114" i="8" s="1"/>
  <c r="R86" i="8" a="1"/>
  <c r="R86" i="8" s="1"/>
  <c r="R94" i="8" a="1"/>
  <c r="R94" i="8" s="1"/>
  <c r="R99" i="8" a="1"/>
  <c r="R99" i="8" s="1"/>
  <c r="R111" i="8" a="1"/>
  <c r="R111" i="8" s="1"/>
  <c r="R125" i="8" a="1"/>
  <c r="R125" i="8" s="1"/>
  <c r="R63" i="8" a="1"/>
  <c r="R63" i="8" s="1"/>
  <c r="R155" i="8" a="1"/>
  <c r="R155" i="8" s="1"/>
  <c r="R83" i="8" a="1"/>
  <c r="R83" i="8" s="1"/>
  <c r="R225" i="8" a="1"/>
  <c r="R225" i="8" s="1"/>
  <c r="R179" i="8" a="1"/>
  <c r="R179" i="8" s="1"/>
  <c r="R151" i="8" a="1"/>
  <c r="R151" i="8" s="1"/>
  <c r="R160" i="8" a="1"/>
  <c r="R160" i="8" s="1"/>
  <c r="R142" i="8" a="1"/>
  <c r="R142" i="8" s="1"/>
  <c r="R218" i="8" a="1"/>
  <c r="R218" i="8" s="1"/>
  <c r="R205" i="8" a="1"/>
  <c r="R205" i="8" s="1"/>
  <c r="R2" i="8" a="1"/>
  <c r="R2" i="8" s="1"/>
  <c r="R133" i="8" a="1"/>
  <c r="R133" i="8" s="1"/>
  <c r="R235" i="8" a="1"/>
  <c r="R235" i="8" s="1"/>
  <c r="R62" i="8" a="1"/>
  <c r="R62" i="8" s="1"/>
  <c r="R4" i="8" a="1"/>
  <c r="R4" i="8" s="1"/>
  <c r="R9" i="8" a="1"/>
  <c r="R9" i="8" s="1"/>
  <c r="R55" i="8" a="1"/>
  <c r="R55" i="8" s="1"/>
  <c r="R113" i="8" a="1"/>
  <c r="R113" i="8" s="1"/>
  <c r="R3" i="8" a="1"/>
  <c r="R3" i="8" s="1"/>
  <c r="R213" i="8" a="1"/>
  <c r="R213" i="8" s="1"/>
  <c r="R154" i="8" a="1"/>
  <c r="R154" i="8" s="1"/>
  <c r="R13" i="8" a="1"/>
  <c r="R13" i="8" s="1"/>
  <c r="R175" i="8" a="1"/>
  <c r="R175" i="8" s="1"/>
  <c r="R87" i="8" a="1"/>
  <c r="R87" i="8" s="1"/>
  <c r="R75" i="8" a="1"/>
  <c r="R75" i="8" s="1"/>
  <c r="R223" i="8" a="1"/>
  <c r="R223" i="8" s="1"/>
  <c r="R250" i="8" a="1"/>
  <c r="R250" i="8" s="1"/>
  <c r="R129" i="8" a="1"/>
  <c r="R129" i="8" s="1"/>
  <c r="R95" i="8" a="1"/>
  <c r="R95" i="8" s="1"/>
  <c r="R172" i="8" a="1"/>
  <c r="R172" i="8" s="1"/>
  <c r="R65" i="8" a="1"/>
  <c r="R65" i="8" s="1"/>
  <c r="R196" i="8" a="1"/>
  <c r="R196" i="8" s="1"/>
  <c r="R263" i="8" a="1"/>
  <c r="R263" i="8" s="1"/>
  <c r="R51" i="8" a="1"/>
  <c r="R51" i="8" s="1"/>
  <c r="R164" i="8" a="1"/>
  <c r="R164" i="8" s="1"/>
  <c r="R237" i="8" a="1"/>
  <c r="R237" i="8" s="1"/>
  <c r="R18" i="8" a="1"/>
  <c r="R18" i="8" s="1"/>
  <c r="R60" i="8" a="1"/>
  <c r="R60" i="8" s="1"/>
  <c r="R201" i="8" a="1"/>
  <c r="R201" i="8" s="1"/>
  <c r="R239" i="8" a="1"/>
  <c r="R239" i="8" s="1"/>
  <c r="R232" i="8" a="1"/>
  <c r="R232" i="8" s="1"/>
  <c r="R72" i="8" a="1"/>
  <c r="R72" i="8" s="1"/>
  <c r="R128" i="8" a="1"/>
  <c r="R128" i="8" s="1"/>
  <c r="R103" i="8" a="1"/>
  <c r="R103" i="8" s="1"/>
  <c r="R24" i="8" a="1"/>
  <c r="R24" i="8" s="1"/>
  <c r="R170" i="8" a="1"/>
  <c r="R170" i="8" s="1"/>
  <c r="R47" i="8" a="1"/>
  <c r="R47" i="8" s="1"/>
  <c r="R240" i="8" a="1"/>
  <c r="R240" i="8" s="1"/>
  <c r="R189" i="8" a="1"/>
  <c r="R189" i="8" s="1"/>
  <c r="R229" i="8" a="1"/>
  <c r="R229" i="8" s="1"/>
  <c r="R203" i="8" a="1"/>
  <c r="R203" i="8" s="1"/>
  <c r="R48" i="8" a="1"/>
  <c r="R48" i="8" s="1"/>
  <c r="R11" i="8" a="1"/>
  <c r="R11" i="8" s="1"/>
  <c r="R25" i="8" a="1"/>
  <c r="R25" i="8" s="1"/>
  <c r="R46" i="8" a="1"/>
  <c r="R46" i="8" s="1"/>
  <c r="R221" i="8" a="1"/>
  <c r="R221" i="8" s="1"/>
  <c r="R84" i="8" a="1"/>
  <c r="R84" i="8" s="1"/>
  <c r="R45" i="8" a="1"/>
  <c r="R45" i="8" s="1"/>
  <c r="R33" i="8" a="1"/>
  <c r="R33" i="8" s="1"/>
  <c r="R37" i="8" a="1"/>
  <c r="R37" i="8" s="1"/>
  <c r="R44" i="8" a="1"/>
  <c r="R44" i="8" s="1"/>
  <c r="R59" i="8" a="1"/>
  <c r="R59" i="8" s="1"/>
  <c r="R100" i="8" a="1"/>
  <c r="R100" i="8" s="1"/>
  <c r="R126" i="8" a="1"/>
  <c r="R126" i="8" s="1"/>
  <c r="R158" i="8" a="1"/>
  <c r="R158" i="8" s="1"/>
  <c r="R185" i="8" a="1"/>
  <c r="R185" i="8" s="1"/>
  <c r="R224" i="8" a="1"/>
  <c r="R224" i="8" s="1"/>
  <c r="R249" i="8" a="1"/>
  <c r="R249" i="8" s="1"/>
  <c r="R222" i="8" a="1"/>
  <c r="R222" i="8" s="1"/>
  <c r="R252" i="8" a="1"/>
  <c r="R252" i="8" s="1"/>
  <c r="R78" i="8" a="1"/>
  <c r="R78" i="8" s="1"/>
  <c r="R204" i="8" a="1"/>
  <c r="R204" i="8" s="1"/>
  <c r="R26" i="8" a="1"/>
  <c r="R26" i="8" s="1"/>
  <c r="R69" i="8" a="1"/>
  <c r="R69" i="8" s="1"/>
  <c r="R117" i="8" a="1"/>
  <c r="R117" i="8" s="1"/>
  <c r="R140" i="8" a="1"/>
  <c r="R140" i="8" s="1"/>
  <c r="R169" i="8" a="1"/>
  <c r="R169" i="8" s="1"/>
  <c r="R198" i="8" a="1"/>
  <c r="R198" i="8" s="1"/>
  <c r="R241" i="8" a="1"/>
  <c r="R241" i="8" s="1"/>
  <c r="R159" i="8" a="1"/>
  <c r="R159" i="8" s="1"/>
  <c r="R254" i="8" a="1"/>
  <c r="R254" i="8" s="1"/>
  <c r="R96" i="8" a="1"/>
  <c r="R96" i="8" s="1"/>
  <c r="R56" i="8" a="1"/>
  <c r="R56" i="8" s="1"/>
  <c r="R118" i="8" a="1"/>
  <c r="R118" i="8" s="1"/>
  <c r="R214" i="8" a="1"/>
  <c r="R214" i="8" s="1"/>
  <c r="R106" i="8" a="1"/>
  <c r="R106" i="8" s="1"/>
  <c r="R88" i="8" a="1"/>
  <c r="R88" i="8" s="1"/>
  <c r="R123" i="8" a="1"/>
  <c r="R123" i="8" s="1"/>
  <c r="R147" i="8" a="1"/>
  <c r="R147" i="8" s="1"/>
  <c r="R181" i="8" a="1"/>
  <c r="R181" i="8" s="1"/>
  <c r="R220" i="8" a="1"/>
  <c r="R220" i="8" s="1"/>
  <c r="R246" i="8" a="1"/>
  <c r="R246" i="8" s="1"/>
  <c r="R227" i="8" a="1"/>
  <c r="R227" i="8" s="1"/>
  <c r="R247" i="8" a="1"/>
  <c r="R247" i="8" s="1"/>
  <c r="R68" i="8" a="1"/>
  <c r="R68" i="8" s="1"/>
  <c r="R163" i="8" a="1"/>
  <c r="R163" i="8" s="1"/>
  <c r="R208" i="8" a="1"/>
  <c r="R208" i="8" s="1"/>
  <c r="R251" i="8" a="1"/>
  <c r="R251" i="8" s="1"/>
  <c r="R23" i="8" a="1"/>
  <c r="R23" i="8" s="1"/>
  <c r="R32" i="8" a="1"/>
  <c r="R32" i="8" s="1"/>
  <c r="R35" i="8" a="1"/>
  <c r="R35" i="8" s="1"/>
  <c r="R42" i="8" a="1"/>
  <c r="R42" i="8" s="1"/>
  <c r="R61" i="8" a="1"/>
  <c r="R61" i="8" s="1"/>
  <c r="R102" i="8" a="1"/>
  <c r="R102" i="8" s="1"/>
  <c r="R127" i="8" a="1"/>
  <c r="R127" i="8" s="1"/>
  <c r="R187" i="8" a="1"/>
  <c r="R187" i="8" s="1"/>
  <c r="R162" i="8" a="1"/>
  <c r="R162" i="8" s="1"/>
  <c r="R207" i="8" a="1"/>
  <c r="R207" i="8" s="1"/>
  <c r="R186" i="8" a="1"/>
  <c r="R186" i="8" s="1"/>
  <c r="R109" i="8" a="1"/>
  <c r="R109" i="8" s="1"/>
  <c r="R242" i="8" a="1"/>
  <c r="R242" i="8" s="1"/>
  <c r="R132" i="8" a="1"/>
  <c r="R132" i="8" s="1"/>
  <c r="R215" i="8" a="1"/>
  <c r="R215" i="8" s="1"/>
  <c r="R73" i="8" a="1"/>
  <c r="R73" i="8" s="1"/>
  <c r="R119" i="8" a="1"/>
  <c r="R119" i="8" s="1"/>
  <c r="R141" i="8" a="1"/>
  <c r="R141" i="8" s="1"/>
  <c r="R171" i="8" a="1"/>
  <c r="R171" i="8" s="1"/>
  <c r="R211" i="8" a="1"/>
  <c r="R211" i="8" s="1"/>
  <c r="R243" i="8" a="1"/>
  <c r="R243" i="8" s="1"/>
  <c r="R238" i="8" a="1"/>
  <c r="R238" i="8" s="1"/>
  <c r="R53" i="8" a="1"/>
  <c r="R53" i="8" s="1"/>
  <c r="R248" i="8" a="1"/>
  <c r="R248" i="8" s="1"/>
  <c r="R165" i="8" a="1"/>
  <c r="R165" i="8" s="1"/>
  <c r="R130" i="8" a="1"/>
  <c r="R130" i="8" s="1"/>
  <c r="R1" i="8" a="1"/>
  <c r="R1" i="8" s="1"/>
  <c r="R41" i="8" a="1"/>
  <c r="R41" i="8" s="1"/>
  <c r="R58" i="8" a="1"/>
  <c r="R58" i="8" s="1"/>
  <c r="R89" i="8" a="1"/>
  <c r="R89" i="8" s="1"/>
  <c r="R124" i="8" a="1"/>
  <c r="R124" i="8" s="1"/>
  <c r="R149" i="8" a="1"/>
  <c r="R149" i="8" s="1"/>
  <c r="R184" i="8" a="1"/>
  <c r="R184" i="8" s="1"/>
  <c r="R195" i="8" a="1"/>
  <c r="R195" i="8" s="1"/>
  <c r="R210" i="8" a="1"/>
  <c r="R210" i="8" s="1"/>
  <c r="R98" i="8" a="1"/>
  <c r="R98" i="8" s="1"/>
  <c r="R19" i="8" a="1"/>
  <c r="R19" i="8" s="1"/>
  <c r="R76" i="8" a="1"/>
  <c r="R76" i="8" s="1"/>
  <c r="R183" i="8" a="1"/>
  <c r="R183" i="8" s="1"/>
  <c r="R40" i="8" a="1"/>
  <c r="R40" i="8" s="1"/>
  <c r="R12" i="8" a="1"/>
  <c r="R12" i="8" s="1"/>
  <c r="R30" i="8" a="1"/>
  <c r="R30" i="8" s="1"/>
  <c r="R34" i="8" a="1"/>
  <c r="R34" i="8" s="1"/>
  <c r="R67" i="8" a="1"/>
  <c r="R67" i="8" s="1"/>
  <c r="R112" i="8" a="1"/>
  <c r="R112" i="8" s="1"/>
  <c r="R134" i="8" a="1"/>
  <c r="R134" i="8" s="1"/>
  <c r="R236" i="8" a="1"/>
  <c r="R236" i="8" s="1"/>
  <c r="R110" i="8" a="1"/>
  <c r="R110" i="8" s="1"/>
  <c r="R168" i="8" a="1"/>
  <c r="R168" i="8" s="1"/>
  <c r="R180" i="8" a="1"/>
  <c r="R180" i="8" s="1"/>
  <c r="R28" i="8" a="1"/>
  <c r="R28" i="8" s="1"/>
  <c r="R136" i="8" a="1"/>
  <c r="R136" i="8" s="1"/>
  <c r="R197" i="8" a="1"/>
  <c r="R197" i="8" s="1"/>
  <c r="R166" i="8" a="1"/>
  <c r="R166" i="8" s="1"/>
  <c r="R80" i="8" a="1"/>
  <c r="R80" i="8" s="1"/>
  <c r="R120" i="8" a="1"/>
  <c r="R120" i="8" s="1"/>
  <c r="R146" i="8" a="1"/>
  <c r="R146" i="8" s="1"/>
  <c r="R173" i="8" a="1"/>
  <c r="R173" i="8" s="1"/>
  <c r="R216" i="8" a="1"/>
  <c r="R216" i="8" s="1"/>
  <c r="R245" i="8" a="1"/>
  <c r="R245" i="8" s="1"/>
  <c r="J260" i="8"/>
  <c r="A260" i="8"/>
  <c r="A253" i="8"/>
  <c r="J253" i="8"/>
  <c r="A252" i="8"/>
  <c r="J252" i="8"/>
  <c r="J251" i="8"/>
  <c r="A251" i="8"/>
  <c r="T43" i="8" a="1"/>
  <c r="T31" i="8" a="1"/>
  <c r="T32" i="8" a="1"/>
  <c r="T46" i="8" a="1"/>
  <c r="T39" i="8" a="1"/>
  <c r="T36" i="8" a="1"/>
  <c r="T45" i="8" a="1"/>
  <c r="T40" i="8" a="1"/>
  <c r="T48" i="8" a="1"/>
  <c r="T30" i="8" a="1"/>
  <c r="T47" i="8" a="1"/>
  <c r="T33" i="8" a="1"/>
  <c r="T37" i="8" a="1"/>
  <c r="T44" i="8" a="1"/>
  <c r="T35" i="8" a="1"/>
  <c r="T34" i="8" a="1"/>
  <c r="T38" i="8" a="1"/>
  <c r="T42" i="8" a="1"/>
  <c r="T41" i="8" a="1"/>
  <c r="T2" i="8" a="1"/>
  <c r="T3" i="8" a="1"/>
  <c r="T1" i="8" a="1"/>
  <c r="T6" i="8" a="1"/>
  <c r="T5" i="8" a="1"/>
  <c r="T4" i="8" a="1"/>
  <c r="T20" i="8" a="1"/>
  <c r="T27" i="8" a="1"/>
  <c r="T9" i="8" a="1"/>
  <c r="T17" i="8" a="1"/>
  <c r="T10" i="8" a="1"/>
  <c r="T15" i="8" a="1"/>
  <c r="T26" i="8" a="1"/>
  <c r="T8" i="8" a="1"/>
  <c r="T22" i="8" a="1"/>
  <c r="T23" i="8" a="1"/>
  <c r="T12" i="8" a="1"/>
  <c r="T29" i="8" a="1"/>
  <c r="T19" i="8" a="1"/>
  <c r="T7" i="8" a="1"/>
  <c r="T14" i="8" a="1"/>
  <c r="T18" i="8" a="1"/>
  <c r="T24" i="8" a="1"/>
  <c r="T11" i="8" a="1"/>
  <c r="T28" i="8" a="1"/>
  <c r="T21" i="8" a="1"/>
  <c r="T13" i="8" a="1"/>
  <c r="T25" i="8" a="1"/>
  <c r="T16" i="8" a="1"/>
  <c r="AB2" i="8" a="1"/>
  <c r="T43" i="8" l="1"/>
  <c r="T41" i="8"/>
  <c r="T42" i="8"/>
  <c r="T38" i="8"/>
  <c r="U38" i="8" s="1"/>
  <c r="T34" i="8"/>
  <c r="T35" i="8"/>
  <c r="T44" i="8"/>
  <c r="T37" i="8"/>
  <c r="U37" i="8" s="1"/>
  <c r="T33" i="8"/>
  <c r="T47" i="8"/>
  <c r="T30" i="8"/>
  <c r="T48" i="8"/>
  <c r="T40" i="8"/>
  <c r="U40" i="8" s="1"/>
  <c r="T45" i="8"/>
  <c r="T36" i="8"/>
  <c r="T39" i="8"/>
  <c r="U39" i="8" s="1"/>
  <c r="T46" i="8"/>
  <c r="T32" i="8"/>
  <c r="T31" i="8"/>
  <c r="T4" i="8"/>
  <c r="T5" i="8"/>
  <c r="T6" i="8"/>
  <c r="T1" i="8"/>
  <c r="T3" i="8"/>
  <c r="T2" i="8"/>
  <c r="T16" i="8"/>
  <c r="T25" i="8"/>
  <c r="T13" i="8"/>
  <c r="T21" i="8"/>
  <c r="T28" i="8"/>
  <c r="T11" i="8"/>
  <c r="T24" i="8"/>
  <c r="T18" i="8"/>
  <c r="T14" i="8"/>
  <c r="T7" i="8"/>
  <c r="T19" i="8"/>
  <c r="T29" i="8"/>
  <c r="T12" i="8"/>
  <c r="T23" i="8"/>
  <c r="T22" i="8"/>
  <c r="T8" i="8"/>
  <c r="T26" i="8"/>
  <c r="T15" i="8"/>
  <c r="T10" i="8"/>
  <c r="T17" i="8"/>
  <c r="T9" i="8"/>
  <c r="T27" i="8"/>
  <c r="T20" i="8"/>
  <c r="AB2" i="8"/>
  <c r="X88" i="8" a="1"/>
  <c r="X88" i="8" s="1"/>
  <c r="AU88" i="8"/>
  <c r="W65" i="8" a="1"/>
  <c r="W65" i="8" s="1"/>
  <c r="AB65" i="8" a="1"/>
  <c r="AB65" i="8" s="1"/>
  <c r="X65" i="8" a="1"/>
  <c r="X65" i="8" s="1"/>
  <c r="V65" i="8" a="1"/>
  <c r="V65" i="8" s="1"/>
  <c r="S65" i="8" a="1"/>
  <c r="S65" i="8" s="1"/>
  <c r="AC65" i="8" s="1"/>
  <c r="T65" i="8" a="1"/>
  <c r="T65" i="8" s="1"/>
  <c r="U65" i="8" s="1"/>
  <c r="Y65" i="8" a="1"/>
  <c r="Y65" i="8" s="1"/>
  <c r="Z65" i="8"/>
  <c r="AU65" i="8"/>
  <c r="V206" i="8" a="1"/>
  <c r="V206" i="8" s="1"/>
  <c r="AB206" i="8" a="1"/>
  <c r="AB206" i="8" s="1"/>
  <c r="T206" i="8" a="1"/>
  <c r="T206" i="8" s="1"/>
  <c r="U206" i="8" s="1"/>
  <c r="W206" i="8" a="1"/>
  <c r="W206" i="8" s="1"/>
  <c r="X206" i="8" a="1"/>
  <c r="X206" i="8" s="1"/>
  <c r="Y206" i="8" a="1"/>
  <c r="Y206" i="8" s="1"/>
  <c r="AU206" i="8"/>
  <c r="Z206" i="8"/>
  <c r="S206" i="8" a="1"/>
  <c r="S206" i="8" s="1"/>
  <c r="AC206" i="8" s="1"/>
  <c r="X245" i="8" a="1"/>
  <c r="X245" i="8" s="1"/>
  <c r="AU245" i="8"/>
  <c r="AU67" i="8"/>
  <c r="X67" i="8" a="1"/>
  <c r="X67" i="8" s="1"/>
  <c r="T98" i="8" a="1"/>
  <c r="T98" i="8" s="1"/>
  <c r="U98" i="8" s="1"/>
  <c r="AB98" i="8" a="1"/>
  <c r="AB98" i="8" s="1"/>
  <c r="AU98" i="8"/>
  <c r="Y98" i="8" a="1"/>
  <c r="Y98" i="8" s="1"/>
  <c r="X98" i="8" a="1"/>
  <c r="X98" i="8" s="1"/>
  <c r="V98" i="8" a="1"/>
  <c r="V98" i="8" s="1"/>
  <c r="S98" i="8" a="1"/>
  <c r="S98" i="8" s="1"/>
  <c r="AC98" i="8" s="1"/>
  <c r="W98" i="8" a="1"/>
  <c r="W98" i="8" s="1"/>
  <c r="Z98" i="8"/>
  <c r="X211" i="8" a="1"/>
  <c r="X211" i="8" s="1"/>
  <c r="AU211" i="8"/>
  <c r="S109" i="8" a="1"/>
  <c r="S109" i="8" s="1"/>
  <c r="AC109" i="8" s="1"/>
  <c r="T109" i="8" a="1"/>
  <c r="T109" i="8" s="1"/>
  <c r="U109" i="8" s="1"/>
  <c r="Y109" i="8" a="1"/>
  <c r="Y109" i="8" s="1"/>
  <c r="Z109" i="8"/>
  <c r="AB109" i="8" a="1"/>
  <c r="AB109" i="8" s="1"/>
  <c r="W109" i="8" a="1"/>
  <c r="W109" i="8" s="1"/>
  <c r="AU109" i="8"/>
  <c r="X109" i="8" a="1"/>
  <c r="X109" i="8" s="1"/>
  <c r="V109" i="8" a="1"/>
  <c r="V109" i="8" s="1"/>
  <c r="X247" i="8" a="1"/>
  <c r="X247" i="8" s="1"/>
  <c r="AU247" i="8"/>
  <c r="T106" i="8" a="1"/>
  <c r="T106" i="8" s="1"/>
  <c r="U106" i="8" s="1"/>
  <c r="Z106" i="8"/>
  <c r="AB106" i="8" a="1"/>
  <c r="AB106" i="8" s="1"/>
  <c r="X106" i="8" a="1"/>
  <c r="X106" i="8" s="1"/>
  <c r="AU106" i="8"/>
  <c r="Y106" i="8" a="1"/>
  <c r="Y106" i="8" s="1"/>
  <c r="V106" i="8" a="1"/>
  <c r="V106" i="8" s="1"/>
  <c r="S106" i="8" a="1"/>
  <c r="S106" i="8" s="1"/>
  <c r="AC106" i="8" s="1"/>
  <c r="W106" i="8" a="1"/>
  <c r="W106" i="8" s="1"/>
  <c r="X198" i="8" a="1"/>
  <c r="X198" i="8" s="1"/>
  <c r="AU198" i="8"/>
  <c r="AU252" i="8"/>
  <c r="V252" i="8" a="1"/>
  <c r="V252" i="8" s="1"/>
  <c r="W252" i="8" a="1"/>
  <c r="W252" i="8" s="1"/>
  <c r="Y252" i="8" a="1"/>
  <c r="Y252" i="8" s="1"/>
  <c r="AB252" i="8" a="1"/>
  <c r="AB252" i="8" s="1"/>
  <c r="Z252" i="8"/>
  <c r="S252" i="8" a="1"/>
  <c r="S252" i="8" s="1"/>
  <c r="AC252" i="8" s="1"/>
  <c r="X252" i="8" a="1"/>
  <c r="X252" i="8" s="1"/>
  <c r="T252" i="8" a="1"/>
  <c r="T252" i="8" s="1"/>
  <c r="U252" i="8" s="1"/>
  <c r="AU59" i="8"/>
  <c r="X59" i="8" a="1"/>
  <c r="X59" i="8" s="1"/>
  <c r="AB170" i="8" a="1"/>
  <c r="AB170" i="8" s="1"/>
  <c r="Y170" i="8" a="1"/>
  <c r="Y170" i="8" s="1"/>
  <c r="V170" i="8" a="1"/>
  <c r="V170" i="8" s="1"/>
  <c r="Z170" i="8"/>
  <c r="S170" i="8" a="1"/>
  <c r="S170" i="8" s="1"/>
  <c r="AC170" i="8" s="1"/>
  <c r="AU170" i="8"/>
  <c r="W170" i="8" a="1"/>
  <c r="W170" i="8" s="1"/>
  <c r="X170" i="8" a="1"/>
  <c r="X170" i="8" s="1"/>
  <c r="T170" i="8" a="1"/>
  <c r="T170" i="8" s="1"/>
  <c r="U170" i="8" s="1"/>
  <c r="AU60" i="8"/>
  <c r="S60" i="8" a="1"/>
  <c r="S60" i="8" s="1"/>
  <c r="AC60" i="8" s="1"/>
  <c r="Z60" i="8"/>
  <c r="W60" i="8" a="1"/>
  <c r="W60" i="8" s="1"/>
  <c r="Y60" i="8" a="1"/>
  <c r="Y60" i="8" s="1"/>
  <c r="X60" i="8" a="1"/>
  <c r="X60" i="8" s="1"/>
  <c r="T60" i="8" a="1"/>
  <c r="T60" i="8" s="1"/>
  <c r="U60" i="8" s="1"/>
  <c r="V60" i="8" a="1"/>
  <c r="V60" i="8" s="1"/>
  <c r="AB60" i="8" a="1"/>
  <c r="AB60" i="8" s="1"/>
  <c r="W172" i="8" a="1"/>
  <c r="W172" i="8" s="1"/>
  <c r="AB172" i="8" a="1"/>
  <c r="AB172" i="8" s="1"/>
  <c r="Y172" i="8" a="1"/>
  <c r="Y172" i="8" s="1"/>
  <c r="S172" i="8" a="1"/>
  <c r="S172" i="8" s="1"/>
  <c r="AC172" i="8" s="1"/>
  <c r="T172" i="8" a="1"/>
  <c r="T172" i="8" s="1"/>
  <c r="U172" i="8" s="1"/>
  <c r="X172" i="8" a="1"/>
  <c r="X172" i="8" s="1"/>
  <c r="Z172" i="8"/>
  <c r="V172" i="8" a="1"/>
  <c r="V172" i="8" s="1"/>
  <c r="AU172" i="8"/>
  <c r="Y62" i="8" a="1"/>
  <c r="Y62" i="8" s="1"/>
  <c r="X62" i="8" a="1"/>
  <c r="X62" i="8" s="1"/>
  <c r="T62" i="8" a="1"/>
  <c r="T62" i="8" s="1"/>
  <c r="U62" i="8" s="1"/>
  <c r="V62" i="8" a="1"/>
  <c r="V62" i="8" s="1"/>
  <c r="AB62" i="8" a="1"/>
  <c r="AB62" i="8" s="1"/>
  <c r="AU62" i="8"/>
  <c r="S62" i="8" a="1"/>
  <c r="S62" i="8" s="1"/>
  <c r="AC62" i="8" s="1"/>
  <c r="Z62" i="8"/>
  <c r="W62" i="8" a="1"/>
  <c r="W62" i="8" s="1"/>
  <c r="AA62" i="8" s="1"/>
  <c r="Z151" i="8"/>
  <c r="T151" i="8" a="1"/>
  <c r="T151" i="8" s="1"/>
  <c r="U151" i="8" s="1"/>
  <c r="AB151" i="8" a="1"/>
  <c r="AB151" i="8" s="1"/>
  <c r="V151" i="8" a="1"/>
  <c r="V151" i="8" s="1"/>
  <c r="S151" i="8" a="1"/>
  <c r="S151" i="8" s="1"/>
  <c r="AC151" i="8" s="1"/>
  <c r="AU151" i="8"/>
  <c r="W151" i="8" a="1"/>
  <c r="W151" i="8" s="1"/>
  <c r="Y151" i="8" a="1"/>
  <c r="Y151" i="8" s="1"/>
  <c r="X151" i="8" a="1"/>
  <c r="X151" i="8" s="1"/>
  <c r="S99" i="8" a="1"/>
  <c r="S99" i="8" s="1"/>
  <c r="AC99" i="8" s="1"/>
  <c r="AB99" i="8" a="1"/>
  <c r="AB99" i="8" s="1"/>
  <c r="T99" i="8" a="1"/>
  <c r="T99" i="8" s="1"/>
  <c r="U99" i="8" s="1"/>
  <c r="X99" i="8" a="1"/>
  <c r="X99" i="8" s="1"/>
  <c r="W99" i="8" a="1"/>
  <c r="W99" i="8" s="1"/>
  <c r="V99" i="8" a="1"/>
  <c r="V99" i="8" s="1"/>
  <c r="Y99" i="8" a="1"/>
  <c r="Y99" i="8" s="1"/>
  <c r="AU99" i="8"/>
  <c r="Z99" i="8"/>
  <c r="T167" i="8" a="1"/>
  <c r="T167" i="8" s="1"/>
  <c r="U167" i="8" s="1"/>
  <c r="Z167" i="8"/>
  <c r="V167" i="8" a="1"/>
  <c r="V167" i="8" s="1"/>
  <c r="Y167" i="8" a="1"/>
  <c r="Y167" i="8" s="1"/>
  <c r="AU167" i="8"/>
  <c r="W167" i="8" a="1"/>
  <c r="W167" i="8" s="1"/>
  <c r="AB167" i="8" a="1"/>
  <c r="AB167" i="8" s="1"/>
  <c r="S167" i="8" a="1"/>
  <c r="S167" i="8" s="1"/>
  <c r="AC167" i="8" s="1"/>
  <c r="X167" i="8" a="1"/>
  <c r="X167" i="8" s="1"/>
  <c r="T253" i="8" a="1"/>
  <c r="T253" i="8" s="1"/>
  <c r="U253" i="8" s="1"/>
  <c r="W253" i="8" a="1"/>
  <c r="W253" i="8" s="1"/>
  <c r="V253" i="8" a="1"/>
  <c r="V253" i="8" s="1"/>
  <c r="Y253" i="8" a="1"/>
  <c r="Y253" i="8" s="1"/>
  <c r="X253" i="8" a="1"/>
  <c r="X253" i="8" s="1"/>
  <c r="Z253" i="8"/>
  <c r="AU253" i="8"/>
  <c r="AB253" i="8" a="1"/>
  <c r="AB253" i="8" s="1"/>
  <c r="S253" i="8" a="1"/>
  <c r="S253" i="8" s="1"/>
  <c r="AC253" i="8" s="1"/>
  <c r="V104" i="8" a="1"/>
  <c r="V104" i="8" s="1"/>
  <c r="W104" i="8" a="1"/>
  <c r="W104" i="8" s="1"/>
  <c r="X104" i="8" a="1"/>
  <c r="X104" i="8" s="1"/>
  <c r="Z104" i="8"/>
  <c r="Y104" i="8" a="1"/>
  <c r="Y104" i="8" s="1"/>
  <c r="AB104" i="8" a="1"/>
  <c r="AB104" i="8" s="1"/>
  <c r="T104" i="8" a="1"/>
  <c r="T104" i="8" s="1"/>
  <c r="U104" i="8" s="1"/>
  <c r="S104" i="8" a="1"/>
  <c r="S104" i="8" s="1"/>
  <c r="AC104" i="8" s="1"/>
  <c r="AU104" i="8"/>
  <c r="Y143" i="8" a="1"/>
  <c r="Y143" i="8" s="1"/>
  <c r="AB143" i="8" a="1"/>
  <c r="AB143" i="8" s="1"/>
  <c r="X143" i="8" a="1"/>
  <c r="X143" i="8" s="1"/>
  <c r="W143" i="8" a="1"/>
  <c r="W143" i="8" s="1"/>
  <c r="T143" i="8" a="1"/>
  <c r="T143" i="8" s="1"/>
  <c r="U143" i="8" s="1"/>
  <c r="Z143" i="8"/>
  <c r="S143" i="8" a="1"/>
  <c r="S143" i="8" s="1"/>
  <c r="AC143" i="8" s="1"/>
  <c r="AU143" i="8"/>
  <c r="V143" i="8" a="1"/>
  <c r="V143" i="8" s="1"/>
  <c r="AU152" i="8"/>
  <c r="T152" i="8" a="1"/>
  <c r="T152" i="8" s="1"/>
  <c r="U152" i="8" s="1"/>
  <c r="AB152" i="8" a="1"/>
  <c r="AB152" i="8" s="1"/>
  <c r="V152" i="8" a="1"/>
  <c r="V152" i="8" s="1"/>
  <c r="S152" i="8" a="1"/>
  <c r="S152" i="8" s="1"/>
  <c r="AC152" i="8" s="1"/>
  <c r="W152" i="8" a="1"/>
  <c r="W152" i="8" s="1"/>
  <c r="X152" i="8" a="1"/>
  <c r="X152" i="8" s="1"/>
  <c r="Z152" i="8"/>
  <c r="Y152" i="8" a="1"/>
  <c r="Y152" i="8" s="1"/>
  <c r="T105" i="8" a="1"/>
  <c r="T105" i="8" s="1"/>
  <c r="U105" i="8" s="1"/>
  <c r="AU105" i="8"/>
  <c r="X105" i="8" a="1"/>
  <c r="X105" i="8" s="1"/>
  <c r="AB105" i="8" a="1"/>
  <c r="AB105" i="8" s="1"/>
  <c r="W105" i="8" a="1"/>
  <c r="W105" i="8" s="1"/>
  <c r="Z105" i="8"/>
  <c r="S105" i="8" a="1"/>
  <c r="S105" i="8" s="1"/>
  <c r="AC105" i="8" s="1"/>
  <c r="Y105" i="8" a="1"/>
  <c r="Y105" i="8" s="1"/>
  <c r="V105" i="8" a="1"/>
  <c r="V105" i="8" s="1"/>
  <c r="Y66" i="8" a="1"/>
  <c r="Y66" i="8" s="1"/>
  <c r="X66" i="8" a="1"/>
  <c r="X66" i="8" s="1"/>
  <c r="T66" i="8" a="1"/>
  <c r="T66" i="8" s="1"/>
  <c r="U66" i="8" s="1"/>
  <c r="W66" i="8" a="1"/>
  <c r="W66" i="8" s="1"/>
  <c r="V66" i="8" a="1"/>
  <c r="V66" i="8" s="1"/>
  <c r="AU66" i="8"/>
  <c r="AB66" i="8" a="1"/>
  <c r="AB66" i="8" s="1"/>
  <c r="S66" i="8" a="1"/>
  <c r="S66" i="8" s="1"/>
  <c r="AC66" i="8" s="1"/>
  <c r="Z66" i="8"/>
  <c r="Y81" i="8" a="1"/>
  <c r="Y81" i="8" s="1"/>
  <c r="Z81" i="8"/>
  <c r="S81" i="8" a="1"/>
  <c r="S81" i="8" s="1"/>
  <c r="AC81" i="8" s="1"/>
  <c r="AU81" i="8"/>
  <c r="V81" i="8" a="1"/>
  <c r="V81" i="8" s="1"/>
  <c r="AB81" i="8" a="1"/>
  <c r="AB81" i="8" s="1"/>
  <c r="X81" i="8" a="1"/>
  <c r="X81" i="8" s="1"/>
  <c r="W81" i="8" a="1"/>
  <c r="W81" i="8" s="1"/>
  <c r="T81" i="8" a="1"/>
  <c r="T81" i="8" s="1"/>
  <c r="U81" i="8" s="1"/>
  <c r="W177" i="8" a="1"/>
  <c r="W177" i="8" s="1"/>
  <c r="T177" i="8" a="1"/>
  <c r="T177" i="8" s="1"/>
  <c r="U177" i="8" s="1"/>
  <c r="V177" i="8" a="1"/>
  <c r="V177" i="8" s="1"/>
  <c r="Y177" i="8" a="1"/>
  <c r="Y177" i="8" s="1"/>
  <c r="S177" i="8" a="1"/>
  <c r="S177" i="8" s="1"/>
  <c r="AC177" i="8" s="1"/>
  <c r="Z177" i="8"/>
  <c r="AB177" i="8" a="1"/>
  <c r="AB177" i="8" s="1"/>
  <c r="AU177" i="8"/>
  <c r="X177" i="8" a="1"/>
  <c r="X177" i="8" s="1"/>
  <c r="V200" i="8" a="1"/>
  <c r="V200" i="8" s="1"/>
  <c r="AU200" i="8"/>
  <c r="W200" i="8" a="1"/>
  <c r="W200" i="8" s="1"/>
  <c r="T200" i="8" a="1"/>
  <c r="T200" i="8" s="1"/>
  <c r="U200" i="8" s="1"/>
  <c r="AB200" i="8" a="1"/>
  <c r="AB200" i="8" s="1"/>
  <c r="S200" i="8" a="1"/>
  <c r="S200" i="8" s="1"/>
  <c r="AC200" i="8" s="1"/>
  <c r="X200" i="8" a="1"/>
  <c r="X200" i="8" s="1"/>
  <c r="Y200" i="8" a="1"/>
  <c r="Y200" i="8" s="1"/>
  <c r="Z200" i="8"/>
  <c r="W52" i="8" a="1"/>
  <c r="W52" i="8" s="1"/>
  <c r="T52" i="8" a="1"/>
  <c r="T52" i="8" s="1"/>
  <c r="U52" i="8" s="1"/>
  <c r="Y52" i="8" a="1"/>
  <c r="Y52" i="8" s="1"/>
  <c r="X52" i="8" a="1"/>
  <c r="X52" i="8" s="1"/>
  <c r="Z52" i="8"/>
  <c r="V52" i="8" a="1"/>
  <c r="V52" i="8" s="1"/>
  <c r="AB52" i="8" a="1"/>
  <c r="AB52" i="8" s="1"/>
  <c r="AU52" i="8"/>
  <c r="S52" i="8" a="1"/>
  <c r="S52" i="8" s="1"/>
  <c r="AC52" i="8" s="1"/>
  <c r="X58" i="8" a="1"/>
  <c r="X58" i="8" s="1"/>
  <c r="AU58" i="8"/>
  <c r="T68" i="8" a="1"/>
  <c r="T68" i="8" s="1"/>
  <c r="U68" i="8" s="1"/>
  <c r="V68" i="8" a="1"/>
  <c r="V68" i="8" s="1"/>
  <c r="AB68" i="8" a="1"/>
  <c r="AB68" i="8" s="1"/>
  <c r="AU68" i="8"/>
  <c r="S68" i="8" a="1"/>
  <c r="S68" i="8" s="1"/>
  <c r="AC68" i="8" s="1"/>
  <c r="Z68" i="8"/>
  <c r="W68" i="8" a="1"/>
  <c r="W68" i="8" s="1"/>
  <c r="Y68" i="8" a="1"/>
  <c r="Y68" i="8" s="1"/>
  <c r="X68" i="8" a="1"/>
  <c r="X68" i="8" s="1"/>
  <c r="AU100" i="8"/>
  <c r="X100" i="8" a="1"/>
  <c r="X100" i="8" s="1"/>
  <c r="Y160" i="8" a="1"/>
  <c r="Y160" i="8" s="1"/>
  <c r="S160" i="8" a="1"/>
  <c r="S160" i="8" s="1"/>
  <c r="AC160" i="8" s="1"/>
  <c r="AU160" i="8"/>
  <c r="Z160" i="8"/>
  <c r="T160" i="8" a="1"/>
  <c r="T160" i="8" s="1"/>
  <c r="U160" i="8" s="1"/>
  <c r="W160" i="8" a="1"/>
  <c r="W160" i="8" s="1"/>
  <c r="X160" i="8" a="1"/>
  <c r="X160" i="8" s="1"/>
  <c r="V160" i="8" a="1"/>
  <c r="V160" i="8" s="1"/>
  <c r="AB160" i="8" a="1"/>
  <c r="AB160" i="8" s="1"/>
  <c r="V174" i="8" a="1"/>
  <c r="V174" i="8" s="1"/>
  <c r="AU174" i="8"/>
  <c r="S174" i="8" a="1"/>
  <c r="S174" i="8" s="1"/>
  <c r="AC174" i="8" s="1"/>
  <c r="W174" i="8" a="1"/>
  <c r="W174" i="8" s="1"/>
  <c r="Y174" i="8" a="1"/>
  <c r="Y174" i="8" s="1"/>
  <c r="X174" i="8" a="1"/>
  <c r="X174" i="8" s="1"/>
  <c r="Z174" i="8"/>
  <c r="AB174" i="8" a="1"/>
  <c r="AB174" i="8" s="1"/>
  <c r="T174" i="8" a="1"/>
  <c r="T174" i="8" s="1"/>
  <c r="U174" i="8" s="1"/>
  <c r="S136" i="8" a="1"/>
  <c r="S136" i="8" s="1"/>
  <c r="AC136" i="8" s="1"/>
  <c r="W136" i="8" a="1"/>
  <c r="W136" i="8" s="1"/>
  <c r="X136" i="8" a="1"/>
  <c r="X136" i="8" s="1"/>
  <c r="AB136" i="8" a="1"/>
  <c r="AB136" i="8" s="1"/>
  <c r="V136" i="8" a="1"/>
  <c r="V136" i="8" s="1"/>
  <c r="Z136" i="8"/>
  <c r="AU136" i="8"/>
  <c r="Y136" i="8" a="1"/>
  <c r="Y136" i="8" s="1"/>
  <c r="T136" i="8" a="1"/>
  <c r="T136" i="8" s="1"/>
  <c r="U136" i="8" s="1"/>
  <c r="X216" i="8" a="1"/>
  <c r="X216" i="8" s="1"/>
  <c r="AU216" i="8"/>
  <c r="AB210" i="8" a="1"/>
  <c r="AB210" i="8" s="1"/>
  <c r="X210" i="8" a="1"/>
  <c r="X210" i="8" s="1"/>
  <c r="V210" i="8" a="1"/>
  <c r="V210" i="8" s="1"/>
  <c r="W210" i="8" a="1"/>
  <c r="W210" i="8" s="1"/>
  <c r="AU210" i="8"/>
  <c r="Y210" i="8" a="1"/>
  <c r="Y210" i="8" s="1"/>
  <c r="Z210" i="8"/>
  <c r="S210" i="8" a="1"/>
  <c r="S210" i="8" s="1"/>
  <c r="AC210" i="8" s="1"/>
  <c r="T210" i="8" a="1"/>
  <c r="T210" i="8" s="1"/>
  <c r="U210" i="8" s="1"/>
  <c r="X171" i="8" a="1"/>
  <c r="X171" i="8" s="1"/>
  <c r="AU171" i="8"/>
  <c r="T186" i="8" a="1"/>
  <c r="T186" i="8" s="1"/>
  <c r="U186" i="8" s="1"/>
  <c r="S186" i="8" a="1"/>
  <c r="S186" i="8" s="1"/>
  <c r="AC186" i="8" s="1"/>
  <c r="AB186" i="8" a="1"/>
  <c r="AB186" i="8" s="1"/>
  <c r="Z186" i="8"/>
  <c r="Y186" i="8" a="1"/>
  <c r="Y186" i="8" s="1"/>
  <c r="AU186" i="8"/>
  <c r="W186" i="8" a="1"/>
  <c r="W186" i="8" s="1"/>
  <c r="X186" i="8" a="1"/>
  <c r="X186" i="8" s="1"/>
  <c r="V186" i="8" a="1"/>
  <c r="V186" i="8" s="1"/>
  <c r="AU227" i="8"/>
  <c r="X227" i="8" a="1"/>
  <c r="X227" i="8" s="1"/>
  <c r="AU214" i="8"/>
  <c r="T214" i="8" a="1"/>
  <c r="T214" i="8" s="1"/>
  <c r="U214" i="8" s="1"/>
  <c r="S214" i="8" a="1"/>
  <c r="S214" i="8" s="1"/>
  <c r="AC214" i="8" s="1"/>
  <c r="AB214" i="8" a="1"/>
  <c r="AB214" i="8" s="1"/>
  <c r="Y214" i="8" a="1"/>
  <c r="Y214" i="8" s="1"/>
  <c r="V214" i="8" a="1"/>
  <c r="V214" i="8" s="1"/>
  <c r="Z214" i="8"/>
  <c r="W214" i="8" a="1"/>
  <c r="W214" i="8" s="1"/>
  <c r="X214" i="8" a="1"/>
  <c r="X214" i="8" s="1"/>
  <c r="X169" i="8" a="1"/>
  <c r="X169" i="8" s="1"/>
  <c r="AU169" i="8"/>
  <c r="X222" i="8" a="1"/>
  <c r="X222" i="8" s="1"/>
  <c r="AU222" i="8"/>
  <c r="AU44" i="8"/>
  <c r="T95" i="8" a="1"/>
  <c r="T95" i="8" s="1"/>
  <c r="U95" i="8" s="1"/>
  <c r="Y95" i="8" a="1"/>
  <c r="Y95" i="8" s="1"/>
  <c r="V95" i="8" a="1"/>
  <c r="V95" i="8" s="1"/>
  <c r="AB95" i="8" a="1"/>
  <c r="AB95" i="8" s="1"/>
  <c r="S95" i="8" a="1"/>
  <c r="S95" i="8" s="1"/>
  <c r="AC95" i="8" s="1"/>
  <c r="AU95" i="8"/>
  <c r="Z95" i="8"/>
  <c r="X95" i="8" a="1"/>
  <c r="X95" i="8" s="1"/>
  <c r="W95" i="8" a="1"/>
  <c r="W95" i="8" s="1"/>
  <c r="X154" i="8" a="1"/>
  <c r="X154" i="8" s="1"/>
  <c r="AU154" i="8"/>
  <c r="Y154" i="8" a="1"/>
  <c r="Y154" i="8" s="1"/>
  <c r="W154" i="8" a="1"/>
  <c r="W154" i="8" s="1"/>
  <c r="S154" i="8" a="1"/>
  <c r="S154" i="8" s="1"/>
  <c r="AC154" i="8" s="1"/>
  <c r="T154" i="8" a="1"/>
  <c r="T154" i="8" s="1"/>
  <c r="U154" i="8" s="1"/>
  <c r="AB154" i="8" a="1"/>
  <c r="AB154" i="8" s="1"/>
  <c r="Z154" i="8"/>
  <c r="V154" i="8" a="1"/>
  <c r="V154" i="8" s="1"/>
  <c r="AU235" i="8"/>
  <c r="T235" i="8" a="1"/>
  <c r="T235" i="8" s="1"/>
  <c r="U235" i="8" s="1"/>
  <c r="W235" i="8" a="1"/>
  <c r="W235" i="8" s="1"/>
  <c r="V235" i="8" a="1"/>
  <c r="V235" i="8" s="1"/>
  <c r="S235" i="8" a="1"/>
  <c r="S235" i="8" s="1"/>
  <c r="AC235" i="8" s="1"/>
  <c r="AB235" i="8" a="1"/>
  <c r="AB235" i="8" s="1"/>
  <c r="Y235" i="8" a="1"/>
  <c r="Y235" i="8" s="1"/>
  <c r="Z235" i="8"/>
  <c r="X235" i="8" a="1"/>
  <c r="X235" i="8" s="1"/>
  <c r="Z179" i="8"/>
  <c r="S179" i="8" a="1"/>
  <c r="S179" i="8" s="1"/>
  <c r="AC179" i="8" s="1"/>
  <c r="AB179" i="8" a="1"/>
  <c r="AB179" i="8" s="1"/>
  <c r="Y179" i="8" a="1"/>
  <c r="Y179" i="8" s="1"/>
  <c r="AU179" i="8"/>
  <c r="V179" i="8" a="1"/>
  <c r="V179" i="8" s="1"/>
  <c r="X179" i="8" a="1"/>
  <c r="X179" i="8" s="1"/>
  <c r="T179" i="8" a="1"/>
  <c r="T179" i="8" s="1"/>
  <c r="U179" i="8" s="1"/>
  <c r="W179" i="8" a="1"/>
  <c r="W179" i="8" s="1"/>
  <c r="V94" i="8" a="1"/>
  <c r="V94" i="8" s="1"/>
  <c r="Z94" i="8"/>
  <c r="AU94" i="8"/>
  <c r="Y94" i="8" a="1"/>
  <c r="Y94" i="8" s="1"/>
  <c r="W94" i="8" a="1"/>
  <c r="W94" i="8" s="1"/>
  <c r="S94" i="8" a="1"/>
  <c r="S94" i="8" s="1"/>
  <c r="AC94" i="8" s="1"/>
  <c r="AB94" i="8" a="1"/>
  <c r="AB94" i="8" s="1"/>
  <c r="T94" i="8" a="1"/>
  <c r="T94" i="8" s="1"/>
  <c r="U94" i="8" s="1"/>
  <c r="X94" i="8" a="1"/>
  <c r="X94" i="8" s="1"/>
  <c r="S145" i="8" a="1"/>
  <c r="S145" i="8" s="1"/>
  <c r="AC145" i="8" s="1"/>
  <c r="W145" i="8" a="1"/>
  <c r="W145" i="8" s="1"/>
  <c r="Y145" i="8" a="1"/>
  <c r="Y145" i="8" s="1"/>
  <c r="Z145" i="8"/>
  <c r="AU145" i="8"/>
  <c r="V145" i="8" a="1"/>
  <c r="V145" i="8" s="1"/>
  <c r="AB145" i="8" a="1"/>
  <c r="AB145" i="8" s="1"/>
  <c r="T145" i="8" a="1"/>
  <c r="T145" i="8" s="1"/>
  <c r="U145" i="8" s="1"/>
  <c r="X145" i="8" a="1"/>
  <c r="X145" i="8" s="1"/>
  <c r="T156" i="8" a="1"/>
  <c r="T156" i="8" s="1"/>
  <c r="U156" i="8" s="1"/>
  <c r="X156" i="8" a="1"/>
  <c r="X156" i="8" s="1"/>
  <c r="W156" i="8" a="1"/>
  <c r="W156" i="8" s="1"/>
  <c r="V156" i="8" a="1"/>
  <c r="V156" i="8" s="1"/>
  <c r="Y156" i="8" a="1"/>
  <c r="Y156" i="8" s="1"/>
  <c r="AU156" i="8"/>
  <c r="AB156" i="8" a="1"/>
  <c r="AB156" i="8" s="1"/>
  <c r="S156" i="8" a="1"/>
  <c r="S156" i="8" s="1"/>
  <c r="AC156" i="8" s="1"/>
  <c r="Z156" i="8"/>
  <c r="AU54" i="8"/>
  <c r="Y54" i="8" a="1"/>
  <c r="Y54" i="8" s="1"/>
  <c r="X54" i="8" a="1"/>
  <c r="X54" i="8" s="1"/>
  <c r="Z54" i="8"/>
  <c r="AB54" i="8" a="1"/>
  <c r="AB54" i="8" s="1"/>
  <c r="S54" i="8" a="1"/>
  <c r="S54" i="8" s="1"/>
  <c r="AC54" i="8" s="1"/>
  <c r="T54" i="8" a="1"/>
  <c r="T54" i="8" s="1"/>
  <c r="U54" i="8" s="1"/>
  <c r="V54" i="8" a="1"/>
  <c r="V54" i="8" s="1"/>
  <c r="W54" i="8" a="1"/>
  <c r="W54" i="8" s="1"/>
  <c r="W190" i="8" a="1"/>
  <c r="W190" i="8" s="1"/>
  <c r="AU190" i="8"/>
  <c r="S190" i="8" a="1"/>
  <c r="S190" i="8" s="1"/>
  <c r="AC190" i="8" s="1"/>
  <c r="Y190" i="8" a="1"/>
  <c r="Y190" i="8" s="1"/>
  <c r="X190" i="8" a="1"/>
  <c r="X190" i="8" s="1"/>
  <c r="V190" i="8" a="1"/>
  <c r="V190" i="8" s="1"/>
  <c r="AB190" i="8" a="1"/>
  <c r="AB190" i="8" s="1"/>
  <c r="T190" i="8" a="1"/>
  <c r="T190" i="8" s="1"/>
  <c r="U190" i="8" s="1"/>
  <c r="Z190" i="8"/>
  <c r="S97" i="8" a="1"/>
  <c r="S97" i="8" s="1"/>
  <c r="AC97" i="8" s="1"/>
  <c r="Y97" i="8" a="1"/>
  <c r="Y97" i="8" s="1"/>
  <c r="V97" i="8" a="1"/>
  <c r="V97" i="8" s="1"/>
  <c r="Z97" i="8"/>
  <c r="T97" i="8" a="1"/>
  <c r="T97" i="8" s="1"/>
  <c r="U97" i="8" s="1"/>
  <c r="W97" i="8" a="1"/>
  <c r="W97" i="8" s="1"/>
  <c r="AU97" i="8"/>
  <c r="AB97" i="8" a="1"/>
  <c r="AB97" i="8" s="1"/>
  <c r="X97" i="8" a="1"/>
  <c r="X97" i="8" s="1"/>
  <c r="V101" i="8" a="1"/>
  <c r="V101" i="8" s="1"/>
  <c r="Z101" i="8"/>
  <c r="T101" i="8" a="1"/>
  <c r="T101" i="8" s="1"/>
  <c r="U101" i="8" s="1"/>
  <c r="W101" i="8" a="1"/>
  <c r="W101" i="8" s="1"/>
  <c r="X101" i="8" a="1"/>
  <c r="X101" i="8" s="1"/>
  <c r="AU101" i="8"/>
  <c r="AB101" i="8" a="1"/>
  <c r="AB101" i="8" s="1"/>
  <c r="S101" i="8" a="1"/>
  <c r="S101" i="8" s="1"/>
  <c r="AC101" i="8" s="1"/>
  <c r="Y101" i="8" a="1"/>
  <c r="Y101" i="8" s="1"/>
  <c r="T115" i="8" a="1"/>
  <c r="T115" i="8" s="1"/>
  <c r="U115" i="8" s="1"/>
  <c r="V115" i="8" a="1"/>
  <c r="V115" i="8" s="1"/>
  <c r="Z115" i="8"/>
  <c r="Y115" i="8" a="1"/>
  <c r="Y115" i="8" s="1"/>
  <c r="AB115" i="8" a="1"/>
  <c r="AB115" i="8" s="1"/>
  <c r="X115" i="8" a="1"/>
  <c r="X115" i="8" s="1"/>
  <c r="AU115" i="8"/>
  <c r="S115" i="8" a="1"/>
  <c r="S115" i="8" s="1"/>
  <c r="AC115" i="8" s="1"/>
  <c r="W115" i="8" a="1"/>
  <c r="W115" i="8" s="1"/>
  <c r="S137" i="8" a="1"/>
  <c r="S137" i="8" s="1"/>
  <c r="AC137" i="8" s="1"/>
  <c r="AU137" i="8"/>
  <c r="W137" i="8" a="1"/>
  <c r="W137" i="8" s="1"/>
  <c r="V137" i="8" a="1"/>
  <c r="V137" i="8" s="1"/>
  <c r="Y137" i="8" a="1"/>
  <c r="Y137" i="8" s="1"/>
  <c r="X137" i="8" a="1"/>
  <c r="X137" i="8" s="1"/>
  <c r="Z137" i="8"/>
  <c r="AB137" i="8" a="1"/>
  <c r="AB137" i="8" s="1"/>
  <c r="T137" i="8" a="1"/>
  <c r="T137" i="8" s="1"/>
  <c r="U137" i="8" s="1"/>
  <c r="Y178" i="8" a="1"/>
  <c r="Y178" i="8" s="1"/>
  <c r="AB178" i="8" a="1"/>
  <c r="AB178" i="8" s="1"/>
  <c r="X178" i="8" a="1"/>
  <c r="X178" i="8" s="1"/>
  <c r="Z178" i="8"/>
  <c r="V178" i="8" a="1"/>
  <c r="V178" i="8" s="1"/>
  <c r="S178" i="8" a="1"/>
  <c r="S178" i="8" s="1"/>
  <c r="AC178" i="8" s="1"/>
  <c r="AU178" i="8"/>
  <c r="W178" i="8" a="1"/>
  <c r="W178" i="8" s="1"/>
  <c r="T178" i="8" a="1"/>
  <c r="T178" i="8" s="1"/>
  <c r="U178" i="8" s="1"/>
  <c r="X241" i="8" a="1"/>
  <c r="X241" i="8" s="1"/>
  <c r="AU241" i="8"/>
  <c r="V85" i="8" a="1"/>
  <c r="V85" i="8" s="1"/>
  <c r="X85" i="8" a="1"/>
  <c r="X85" i="8" s="1"/>
  <c r="W85" i="8" a="1"/>
  <c r="W85" i="8" s="1"/>
  <c r="S85" i="8" a="1"/>
  <c r="S85" i="8" s="1"/>
  <c r="AC85" i="8" s="1"/>
  <c r="Z85" i="8"/>
  <c r="Y85" i="8" a="1"/>
  <c r="Y85" i="8" s="1"/>
  <c r="AU85" i="8"/>
  <c r="AB85" i="8" a="1"/>
  <c r="AB85" i="8" s="1"/>
  <c r="T85" i="8" a="1"/>
  <c r="T85" i="8" s="1"/>
  <c r="U85" i="8" s="1"/>
  <c r="W49" i="8" a="1"/>
  <c r="W49" i="8" s="1"/>
  <c r="S49" i="8" a="1"/>
  <c r="S49" i="8" s="1"/>
  <c r="AC49" i="8" s="1"/>
  <c r="AU49" i="8"/>
  <c r="Y49" i="8" a="1"/>
  <c r="Y49" i="8" s="1"/>
  <c r="X49" i="8" a="1"/>
  <c r="X49" i="8" s="1"/>
  <c r="Z49" i="8"/>
  <c r="T49" i="8" a="1"/>
  <c r="T49" i="8" s="1"/>
  <c r="U49" i="8" s="1"/>
  <c r="AB49" i="8" a="1"/>
  <c r="AB49" i="8" s="1"/>
  <c r="AU173" i="8"/>
  <c r="X173" i="8" a="1"/>
  <c r="X173" i="8" s="1"/>
  <c r="Y180" i="8" a="1"/>
  <c r="Y180" i="8" s="1"/>
  <c r="S180" i="8" a="1"/>
  <c r="S180" i="8" s="1"/>
  <c r="AC180" i="8" s="1"/>
  <c r="AU180" i="8"/>
  <c r="T180" i="8" a="1"/>
  <c r="T180" i="8" s="1"/>
  <c r="U180" i="8" s="1"/>
  <c r="W180" i="8" a="1"/>
  <c r="W180" i="8" s="1"/>
  <c r="Z180" i="8"/>
  <c r="V180" i="8" a="1"/>
  <c r="V180" i="8" s="1"/>
  <c r="X180" i="8" a="1"/>
  <c r="X180" i="8" s="1"/>
  <c r="AB180" i="8" a="1"/>
  <c r="AB180" i="8" s="1"/>
  <c r="AU195" i="8"/>
  <c r="X195" i="8" a="1"/>
  <c r="X195" i="8" s="1"/>
  <c r="X130" i="8" a="1"/>
  <c r="X130" i="8" s="1"/>
  <c r="W130" i="8" a="1"/>
  <c r="W130" i="8" s="1"/>
  <c r="AB130" i="8" a="1"/>
  <c r="AB130" i="8" s="1"/>
  <c r="T130" i="8" a="1"/>
  <c r="T130" i="8" s="1"/>
  <c r="U130" i="8" s="1"/>
  <c r="AU130" i="8"/>
  <c r="Y130" i="8" a="1"/>
  <c r="Y130" i="8" s="1"/>
  <c r="Z130" i="8"/>
  <c r="S130" i="8" a="1"/>
  <c r="S130" i="8" s="1"/>
  <c r="AC130" i="8" s="1"/>
  <c r="V130" i="8" a="1"/>
  <c r="V130" i="8" s="1"/>
  <c r="X141" i="8" a="1"/>
  <c r="X141" i="8" s="1"/>
  <c r="AU141" i="8"/>
  <c r="Z207" i="8"/>
  <c r="S207" i="8" a="1"/>
  <c r="S207" i="8" s="1"/>
  <c r="AC207" i="8" s="1"/>
  <c r="T207" i="8" a="1"/>
  <c r="T207" i="8" s="1"/>
  <c r="U207" i="8" s="1"/>
  <c r="AB207" i="8" a="1"/>
  <c r="AB207" i="8" s="1"/>
  <c r="X207" i="8" a="1"/>
  <c r="X207" i="8" s="1"/>
  <c r="Y207" i="8" a="1"/>
  <c r="Y207" i="8" s="1"/>
  <c r="AU207" i="8"/>
  <c r="V207" i="8" a="1"/>
  <c r="V207" i="8" s="1"/>
  <c r="W207" i="8" a="1"/>
  <c r="W207" i="8" s="1"/>
  <c r="AU246" i="8"/>
  <c r="X246" i="8" a="1"/>
  <c r="X246" i="8" s="1"/>
  <c r="Y118" i="8" a="1"/>
  <c r="Y118" i="8" s="1"/>
  <c r="S118" i="8" a="1"/>
  <c r="S118" i="8" s="1"/>
  <c r="AC118" i="8" s="1"/>
  <c r="AB118" i="8" a="1"/>
  <c r="AB118" i="8" s="1"/>
  <c r="Z118" i="8"/>
  <c r="AU118" i="8"/>
  <c r="T118" i="8" a="1"/>
  <c r="T118" i="8" s="1"/>
  <c r="U118" i="8" s="1"/>
  <c r="V118" i="8" a="1"/>
  <c r="V118" i="8" s="1"/>
  <c r="W118" i="8" a="1"/>
  <c r="W118" i="8" s="1"/>
  <c r="X118" i="8" a="1"/>
  <c r="X118" i="8" s="1"/>
  <c r="X140" i="8" a="1"/>
  <c r="X140" i="8" s="1"/>
  <c r="AU140" i="8"/>
  <c r="AU249" i="8"/>
  <c r="X249" i="8" a="1"/>
  <c r="X249" i="8" s="1"/>
  <c r="AU48" i="8"/>
  <c r="Y103" i="8" a="1"/>
  <c r="Y103" i="8" s="1"/>
  <c r="X103" i="8" a="1"/>
  <c r="X103" i="8" s="1"/>
  <c r="Z103" i="8"/>
  <c r="AU103" i="8"/>
  <c r="T103" i="8" a="1"/>
  <c r="T103" i="8" s="1"/>
  <c r="U103" i="8" s="1"/>
  <c r="AB103" i="8" a="1"/>
  <c r="AB103" i="8" s="1"/>
  <c r="S103" i="8" a="1"/>
  <c r="S103" i="8" s="1"/>
  <c r="AC103" i="8" s="1"/>
  <c r="W103" i="8" a="1"/>
  <c r="W103" i="8" s="1"/>
  <c r="V103" i="8" a="1"/>
  <c r="V103" i="8" s="1"/>
  <c r="Y237" i="8" a="1"/>
  <c r="Y237" i="8" s="1"/>
  <c r="V237" i="8" a="1"/>
  <c r="V237" i="8" s="1"/>
  <c r="AB237" i="8" a="1"/>
  <c r="AB237" i="8" s="1"/>
  <c r="AU237" i="8"/>
  <c r="T237" i="8" a="1"/>
  <c r="T237" i="8" s="1"/>
  <c r="U237" i="8" s="1"/>
  <c r="Z237" i="8"/>
  <c r="X237" i="8" a="1"/>
  <c r="X237" i="8" s="1"/>
  <c r="W237" i="8" a="1"/>
  <c r="W237" i="8" s="1"/>
  <c r="S237" i="8" a="1"/>
  <c r="S237" i="8" s="1"/>
  <c r="AC237" i="8" s="1"/>
  <c r="Y129" i="8" a="1"/>
  <c r="Y129" i="8" s="1"/>
  <c r="T129" i="8" a="1"/>
  <c r="T129" i="8" s="1"/>
  <c r="U129" i="8" s="1"/>
  <c r="V129" i="8" a="1"/>
  <c r="V129" i="8" s="1"/>
  <c r="AU129" i="8"/>
  <c r="Z129" i="8"/>
  <c r="AB129" i="8" a="1"/>
  <c r="AB129" i="8" s="1"/>
  <c r="X129" i="8" a="1"/>
  <c r="X129" i="8" s="1"/>
  <c r="W129" i="8" a="1"/>
  <c r="W129" i="8" s="1"/>
  <c r="S129" i="8" a="1"/>
  <c r="S129" i="8" s="1"/>
  <c r="AC129" i="8" s="1"/>
  <c r="Y213" i="8" a="1"/>
  <c r="Y213" i="8" s="1"/>
  <c r="AU213" i="8"/>
  <c r="W213" i="8" a="1"/>
  <c r="W213" i="8" s="1"/>
  <c r="Z213" i="8"/>
  <c r="X213" i="8" a="1"/>
  <c r="X213" i="8" s="1"/>
  <c r="T213" i="8" a="1"/>
  <c r="T213" i="8" s="1"/>
  <c r="U213" i="8" s="1"/>
  <c r="AB213" i="8" a="1"/>
  <c r="AB213" i="8" s="1"/>
  <c r="S213" i="8" a="1"/>
  <c r="S213" i="8" s="1"/>
  <c r="AC213" i="8" s="1"/>
  <c r="V213" i="8" a="1"/>
  <c r="V213" i="8" s="1"/>
  <c r="Y133" i="8" a="1"/>
  <c r="Y133" i="8" s="1"/>
  <c r="S133" i="8" a="1"/>
  <c r="S133" i="8" s="1"/>
  <c r="AC133" i="8" s="1"/>
  <c r="AU133" i="8"/>
  <c r="AB133" i="8" a="1"/>
  <c r="AB133" i="8" s="1"/>
  <c r="V133" i="8" a="1"/>
  <c r="V133" i="8" s="1"/>
  <c r="X133" i="8" a="1"/>
  <c r="X133" i="8" s="1"/>
  <c r="T133" i="8" a="1"/>
  <c r="T133" i="8" s="1"/>
  <c r="U133" i="8" s="1"/>
  <c r="W133" i="8" a="1"/>
  <c r="W133" i="8" s="1"/>
  <c r="Z133" i="8"/>
  <c r="T225" i="8" a="1"/>
  <c r="T225" i="8" s="1"/>
  <c r="U225" i="8" s="1"/>
  <c r="X225" i="8" a="1"/>
  <c r="X225" i="8" s="1"/>
  <c r="Z225" i="8"/>
  <c r="V225" i="8" a="1"/>
  <c r="V225" i="8" s="1"/>
  <c r="W225" i="8" a="1"/>
  <c r="W225" i="8" s="1"/>
  <c r="AB225" i="8" a="1"/>
  <c r="AB225" i="8" s="1"/>
  <c r="Y225" i="8" a="1"/>
  <c r="Y225" i="8" s="1"/>
  <c r="S225" i="8" a="1"/>
  <c r="S225" i="8" s="1"/>
  <c r="AC225" i="8" s="1"/>
  <c r="AU225" i="8"/>
  <c r="AU86" i="8"/>
  <c r="Z86" i="8"/>
  <c r="W86" i="8" a="1"/>
  <c r="W86" i="8" s="1"/>
  <c r="T86" i="8" a="1"/>
  <c r="T86" i="8" s="1"/>
  <c r="U86" i="8" s="1"/>
  <c r="S86" i="8" a="1"/>
  <c r="S86" i="8" s="1"/>
  <c r="AC86" i="8" s="1"/>
  <c r="X86" i="8" a="1"/>
  <c r="X86" i="8" s="1"/>
  <c r="Y86" i="8" a="1"/>
  <c r="Y86" i="8" s="1"/>
  <c r="V86" i="8" a="1"/>
  <c r="V86" i="8" s="1"/>
  <c r="AB86" i="8" a="1"/>
  <c r="AB86" i="8" s="1"/>
  <c r="V202" i="8" a="1"/>
  <c r="V202" i="8" s="1"/>
  <c r="S202" i="8" a="1"/>
  <c r="S202" i="8" s="1"/>
  <c r="AC202" i="8" s="1"/>
  <c r="AU202" i="8"/>
  <c r="T202" i="8" a="1"/>
  <c r="T202" i="8" s="1"/>
  <c r="U202" i="8" s="1"/>
  <c r="X202" i="8" a="1"/>
  <c r="X202" i="8" s="1"/>
  <c r="W202" i="8" a="1"/>
  <c r="W202" i="8" s="1"/>
  <c r="AB202" i="8" a="1"/>
  <c r="AB202" i="8" s="1"/>
  <c r="Y202" i="8" a="1"/>
  <c r="Y202" i="8" s="1"/>
  <c r="Z202" i="8"/>
  <c r="V70" i="8" a="1"/>
  <c r="V70" i="8" s="1"/>
  <c r="AB70" i="8" a="1"/>
  <c r="AB70" i="8" s="1"/>
  <c r="Z70" i="8"/>
  <c r="S70" i="8" a="1"/>
  <c r="S70" i="8" s="1"/>
  <c r="AC70" i="8" s="1"/>
  <c r="AU70" i="8"/>
  <c r="X70" i="8" a="1"/>
  <c r="X70" i="8" s="1"/>
  <c r="W70" i="8" a="1"/>
  <c r="W70" i="8" s="1"/>
  <c r="Y70" i="8" a="1"/>
  <c r="Y70" i="8" s="1"/>
  <c r="T70" i="8" a="1"/>
  <c r="T70" i="8" s="1"/>
  <c r="U70" i="8" s="1"/>
  <c r="Z77" i="8"/>
  <c r="Y77" i="8" a="1"/>
  <c r="Y77" i="8" s="1"/>
  <c r="AB77" i="8" a="1"/>
  <c r="AB77" i="8" s="1"/>
  <c r="X77" i="8" a="1"/>
  <c r="X77" i="8" s="1"/>
  <c r="T77" i="8" a="1"/>
  <c r="T77" i="8" s="1"/>
  <c r="U77" i="8" s="1"/>
  <c r="W77" i="8" a="1"/>
  <c r="W77" i="8" s="1"/>
  <c r="AU77" i="8"/>
  <c r="V77" i="8" a="1"/>
  <c r="V77" i="8" s="1"/>
  <c r="S77" i="8" a="1"/>
  <c r="S77" i="8" s="1"/>
  <c r="AC77" i="8" s="1"/>
  <c r="W188" i="8" a="1"/>
  <c r="W188" i="8" s="1"/>
  <c r="AB188" i="8" a="1"/>
  <c r="AB188" i="8" s="1"/>
  <c r="Z188" i="8"/>
  <c r="V188" i="8" a="1"/>
  <c r="V188" i="8" s="1"/>
  <c r="Y188" i="8" a="1"/>
  <c r="Y188" i="8" s="1"/>
  <c r="S188" i="8" a="1"/>
  <c r="S188" i="8" s="1"/>
  <c r="AC188" i="8" s="1"/>
  <c r="X188" i="8" a="1"/>
  <c r="X188" i="8" s="1"/>
  <c r="AU188" i="8"/>
  <c r="T188" i="8" a="1"/>
  <c r="T188" i="8" s="1"/>
  <c r="U188" i="8" s="1"/>
  <c r="V148" i="8" a="1"/>
  <c r="V148" i="8" s="1"/>
  <c r="W148" i="8" a="1"/>
  <c r="W148" i="8" s="1"/>
  <c r="T148" i="8" a="1"/>
  <c r="T148" i="8" s="1"/>
  <c r="U148" i="8" s="1"/>
  <c r="Y148" i="8" a="1"/>
  <c r="Y148" i="8" s="1"/>
  <c r="S148" i="8" a="1"/>
  <c r="S148" i="8" s="1"/>
  <c r="AC148" i="8" s="1"/>
  <c r="X148" i="8" a="1"/>
  <c r="X148" i="8" s="1"/>
  <c r="AB148" i="8" a="1"/>
  <c r="AB148" i="8" s="1"/>
  <c r="Z148" i="8"/>
  <c r="AU148" i="8"/>
  <c r="T191" i="8" a="1"/>
  <c r="T191" i="8" s="1"/>
  <c r="U191" i="8" s="1"/>
  <c r="X191" i="8" a="1"/>
  <c r="X191" i="8" s="1"/>
  <c r="Z191" i="8"/>
  <c r="W191" i="8" a="1"/>
  <c r="W191" i="8" s="1"/>
  <c r="AB191" i="8" a="1"/>
  <c r="AB191" i="8" s="1"/>
  <c r="V191" i="8" a="1"/>
  <c r="V191" i="8" s="1"/>
  <c r="Y191" i="8" a="1"/>
  <c r="Y191" i="8" s="1"/>
  <c r="S191" i="8" a="1"/>
  <c r="S191" i="8" s="1"/>
  <c r="AC191" i="8" s="1"/>
  <c r="AU191" i="8"/>
  <c r="Y182" i="8" a="1"/>
  <c r="Y182" i="8" s="1"/>
  <c r="X182" i="8" a="1"/>
  <c r="X182" i="8" s="1"/>
  <c r="Z182" i="8"/>
  <c r="V182" i="8" a="1"/>
  <c r="V182" i="8" s="1"/>
  <c r="AB182" i="8" a="1"/>
  <c r="AB182" i="8" s="1"/>
  <c r="T182" i="8" a="1"/>
  <c r="T182" i="8" s="1"/>
  <c r="U182" i="8" s="1"/>
  <c r="S182" i="8" a="1"/>
  <c r="S182" i="8" s="1"/>
  <c r="AC182" i="8" s="1"/>
  <c r="AU182" i="8"/>
  <c r="W182" i="8" a="1"/>
  <c r="W182" i="8" s="1"/>
  <c r="S144" i="8" a="1"/>
  <c r="S144" i="8" s="1"/>
  <c r="AC144" i="8" s="1"/>
  <c r="V144" i="8" a="1"/>
  <c r="V144" i="8" s="1"/>
  <c r="Z144" i="8"/>
  <c r="W144" i="8" a="1"/>
  <c r="W144" i="8" s="1"/>
  <c r="Y144" i="8" a="1"/>
  <c r="Y144" i="8" s="1"/>
  <c r="AU144" i="8"/>
  <c r="AB144" i="8" a="1"/>
  <c r="AB144" i="8" s="1"/>
  <c r="T144" i="8" a="1"/>
  <c r="T144" i="8" s="1"/>
  <c r="U144" i="8" s="1"/>
  <c r="X144" i="8" a="1"/>
  <c r="X144" i="8" s="1"/>
  <c r="Z122" i="8"/>
  <c r="W122" i="8" a="1"/>
  <c r="W122" i="8" s="1"/>
  <c r="T122" i="8" a="1"/>
  <c r="T122" i="8" s="1"/>
  <c r="U122" i="8" s="1"/>
  <c r="AU122" i="8"/>
  <c r="X122" i="8" a="1"/>
  <c r="X122" i="8" s="1"/>
  <c r="AB122" i="8" a="1"/>
  <c r="AB122" i="8" s="1"/>
  <c r="Y122" i="8" a="1"/>
  <c r="Y122" i="8" s="1"/>
  <c r="S122" i="8" a="1"/>
  <c r="S122" i="8" s="1"/>
  <c r="AC122" i="8" s="1"/>
  <c r="V122" i="8" a="1"/>
  <c r="V122" i="8" s="1"/>
  <c r="Z91" i="8"/>
  <c r="X91" i="8" a="1"/>
  <c r="X91" i="8" s="1"/>
  <c r="W91" i="8" a="1"/>
  <c r="W91" i="8" s="1"/>
  <c r="T91" i="8" a="1"/>
  <c r="T91" i="8" s="1"/>
  <c r="U91" i="8" s="1"/>
  <c r="Y91" i="8" a="1"/>
  <c r="Y91" i="8" s="1"/>
  <c r="V91" i="8" a="1"/>
  <c r="V91" i="8" s="1"/>
  <c r="AB91" i="8" a="1"/>
  <c r="AB91" i="8" s="1"/>
  <c r="S91" i="8" a="1"/>
  <c r="S91" i="8" s="1"/>
  <c r="AC91" i="8" s="1"/>
  <c r="AU91" i="8"/>
  <c r="W242" i="8" a="1"/>
  <c r="W242" i="8" s="1"/>
  <c r="T242" i="8" a="1"/>
  <c r="T242" i="8" s="1"/>
  <c r="U242" i="8" s="1"/>
  <c r="Y242" i="8" a="1"/>
  <c r="Y242" i="8" s="1"/>
  <c r="S242" i="8" a="1"/>
  <c r="S242" i="8" s="1"/>
  <c r="AC242" i="8" s="1"/>
  <c r="AB242" i="8" a="1"/>
  <c r="AB242" i="8" s="1"/>
  <c r="X242" i="8" a="1"/>
  <c r="X242" i="8" s="1"/>
  <c r="V242" i="8" a="1"/>
  <c r="V242" i="8" s="1"/>
  <c r="AU242" i="8"/>
  <c r="Z242" i="8"/>
  <c r="AU46" i="8"/>
  <c r="W121" i="8" a="1"/>
  <c r="W121" i="8" s="1"/>
  <c r="S121" i="8" a="1"/>
  <c r="S121" i="8" s="1"/>
  <c r="AC121" i="8" s="1"/>
  <c r="X121" i="8" a="1"/>
  <c r="X121" i="8" s="1"/>
  <c r="V121" i="8" a="1"/>
  <c r="V121" i="8" s="1"/>
  <c r="T121" i="8" a="1"/>
  <c r="T121" i="8" s="1"/>
  <c r="U121" i="8" s="1"/>
  <c r="Y121" i="8" a="1"/>
  <c r="Y121" i="8" s="1"/>
  <c r="AB121" i="8" a="1"/>
  <c r="AB121" i="8" s="1"/>
  <c r="Z121" i="8"/>
  <c r="AU121" i="8"/>
  <c r="W217" i="8" a="1"/>
  <c r="W217" i="8" s="1"/>
  <c r="X217" i="8" a="1"/>
  <c r="X217" i="8" s="1"/>
  <c r="AU217" i="8"/>
  <c r="T217" i="8" a="1"/>
  <c r="T217" i="8" s="1"/>
  <c r="U217" i="8" s="1"/>
  <c r="Z217" i="8"/>
  <c r="V217" i="8" a="1"/>
  <c r="V217" i="8" s="1"/>
  <c r="AB217" i="8" a="1"/>
  <c r="AB217" i="8" s="1"/>
  <c r="Y217" i="8" a="1"/>
  <c r="Y217" i="8" s="1"/>
  <c r="S217" i="8" a="1"/>
  <c r="S217" i="8" s="1"/>
  <c r="AC217" i="8" s="1"/>
  <c r="X146" i="8" a="1"/>
  <c r="X146" i="8" s="1"/>
  <c r="AU146" i="8"/>
  <c r="AU168" i="8"/>
  <c r="T168" i="8" a="1"/>
  <c r="T168" i="8" s="1"/>
  <c r="U168" i="8" s="1"/>
  <c r="Z168" i="8"/>
  <c r="W168" i="8" a="1"/>
  <c r="W168" i="8" s="1"/>
  <c r="X168" i="8" a="1"/>
  <c r="X168" i="8" s="1"/>
  <c r="V168" i="8" a="1"/>
  <c r="V168" i="8" s="1"/>
  <c r="AB168" i="8" a="1"/>
  <c r="AB168" i="8" s="1"/>
  <c r="Y168" i="8" a="1"/>
  <c r="Y168" i="8" s="1"/>
  <c r="S168" i="8" a="1"/>
  <c r="S168" i="8" s="1"/>
  <c r="AC168" i="8" s="1"/>
  <c r="X184" i="8" a="1"/>
  <c r="X184" i="8" s="1"/>
  <c r="AU184" i="8"/>
  <c r="AU165" i="8"/>
  <c r="V165" i="8" a="1"/>
  <c r="V165" i="8" s="1"/>
  <c r="AB165" i="8" a="1"/>
  <c r="AB165" i="8" s="1"/>
  <c r="S165" i="8" a="1"/>
  <c r="S165" i="8" s="1"/>
  <c r="AC165" i="8" s="1"/>
  <c r="X165" i="8" a="1"/>
  <c r="X165" i="8" s="1"/>
  <c r="Y165" i="8" a="1"/>
  <c r="Y165" i="8" s="1"/>
  <c r="Z165" i="8"/>
  <c r="W165" i="8" a="1"/>
  <c r="W165" i="8" s="1"/>
  <c r="T165" i="8" a="1"/>
  <c r="T165" i="8" s="1"/>
  <c r="U165" i="8" s="1"/>
  <c r="X119" i="8" a="1"/>
  <c r="X119" i="8" s="1"/>
  <c r="AU119" i="8"/>
  <c r="AU162" i="8"/>
  <c r="X162" i="8" a="1"/>
  <c r="X162" i="8" s="1"/>
  <c r="X220" i="8" a="1"/>
  <c r="X220" i="8" s="1"/>
  <c r="AU220" i="8"/>
  <c r="S56" i="8" a="1"/>
  <c r="S56" i="8" s="1"/>
  <c r="AC56" i="8" s="1"/>
  <c r="Z56" i="8"/>
  <c r="Y56" i="8" a="1"/>
  <c r="Y56" i="8" s="1"/>
  <c r="X56" i="8" a="1"/>
  <c r="X56" i="8" s="1"/>
  <c r="T56" i="8" a="1"/>
  <c r="T56" i="8" s="1"/>
  <c r="U56" i="8" s="1"/>
  <c r="AU56" i="8"/>
  <c r="AB56" i="8" a="1"/>
  <c r="AB56" i="8" s="1"/>
  <c r="V56" i="8" a="1"/>
  <c r="V56" i="8" s="1"/>
  <c r="W56" i="8" a="1"/>
  <c r="W56" i="8" s="1"/>
  <c r="X117" i="8" a="1"/>
  <c r="X117" i="8" s="1"/>
  <c r="AU117" i="8"/>
  <c r="AU224" i="8"/>
  <c r="X224" i="8" a="1"/>
  <c r="X224" i="8" s="1"/>
  <c r="Z203" i="8"/>
  <c r="T203" i="8" a="1"/>
  <c r="T203" i="8" s="1"/>
  <c r="U203" i="8" s="1"/>
  <c r="AU203" i="8"/>
  <c r="AB203" i="8" a="1"/>
  <c r="AB203" i="8" s="1"/>
  <c r="Y203" i="8" a="1"/>
  <c r="Y203" i="8" s="1"/>
  <c r="S203" i="8" a="1"/>
  <c r="S203" i="8" s="1"/>
  <c r="AC203" i="8" s="1"/>
  <c r="V203" i="8" a="1"/>
  <c r="V203" i="8" s="1"/>
  <c r="W203" i="8" a="1"/>
  <c r="W203" i="8" s="1"/>
  <c r="X203" i="8" a="1"/>
  <c r="X203" i="8" s="1"/>
  <c r="AB128" i="8" a="1"/>
  <c r="AB128" i="8" s="1"/>
  <c r="T128" i="8" a="1"/>
  <c r="T128" i="8" s="1"/>
  <c r="U128" i="8" s="1"/>
  <c r="X128" i="8" a="1"/>
  <c r="X128" i="8" s="1"/>
  <c r="Z128" i="8"/>
  <c r="Y128" i="8" a="1"/>
  <c r="Y128" i="8" s="1"/>
  <c r="AU128" i="8"/>
  <c r="V128" i="8" a="1"/>
  <c r="V128" i="8" s="1"/>
  <c r="S128" i="8" a="1"/>
  <c r="S128" i="8" s="1"/>
  <c r="AC128" i="8" s="1"/>
  <c r="W128" i="8" a="1"/>
  <c r="W128" i="8" s="1"/>
  <c r="Y164" i="8" a="1"/>
  <c r="Y164" i="8" s="1"/>
  <c r="AB164" i="8" a="1"/>
  <c r="AB164" i="8" s="1"/>
  <c r="S164" i="8" a="1"/>
  <c r="S164" i="8" s="1"/>
  <c r="AC164" i="8" s="1"/>
  <c r="T164" i="8" a="1"/>
  <c r="T164" i="8" s="1"/>
  <c r="U164" i="8" s="1"/>
  <c r="Z164" i="8"/>
  <c r="W164" i="8" a="1"/>
  <c r="W164" i="8" s="1"/>
  <c r="V164" i="8" a="1"/>
  <c r="V164" i="8" s="1"/>
  <c r="X164" i="8" a="1"/>
  <c r="X164" i="8" s="1"/>
  <c r="AU164" i="8"/>
  <c r="Y250" i="8" a="1"/>
  <c r="Y250" i="8" s="1"/>
  <c r="AU250" i="8"/>
  <c r="X250" i="8" a="1"/>
  <c r="X250" i="8" s="1"/>
  <c r="W250" i="8" a="1"/>
  <c r="W250" i="8" s="1"/>
  <c r="S250" i="8" a="1"/>
  <c r="S250" i="8" s="1"/>
  <c r="AC250" i="8" s="1"/>
  <c r="AB250" i="8" a="1"/>
  <c r="AB250" i="8" s="1"/>
  <c r="T250" i="8" a="1"/>
  <c r="T250" i="8" s="1"/>
  <c r="U250" i="8" s="1"/>
  <c r="V250" i="8" a="1"/>
  <c r="V250" i="8" s="1"/>
  <c r="Z250" i="8"/>
  <c r="S83" i="8" a="1"/>
  <c r="S83" i="8" s="1"/>
  <c r="AC83" i="8" s="1"/>
  <c r="Y83" i="8" a="1"/>
  <c r="Y83" i="8" s="1"/>
  <c r="AB83" i="8" a="1"/>
  <c r="AB83" i="8" s="1"/>
  <c r="Z83" i="8"/>
  <c r="X83" i="8" a="1"/>
  <c r="X83" i="8" s="1"/>
  <c r="AU83" i="8"/>
  <c r="V83" i="8" a="1"/>
  <c r="V83" i="8" s="1"/>
  <c r="T83" i="8" a="1"/>
  <c r="T83" i="8" s="1"/>
  <c r="U83" i="8" s="1"/>
  <c r="W83" i="8" a="1"/>
  <c r="W83" i="8" s="1"/>
  <c r="Y114" i="8" a="1"/>
  <c r="Y114" i="8" s="1"/>
  <c r="AU114" i="8"/>
  <c r="S114" i="8" a="1"/>
  <c r="S114" i="8" s="1"/>
  <c r="AC114" i="8" s="1"/>
  <c r="W114" i="8" a="1"/>
  <c r="W114" i="8" s="1"/>
  <c r="Z114" i="8"/>
  <c r="V114" i="8" a="1"/>
  <c r="V114" i="8" s="1"/>
  <c r="T114" i="8" a="1"/>
  <c r="T114" i="8" s="1"/>
  <c r="U114" i="8" s="1"/>
  <c r="AB114" i="8" a="1"/>
  <c r="AB114" i="8" s="1"/>
  <c r="X114" i="8" a="1"/>
  <c r="X114" i="8" s="1"/>
  <c r="AU79" i="8"/>
  <c r="X79" i="8" a="1"/>
  <c r="X79" i="8" s="1"/>
  <c r="W79" i="8" a="1"/>
  <c r="W79" i="8" s="1"/>
  <c r="T79" i="8" a="1"/>
  <c r="T79" i="8" s="1"/>
  <c r="U79" i="8" s="1"/>
  <c r="AB79" i="8" a="1"/>
  <c r="AB79" i="8" s="1"/>
  <c r="V79" i="8" a="1"/>
  <c r="V79" i="8" s="1"/>
  <c r="Y79" i="8" a="1"/>
  <c r="Y79" i="8" s="1"/>
  <c r="S79" i="8" a="1"/>
  <c r="S79" i="8" s="1"/>
  <c r="AC79" i="8" s="1"/>
  <c r="Z79" i="8"/>
  <c r="Z244" i="8"/>
  <c r="X244" i="8" a="1"/>
  <c r="X244" i="8" s="1"/>
  <c r="AB244" i="8" a="1"/>
  <c r="AB244" i="8" s="1"/>
  <c r="S244" i="8" a="1"/>
  <c r="S244" i="8" s="1"/>
  <c r="AC244" i="8" s="1"/>
  <c r="W244" i="8" a="1"/>
  <c r="W244" i="8" s="1"/>
  <c r="Y244" i="8" a="1"/>
  <c r="Y244" i="8" s="1"/>
  <c r="T244" i="8" a="1"/>
  <c r="T244" i="8" s="1"/>
  <c r="U244" i="8" s="1"/>
  <c r="V244" i="8" a="1"/>
  <c r="V244" i="8" s="1"/>
  <c r="AU244" i="8"/>
  <c r="AU234" i="8"/>
  <c r="X234" i="8" a="1"/>
  <c r="X234" i="8" s="1"/>
  <c r="Y234" i="8" a="1"/>
  <c r="Y234" i="8" s="1"/>
  <c r="T234" i="8" a="1"/>
  <c r="T234" i="8" s="1"/>
  <c r="U234" i="8" s="1"/>
  <c r="W234" i="8" a="1"/>
  <c r="W234" i="8" s="1"/>
  <c r="Z234" i="8"/>
  <c r="S234" i="8" a="1"/>
  <c r="S234" i="8" s="1"/>
  <c r="AC234" i="8" s="1"/>
  <c r="V234" i="8" a="1"/>
  <c r="V234" i="8" s="1"/>
  <c r="AB234" i="8" a="1"/>
  <c r="AB234" i="8" s="1"/>
  <c r="V230" i="8" a="1"/>
  <c r="V230" i="8" s="1"/>
  <c r="T230" i="8" a="1"/>
  <c r="T230" i="8" s="1"/>
  <c r="U230" i="8" s="1"/>
  <c r="AB230" i="8" a="1"/>
  <c r="AB230" i="8" s="1"/>
  <c r="Y230" i="8" a="1"/>
  <c r="Y230" i="8" s="1"/>
  <c r="S230" i="8" a="1"/>
  <c r="S230" i="8" s="1"/>
  <c r="AC230" i="8" s="1"/>
  <c r="Z230" i="8"/>
  <c r="W230" i="8" a="1"/>
  <c r="W230" i="8" s="1"/>
  <c r="X230" i="8" a="1"/>
  <c r="X230" i="8" s="1"/>
  <c r="AU230" i="8"/>
  <c r="Y150" i="8" a="1"/>
  <c r="Y150" i="8" s="1"/>
  <c r="S150" i="8" a="1"/>
  <c r="S150" i="8" s="1"/>
  <c r="AC150" i="8" s="1"/>
  <c r="Z150" i="8"/>
  <c r="V150" i="8" a="1"/>
  <c r="V150" i="8" s="1"/>
  <c r="AU150" i="8"/>
  <c r="X150" i="8" a="1"/>
  <c r="X150" i="8" s="1"/>
  <c r="AB150" i="8" a="1"/>
  <c r="AB150" i="8" s="1"/>
  <c r="T150" i="8" a="1"/>
  <c r="T150" i="8" s="1"/>
  <c r="U150" i="8" s="1"/>
  <c r="W150" i="8" a="1"/>
  <c r="W150" i="8" s="1"/>
  <c r="AA150" i="8" s="1"/>
  <c r="AU212" i="8"/>
  <c r="S212" i="8" a="1"/>
  <c r="S212" i="8" s="1"/>
  <c r="AC212" i="8" s="1"/>
  <c r="W212" i="8" a="1"/>
  <c r="W212" i="8" s="1"/>
  <c r="Y212" i="8" a="1"/>
  <c r="Y212" i="8" s="1"/>
  <c r="AB212" i="8" a="1"/>
  <c r="AB212" i="8" s="1"/>
  <c r="T212" i="8" a="1"/>
  <c r="T212" i="8" s="1"/>
  <c r="U212" i="8" s="1"/>
  <c r="Z212" i="8"/>
  <c r="X212" i="8" a="1"/>
  <c r="X212" i="8" s="1"/>
  <c r="V212" i="8" a="1"/>
  <c r="V212" i="8" s="1"/>
  <c r="AU153" i="8"/>
  <c r="S153" i="8" a="1"/>
  <c r="S153" i="8" s="1"/>
  <c r="AC153" i="8" s="1"/>
  <c r="AB153" i="8" a="1"/>
  <c r="AB153" i="8" s="1"/>
  <c r="T153" i="8" a="1"/>
  <c r="T153" i="8" s="1"/>
  <c r="U153" i="8" s="1"/>
  <c r="V153" i="8" a="1"/>
  <c r="V153" i="8" s="1"/>
  <c r="W153" i="8" a="1"/>
  <c r="W153" i="8" s="1"/>
  <c r="X153" i="8" a="1"/>
  <c r="X153" i="8" s="1"/>
  <c r="Y153" i="8" a="1"/>
  <c r="Y153" i="8" s="1"/>
  <c r="Z153" i="8"/>
  <c r="AU139" i="8"/>
  <c r="AB139" i="8" a="1"/>
  <c r="AB139" i="8" s="1"/>
  <c r="V139" i="8" a="1"/>
  <c r="V139" i="8" s="1"/>
  <c r="T139" i="8" a="1"/>
  <c r="T139" i="8" s="1"/>
  <c r="U139" i="8" s="1"/>
  <c r="W139" i="8" a="1"/>
  <c r="W139" i="8" s="1"/>
  <c r="S139" i="8" a="1"/>
  <c r="S139" i="8" s="1"/>
  <c r="AC139" i="8" s="1"/>
  <c r="Y139" i="8" a="1"/>
  <c r="Y139" i="8" s="1"/>
  <c r="X139" i="8" a="1"/>
  <c r="X139" i="8" s="1"/>
  <c r="Z139" i="8"/>
  <c r="V74" i="8" a="1"/>
  <c r="V74" i="8" s="1"/>
  <c r="AU74" i="8"/>
  <c r="X74" i="8" a="1"/>
  <c r="X74" i="8" s="1"/>
  <c r="Z74" i="8"/>
  <c r="AB74" i="8" a="1"/>
  <c r="AB74" i="8" s="1"/>
  <c r="T74" i="8" a="1"/>
  <c r="T74" i="8" s="1"/>
  <c r="U74" i="8" s="1"/>
  <c r="W74" i="8" a="1"/>
  <c r="W74" i="8" s="1"/>
  <c r="Y74" i="8" a="1"/>
  <c r="Y74" i="8" s="1"/>
  <c r="Y228" i="8" a="1"/>
  <c r="Y228" i="8" s="1"/>
  <c r="AB228" i="8" a="1"/>
  <c r="AB228" i="8" s="1"/>
  <c r="Z228" i="8"/>
  <c r="S228" i="8" a="1"/>
  <c r="S228" i="8" s="1"/>
  <c r="AC228" i="8" s="1"/>
  <c r="T228" i="8" a="1"/>
  <c r="T228" i="8" s="1"/>
  <c r="U228" i="8" s="1"/>
  <c r="X228" i="8" a="1"/>
  <c r="X228" i="8" s="1"/>
  <c r="V228" i="8" a="1"/>
  <c r="V228" i="8" s="1"/>
  <c r="W228" i="8" a="1"/>
  <c r="W228" i="8" s="1"/>
  <c r="AU228" i="8"/>
  <c r="AU112" i="8"/>
  <c r="X112" i="8" a="1"/>
  <c r="X112" i="8" s="1"/>
  <c r="W78" i="8" a="1"/>
  <c r="W78" i="8" s="1"/>
  <c r="X78" i="8" a="1"/>
  <c r="X78" i="8" s="1"/>
  <c r="Y78" i="8" a="1"/>
  <c r="Y78" i="8" s="1"/>
  <c r="T78" i="8" a="1"/>
  <c r="T78" i="8" s="1"/>
  <c r="U78" i="8" s="1"/>
  <c r="Z78" i="8"/>
  <c r="S78" i="8" a="1"/>
  <c r="S78" i="8" s="1"/>
  <c r="AC78" i="8" s="1"/>
  <c r="AU78" i="8"/>
  <c r="AB78" i="8" a="1"/>
  <c r="AB78" i="8" s="1"/>
  <c r="V78" i="8" a="1"/>
  <c r="V78" i="8" s="1"/>
  <c r="T175" i="8" a="1"/>
  <c r="T175" i="8" s="1"/>
  <c r="U175" i="8" s="1"/>
  <c r="X175" i="8" a="1"/>
  <c r="X175" i="8" s="1"/>
  <c r="Z175" i="8"/>
  <c r="AB175" i="8" a="1"/>
  <c r="AB175" i="8" s="1"/>
  <c r="W175" i="8" a="1"/>
  <c r="W175" i="8" s="1"/>
  <c r="V175" i="8" a="1"/>
  <c r="V175" i="8" s="1"/>
  <c r="S175" i="8" a="1"/>
  <c r="S175" i="8" s="1"/>
  <c r="AC175" i="8" s="1"/>
  <c r="Y175" i="8" a="1"/>
  <c r="Y175" i="8" s="1"/>
  <c r="AU175" i="8"/>
  <c r="AU193" i="8"/>
  <c r="X193" i="8" a="1"/>
  <c r="X193" i="8" s="1"/>
  <c r="S193" i="8" a="1"/>
  <c r="S193" i="8" s="1"/>
  <c r="AC193" i="8" s="1"/>
  <c r="Y193" i="8" a="1"/>
  <c r="Y193" i="8" s="1"/>
  <c r="V193" i="8" a="1"/>
  <c r="V193" i="8" s="1"/>
  <c r="T193" i="8" a="1"/>
  <c r="T193" i="8" s="1"/>
  <c r="U193" i="8" s="1"/>
  <c r="Z193" i="8"/>
  <c r="W193" i="8" a="1"/>
  <c r="W193" i="8" s="1"/>
  <c r="AB193" i="8" a="1"/>
  <c r="AB193" i="8" s="1"/>
  <c r="X120" i="8" a="1"/>
  <c r="X120" i="8" s="1"/>
  <c r="AU120" i="8"/>
  <c r="S110" i="8" a="1"/>
  <c r="S110" i="8" s="1"/>
  <c r="AC110" i="8" s="1"/>
  <c r="Z110" i="8"/>
  <c r="V110" i="8" a="1"/>
  <c r="V110" i="8" s="1"/>
  <c r="AU110" i="8"/>
  <c r="T110" i="8" a="1"/>
  <c r="T110" i="8" s="1"/>
  <c r="U110" i="8" s="1"/>
  <c r="W110" i="8" a="1"/>
  <c r="W110" i="8" s="1"/>
  <c r="Y110" i="8" a="1"/>
  <c r="Y110" i="8" s="1"/>
  <c r="AB110" i="8" a="1"/>
  <c r="AB110" i="8" s="1"/>
  <c r="X110" i="8" a="1"/>
  <c r="X110" i="8" s="1"/>
  <c r="X149" i="8" a="1"/>
  <c r="X149" i="8" s="1"/>
  <c r="AU149" i="8"/>
  <c r="V248" i="8" a="1"/>
  <c r="V248" i="8" s="1"/>
  <c r="W248" i="8" a="1"/>
  <c r="W248" i="8" s="1"/>
  <c r="AB248" i="8" a="1"/>
  <c r="AB248" i="8" s="1"/>
  <c r="Y248" i="8" a="1"/>
  <c r="Y248" i="8" s="1"/>
  <c r="Z248" i="8"/>
  <c r="X248" i="8" a="1"/>
  <c r="X248" i="8" s="1"/>
  <c r="AU248" i="8"/>
  <c r="T248" i="8" a="1"/>
  <c r="T248" i="8" s="1"/>
  <c r="U248" i="8" s="1"/>
  <c r="S248" i="8" a="1"/>
  <c r="S248" i="8" s="1"/>
  <c r="AC248" i="8" s="1"/>
  <c r="X73" i="8" a="1"/>
  <c r="X73" i="8" s="1"/>
  <c r="AU73" i="8"/>
  <c r="AU187" i="8"/>
  <c r="X187" i="8" a="1"/>
  <c r="X187" i="8" s="1"/>
  <c r="X251" i="8" a="1"/>
  <c r="X251" i="8" s="1"/>
  <c r="Y251" i="8" a="1"/>
  <c r="Y251" i="8" s="1"/>
  <c r="T251" i="8" a="1"/>
  <c r="T251" i="8" s="1"/>
  <c r="U251" i="8" s="1"/>
  <c r="AB251" i="8" a="1"/>
  <c r="AB251" i="8" s="1"/>
  <c r="V251" i="8" a="1"/>
  <c r="V251" i="8" s="1"/>
  <c r="AU251" i="8"/>
  <c r="W251" i="8" a="1"/>
  <c r="W251" i="8" s="1"/>
  <c r="Z251" i="8"/>
  <c r="S251" i="8" a="1"/>
  <c r="S251" i="8" s="1"/>
  <c r="AC251" i="8" s="1"/>
  <c r="X181" i="8" a="1"/>
  <c r="X181" i="8" s="1"/>
  <c r="AU181" i="8"/>
  <c r="AB96" i="8" a="1"/>
  <c r="AB96" i="8" s="1"/>
  <c r="X96" i="8" a="1"/>
  <c r="X96" i="8" s="1"/>
  <c r="Z96" i="8"/>
  <c r="S96" i="8" a="1"/>
  <c r="S96" i="8" s="1"/>
  <c r="AC96" i="8" s="1"/>
  <c r="AU96" i="8"/>
  <c r="V96" i="8" a="1"/>
  <c r="V96" i="8" s="1"/>
  <c r="W96" i="8" a="1"/>
  <c r="W96" i="8" s="1"/>
  <c r="T96" i="8" a="1"/>
  <c r="T96" i="8" s="1"/>
  <c r="U96" i="8" s="1"/>
  <c r="Y96" i="8" a="1"/>
  <c r="Y96" i="8" s="1"/>
  <c r="X69" i="8" a="1"/>
  <c r="X69" i="8" s="1"/>
  <c r="AU69" i="8"/>
  <c r="AU185" i="8"/>
  <c r="X185" i="8" a="1"/>
  <c r="X185" i="8" s="1"/>
  <c r="AU45" i="8"/>
  <c r="S229" i="8" a="1"/>
  <c r="S229" i="8" s="1"/>
  <c r="AC229" i="8" s="1"/>
  <c r="Y229" i="8" a="1"/>
  <c r="Y229" i="8" s="1"/>
  <c r="V229" i="8" a="1"/>
  <c r="V229" i="8" s="1"/>
  <c r="AU229" i="8"/>
  <c r="T229" i="8" a="1"/>
  <c r="T229" i="8" s="1"/>
  <c r="U229" i="8" s="1"/>
  <c r="X229" i="8" a="1"/>
  <c r="X229" i="8" s="1"/>
  <c r="AB229" i="8" a="1"/>
  <c r="AB229" i="8" s="1"/>
  <c r="W229" i="8" a="1"/>
  <c r="W229" i="8" s="1"/>
  <c r="Z229" i="8"/>
  <c r="AU72" i="8"/>
  <c r="S72" i="8" a="1"/>
  <c r="S72" i="8" s="1"/>
  <c r="AC72" i="8" s="1"/>
  <c r="W72" i="8" a="1"/>
  <c r="W72" i="8" s="1"/>
  <c r="Z72" i="8"/>
  <c r="T72" i="8" a="1"/>
  <c r="T72" i="8" s="1"/>
  <c r="U72" i="8" s="1"/>
  <c r="V72" i="8" a="1"/>
  <c r="V72" i="8" s="1"/>
  <c r="Y72" i="8" a="1"/>
  <c r="Y72" i="8" s="1"/>
  <c r="AB72" i="8" a="1"/>
  <c r="AB72" i="8" s="1"/>
  <c r="X72" i="8" a="1"/>
  <c r="X72" i="8" s="1"/>
  <c r="X51" i="8" a="1"/>
  <c r="X51" i="8" s="1"/>
  <c r="AU51" i="8"/>
  <c r="T223" i="8" a="1"/>
  <c r="T223" i="8" s="1"/>
  <c r="U223" i="8" s="1"/>
  <c r="X223" i="8" a="1"/>
  <c r="X223" i="8" s="1"/>
  <c r="S223" i="8" a="1"/>
  <c r="S223" i="8" s="1"/>
  <c r="AC223" i="8" s="1"/>
  <c r="AU223" i="8"/>
  <c r="V223" i="8" a="1"/>
  <c r="V223" i="8" s="1"/>
  <c r="Y223" i="8" a="1"/>
  <c r="Y223" i="8" s="1"/>
  <c r="AB223" i="8" a="1"/>
  <c r="AB223" i="8" s="1"/>
  <c r="Z223" i="8"/>
  <c r="W223" i="8" a="1"/>
  <c r="W223" i="8" s="1"/>
  <c r="Z113" i="8"/>
  <c r="Y113" i="8" a="1"/>
  <c r="Y113" i="8" s="1"/>
  <c r="T113" i="8" a="1"/>
  <c r="T113" i="8" s="1"/>
  <c r="U113" i="8" s="1"/>
  <c r="X113" i="8" a="1"/>
  <c r="X113" i="8" s="1"/>
  <c r="AU113" i="8"/>
  <c r="AB113" i="8" a="1"/>
  <c r="AB113" i="8" s="1"/>
  <c r="S113" i="8" a="1"/>
  <c r="S113" i="8" s="1"/>
  <c r="AC113" i="8" s="1"/>
  <c r="W113" i="8" a="1"/>
  <c r="W113" i="8" s="1"/>
  <c r="V113" i="8" a="1"/>
  <c r="V113" i="8" s="1"/>
  <c r="Y205" i="8" a="1"/>
  <c r="Y205" i="8" s="1"/>
  <c r="AB205" i="8" a="1"/>
  <c r="AB205" i="8" s="1"/>
  <c r="T205" i="8" a="1"/>
  <c r="T205" i="8" s="1"/>
  <c r="U205" i="8" s="1"/>
  <c r="X205" i="8" a="1"/>
  <c r="X205" i="8" s="1"/>
  <c r="S205" i="8" a="1"/>
  <c r="S205" i="8" s="1"/>
  <c r="AC205" i="8" s="1"/>
  <c r="V205" i="8" a="1"/>
  <c r="V205" i="8" s="1"/>
  <c r="AU205" i="8"/>
  <c r="Z205" i="8"/>
  <c r="W205" i="8" a="1"/>
  <c r="W205" i="8" s="1"/>
  <c r="Y155" i="8" a="1"/>
  <c r="Y155" i="8" s="1"/>
  <c r="T155" i="8" a="1"/>
  <c r="T155" i="8" s="1"/>
  <c r="U155" i="8" s="1"/>
  <c r="V155" i="8" a="1"/>
  <c r="V155" i="8" s="1"/>
  <c r="W155" i="8" a="1"/>
  <c r="W155" i="8" s="1"/>
  <c r="S155" i="8" a="1"/>
  <c r="S155" i="8" s="1"/>
  <c r="AC155" i="8" s="1"/>
  <c r="Z155" i="8"/>
  <c r="AU155" i="8"/>
  <c r="X155" i="8" a="1"/>
  <c r="X155" i="8" s="1"/>
  <c r="AB155" i="8" a="1"/>
  <c r="AB155" i="8" s="1"/>
  <c r="V82" i="8" a="1"/>
  <c r="V82" i="8" s="1"/>
  <c r="Y82" i="8" a="1"/>
  <c r="Y82" i="8" s="1"/>
  <c r="AU82" i="8"/>
  <c r="S82" i="8" a="1"/>
  <c r="S82" i="8" s="1"/>
  <c r="AC82" i="8" s="1"/>
  <c r="Z82" i="8"/>
  <c r="AB82" i="8" a="1"/>
  <c r="AB82" i="8" s="1"/>
  <c r="X82" i="8" a="1"/>
  <c r="X82" i="8" s="1"/>
  <c r="W82" i="8" a="1"/>
  <c r="W82" i="8" s="1"/>
  <c r="T82" i="8" a="1"/>
  <c r="T82" i="8" s="1"/>
  <c r="U82" i="8" s="1"/>
  <c r="Y209" i="8" a="1"/>
  <c r="Y209" i="8" s="1"/>
  <c r="W209" i="8" a="1"/>
  <c r="W209" i="8" s="1"/>
  <c r="Z209" i="8"/>
  <c r="AB209" i="8" a="1"/>
  <c r="AB209" i="8" s="1"/>
  <c r="V209" i="8" a="1"/>
  <c r="V209" i="8" s="1"/>
  <c r="X209" i="8" a="1"/>
  <c r="X209" i="8" s="1"/>
  <c r="T209" i="8" a="1"/>
  <c r="T209" i="8" s="1"/>
  <c r="U209" i="8" s="1"/>
  <c r="AU209" i="8"/>
  <c r="S209" i="8" a="1"/>
  <c r="S209" i="8" s="1"/>
  <c r="AC209" i="8" s="1"/>
  <c r="X157" i="8" a="1"/>
  <c r="X157" i="8" s="1"/>
  <c r="Y157" i="8" a="1"/>
  <c r="Y157" i="8" s="1"/>
  <c r="S157" i="8" a="1"/>
  <c r="S157" i="8" s="1"/>
  <c r="AC157" i="8" s="1"/>
  <c r="W157" i="8" a="1"/>
  <c r="W157" i="8" s="1"/>
  <c r="T157" i="8" a="1"/>
  <c r="T157" i="8" s="1"/>
  <c r="U157" i="8" s="1"/>
  <c r="V157" i="8" a="1"/>
  <c r="V157" i="8" s="1"/>
  <c r="Z157" i="8"/>
  <c r="AU157" i="8"/>
  <c r="AB157" i="8" a="1"/>
  <c r="AB157" i="8" s="1"/>
  <c r="T64" i="8" a="1"/>
  <c r="T64" i="8" s="1"/>
  <c r="U64" i="8" s="1"/>
  <c r="V64" i="8" a="1"/>
  <c r="V64" i="8" s="1"/>
  <c r="AB64" i="8" a="1"/>
  <c r="AB64" i="8" s="1"/>
  <c r="AU64" i="8"/>
  <c r="S64" i="8" a="1"/>
  <c r="S64" i="8" s="1"/>
  <c r="AC64" i="8" s="1"/>
  <c r="Z64" i="8"/>
  <c r="W64" i="8" a="1"/>
  <c r="W64" i="8" s="1"/>
  <c r="Y64" i="8" a="1"/>
  <c r="Y64" i="8" s="1"/>
  <c r="X64" i="8" a="1"/>
  <c r="X64" i="8" s="1"/>
  <c r="X108" i="8" a="1"/>
  <c r="X108" i="8" s="1"/>
  <c r="AB108" i="8" a="1"/>
  <c r="AB108" i="8" s="1"/>
  <c r="T108" i="8" a="1"/>
  <c r="T108" i="8" s="1"/>
  <c r="U108" i="8" s="1"/>
  <c r="W108" i="8" a="1"/>
  <c r="W108" i="8" s="1"/>
  <c r="AU108" i="8"/>
  <c r="Y108" i="8" a="1"/>
  <c r="Y108" i="8" s="1"/>
  <c r="S108" i="8" a="1"/>
  <c r="S108" i="8" s="1"/>
  <c r="AC108" i="8" s="1"/>
  <c r="V108" i="8" a="1"/>
  <c r="V108" i="8" s="1"/>
  <c r="Z108" i="8"/>
  <c r="AU57" i="8"/>
  <c r="X57" i="8" a="1"/>
  <c r="X57" i="8" s="1"/>
  <c r="W57" i="8" a="1"/>
  <c r="W57" i="8" s="1"/>
  <c r="Y57" i="8" a="1"/>
  <c r="Y57" i="8" s="1"/>
  <c r="AB57" i="8" a="1"/>
  <c r="AB57" i="8" s="1"/>
  <c r="Z57" i="8"/>
  <c r="S57" i="8" a="1"/>
  <c r="S57" i="8" s="1"/>
  <c r="AC57" i="8" s="1"/>
  <c r="T57" i="8" a="1"/>
  <c r="T57" i="8" s="1"/>
  <c r="U57" i="8" s="1"/>
  <c r="V57" i="8" a="1"/>
  <c r="V57" i="8" s="1"/>
  <c r="V176" i="8" a="1"/>
  <c r="V176" i="8" s="1"/>
  <c r="AB176" i="8" a="1"/>
  <c r="AB176" i="8" s="1"/>
  <c r="Y176" i="8" a="1"/>
  <c r="Y176" i="8" s="1"/>
  <c r="S176" i="8" a="1"/>
  <c r="S176" i="8" s="1"/>
  <c r="AC176" i="8" s="1"/>
  <c r="Z176" i="8"/>
  <c r="T176" i="8" a="1"/>
  <c r="T176" i="8" s="1"/>
  <c r="U176" i="8" s="1"/>
  <c r="AU176" i="8"/>
  <c r="X176" i="8" a="1"/>
  <c r="X176" i="8" s="1"/>
  <c r="W176" i="8" a="1"/>
  <c r="W176" i="8" s="1"/>
  <c r="W135" i="8" a="1"/>
  <c r="W135" i="8" s="1"/>
  <c r="Y135" i="8" a="1"/>
  <c r="Y135" i="8" s="1"/>
  <c r="Z135" i="8"/>
  <c r="AU135" i="8"/>
  <c r="V135" i="8" a="1"/>
  <c r="V135" i="8" s="1"/>
  <c r="S135" i="8" a="1"/>
  <c r="S135" i="8" s="1"/>
  <c r="AC135" i="8" s="1"/>
  <c r="X135" i="8" a="1"/>
  <c r="X135" i="8" s="1"/>
  <c r="T135" i="8" a="1"/>
  <c r="T135" i="8" s="1"/>
  <c r="U135" i="8" s="1"/>
  <c r="AB135" i="8" a="1"/>
  <c r="AB135" i="8" s="1"/>
  <c r="AB92" i="8" a="1"/>
  <c r="AB92" i="8" s="1"/>
  <c r="X92" i="8" a="1"/>
  <c r="X92" i="8" s="1"/>
  <c r="Z92" i="8"/>
  <c r="S92" i="8" a="1"/>
  <c r="S92" i="8" s="1"/>
  <c r="AC92" i="8" s="1"/>
  <c r="AU92" i="8"/>
  <c r="V92" i="8" a="1"/>
  <c r="V92" i="8" s="1"/>
  <c r="W92" i="8" a="1"/>
  <c r="W92" i="8" s="1"/>
  <c r="T92" i="8" a="1"/>
  <c r="T92" i="8" s="1"/>
  <c r="U92" i="8" s="1"/>
  <c r="Y92" i="8" a="1"/>
  <c r="Y92" i="8" s="1"/>
  <c r="X197" i="8" a="1"/>
  <c r="X197" i="8" s="1"/>
  <c r="T197" i="8" a="1"/>
  <c r="T197" i="8" s="1"/>
  <c r="U197" i="8" s="1"/>
  <c r="AU197" i="8"/>
  <c r="W197" i="8" a="1"/>
  <c r="W197" i="8" s="1"/>
  <c r="Z197" i="8"/>
  <c r="AB197" i="8" a="1"/>
  <c r="AB197" i="8" s="1"/>
  <c r="S197" i="8" a="1"/>
  <c r="S197" i="8" s="1"/>
  <c r="AC197" i="8" s="1"/>
  <c r="Y197" i="8" a="1"/>
  <c r="Y197" i="8" s="1"/>
  <c r="V197" i="8" a="1"/>
  <c r="V197" i="8" s="1"/>
  <c r="X61" i="8" a="1"/>
  <c r="X61" i="8" s="1"/>
  <c r="AU61" i="8"/>
  <c r="Z201" i="8"/>
  <c r="AB201" i="8" a="1"/>
  <c r="AB201" i="8" s="1"/>
  <c r="V201" i="8" a="1"/>
  <c r="V201" i="8" s="1"/>
  <c r="X201" i="8" a="1"/>
  <c r="X201" i="8" s="1"/>
  <c r="W201" i="8" a="1"/>
  <c r="W201" i="8" s="1"/>
  <c r="T201" i="8" a="1"/>
  <c r="T201" i="8" s="1"/>
  <c r="U201" i="8" s="1"/>
  <c r="AU201" i="8"/>
  <c r="Y201" i="8" a="1"/>
  <c r="Y201" i="8" s="1"/>
  <c r="S201" i="8" a="1"/>
  <c r="S201" i="8" s="1"/>
  <c r="AC201" i="8" s="1"/>
  <c r="AU80" i="8"/>
  <c r="X80" i="8" a="1"/>
  <c r="X80" i="8" s="1"/>
  <c r="AU236" i="8"/>
  <c r="X236" i="8" a="1"/>
  <c r="X236" i="8" s="1"/>
  <c r="X183" i="8" a="1"/>
  <c r="X183" i="8" s="1"/>
  <c r="S183" i="8" a="1"/>
  <c r="S183" i="8" s="1"/>
  <c r="AC183" i="8" s="1"/>
  <c r="Y183" i="8" a="1"/>
  <c r="Y183" i="8" s="1"/>
  <c r="V183" i="8" a="1"/>
  <c r="V183" i="8" s="1"/>
  <c r="AB183" i="8" a="1"/>
  <c r="AB183" i="8" s="1"/>
  <c r="T183" i="8" a="1"/>
  <c r="T183" i="8" s="1"/>
  <c r="U183" i="8" s="1"/>
  <c r="Z183" i="8"/>
  <c r="W183" i="8" a="1"/>
  <c r="W183" i="8" s="1"/>
  <c r="AU183" i="8"/>
  <c r="X124" i="8" a="1"/>
  <c r="X124" i="8" s="1"/>
  <c r="AU124" i="8"/>
  <c r="T53" i="8" a="1"/>
  <c r="T53" i="8" s="1"/>
  <c r="U53" i="8" s="1"/>
  <c r="Z53" i="8"/>
  <c r="S53" i="8" a="1"/>
  <c r="S53" i="8" s="1"/>
  <c r="AC53" i="8" s="1"/>
  <c r="V53" i="8" a="1"/>
  <c r="V53" i="8" s="1"/>
  <c r="X53" i="8" a="1"/>
  <c r="X53" i="8" s="1"/>
  <c r="W53" i="8" a="1"/>
  <c r="W53" i="8" s="1"/>
  <c r="AU53" i="8"/>
  <c r="Y53" i="8" a="1"/>
  <c r="Y53" i="8" s="1"/>
  <c r="AB53" i="8" a="1"/>
  <c r="AB53" i="8" s="1"/>
  <c r="S215" i="8" a="1"/>
  <c r="S215" i="8" s="1"/>
  <c r="AC215" i="8" s="1"/>
  <c r="V215" i="8" a="1"/>
  <c r="V215" i="8" s="1"/>
  <c r="Y215" i="8" a="1"/>
  <c r="Y215" i="8" s="1"/>
  <c r="AB215" i="8" a="1"/>
  <c r="AB215" i="8" s="1"/>
  <c r="Z215" i="8"/>
  <c r="T215" i="8" a="1"/>
  <c r="T215" i="8" s="1"/>
  <c r="U215" i="8" s="1"/>
  <c r="AU215" i="8"/>
  <c r="W215" i="8" a="1"/>
  <c r="W215" i="8" s="1"/>
  <c r="X215" i="8" a="1"/>
  <c r="X215" i="8" s="1"/>
  <c r="X127" i="8" a="1"/>
  <c r="X127" i="8" s="1"/>
  <c r="AU127" i="8"/>
  <c r="AB208" i="8" a="1"/>
  <c r="AB208" i="8" s="1"/>
  <c r="AU208" i="8"/>
  <c r="T208" i="8" a="1"/>
  <c r="T208" i="8" s="1"/>
  <c r="U208" i="8" s="1"/>
  <c r="S208" i="8" a="1"/>
  <c r="S208" i="8" s="1"/>
  <c r="AC208" i="8" s="1"/>
  <c r="Z208" i="8"/>
  <c r="W208" i="8" a="1"/>
  <c r="W208" i="8" s="1"/>
  <c r="V208" i="8" a="1"/>
  <c r="V208" i="8" s="1"/>
  <c r="Y208" i="8" a="1"/>
  <c r="Y208" i="8" s="1"/>
  <c r="X208" i="8" a="1"/>
  <c r="X208" i="8" s="1"/>
  <c r="X147" i="8" a="1"/>
  <c r="X147" i="8" s="1"/>
  <c r="AU147" i="8"/>
  <c r="AU254" i="8"/>
  <c r="X254" i="8" a="1"/>
  <c r="X254" i="8" s="1"/>
  <c r="AU158" i="8"/>
  <c r="X158" i="8" a="1"/>
  <c r="X158" i="8" s="1"/>
  <c r="V84" i="8" a="1"/>
  <c r="V84" i="8" s="1"/>
  <c r="Z84" i="8"/>
  <c r="AU84" i="8"/>
  <c r="S84" i="8" a="1"/>
  <c r="S84" i="8" s="1"/>
  <c r="AC84" i="8" s="1"/>
  <c r="AB84" i="8" a="1"/>
  <c r="AB84" i="8" s="1"/>
  <c r="T84" i="8" a="1"/>
  <c r="T84" i="8" s="1"/>
  <c r="U84" i="8" s="1"/>
  <c r="W84" i="8" a="1"/>
  <c r="W84" i="8" s="1"/>
  <c r="Y84" i="8" a="1"/>
  <c r="Y84" i="8" s="1"/>
  <c r="X84" i="8" a="1"/>
  <c r="X84" i="8" s="1"/>
  <c r="T189" i="8" a="1"/>
  <c r="T189" i="8" s="1"/>
  <c r="U189" i="8" s="1"/>
  <c r="X189" i="8" a="1"/>
  <c r="X189" i="8" s="1"/>
  <c r="Y189" i="8" a="1"/>
  <c r="Y189" i="8" s="1"/>
  <c r="AB189" i="8" a="1"/>
  <c r="AB189" i="8" s="1"/>
  <c r="V189" i="8" a="1"/>
  <c r="V189" i="8" s="1"/>
  <c r="AU189" i="8"/>
  <c r="W189" i="8" a="1"/>
  <c r="W189" i="8" s="1"/>
  <c r="Z189" i="8"/>
  <c r="S189" i="8" a="1"/>
  <c r="S189" i="8" s="1"/>
  <c r="AC189" i="8" s="1"/>
  <c r="V232" i="8" a="1"/>
  <c r="V232" i="8" s="1"/>
  <c r="S232" i="8" a="1"/>
  <c r="S232" i="8" s="1"/>
  <c r="AC232" i="8" s="1"/>
  <c r="Y232" i="8" a="1"/>
  <c r="Y232" i="8" s="1"/>
  <c r="W232" i="8" a="1"/>
  <c r="W232" i="8" s="1"/>
  <c r="X232" i="8" a="1"/>
  <c r="X232" i="8" s="1"/>
  <c r="Z232" i="8"/>
  <c r="T232" i="8" a="1"/>
  <c r="T232" i="8" s="1"/>
  <c r="U232" i="8" s="1"/>
  <c r="AU232" i="8"/>
  <c r="AB232" i="8" a="1"/>
  <c r="AB232" i="8" s="1"/>
  <c r="X263" i="8" a="1"/>
  <c r="X263" i="8" s="1"/>
  <c r="AB263" i="8" a="1"/>
  <c r="AB263" i="8" s="1"/>
  <c r="S263" i="8" a="1"/>
  <c r="S263" i="8" s="1"/>
  <c r="AC263" i="8" s="1"/>
  <c r="Y263" i="8" a="1"/>
  <c r="Y263" i="8" s="1"/>
  <c r="T263" i="8" a="1"/>
  <c r="T263" i="8" s="1"/>
  <c r="U263" i="8" s="1"/>
  <c r="Z263" i="8"/>
  <c r="W263" i="8" a="1"/>
  <c r="W263" i="8" s="1"/>
  <c r="V263" i="8" a="1"/>
  <c r="V263" i="8" s="1"/>
  <c r="X75" i="8" a="1"/>
  <c r="X75" i="8" s="1"/>
  <c r="Z75" i="8"/>
  <c r="AU75" i="8"/>
  <c r="W75" i="8" a="1"/>
  <c r="W75" i="8" s="1"/>
  <c r="V75" i="8" a="1"/>
  <c r="V75" i="8" s="1"/>
  <c r="T75" i="8" a="1"/>
  <c r="T75" i="8" s="1"/>
  <c r="U75" i="8" s="1"/>
  <c r="S75" i="8" a="1"/>
  <c r="S75" i="8" s="1"/>
  <c r="AC75" i="8" s="1"/>
  <c r="AB75" i="8" a="1"/>
  <c r="AB75" i="8" s="1"/>
  <c r="Y75" i="8" a="1"/>
  <c r="Y75" i="8" s="1"/>
  <c r="Y55" i="8" a="1"/>
  <c r="Y55" i="8" s="1"/>
  <c r="AB55" i="8" a="1"/>
  <c r="AB55" i="8" s="1"/>
  <c r="Z55" i="8"/>
  <c r="T55" i="8" a="1"/>
  <c r="T55" i="8" s="1"/>
  <c r="U55" i="8" s="1"/>
  <c r="V55" i="8" a="1"/>
  <c r="V55" i="8" s="1"/>
  <c r="S55" i="8" a="1"/>
  <c r="S55" i="8" s="1"/>
  <c r="AC55" i="8" s="1"/>
  <c r="AU55" i="8"/>
  <c r="X55" i="8" a="1"/>
  <c r="X55" i="8" s="1"/>
  <c r="W55" i="8" a="1"/>
  <c r="W55" i="8" s="1"/>
  <c r="V218" i="8" a="1"/>
  <c r="V218" i="8" s="1"/>
  <c r="S218" i="8" a="1"/>
  <c r="S218" i="8" s="1"/>
  <c r="AC218" i="8" s="1"/>
  <c r="Y218" i="8" a="1"/>
  <c r="Y218" i="8" s="1"/>
  <c r="W218" i="8" a="1"/>
  <c r="W218" i="8" s="1"/>
  <c r="X218" i="8" a="1"/>
  <c r="X218" i="8" s="1"/>
  <c r="T218" i="8" a="1"/>
  <c r="T218" i="8" s="1"/>
  <c r="U218" i="8" s="1"/>
  <c r="AU218" i="8"/>
  <c r="AB218" i="8" a="1"/>
  <c r="AB218" i="8" s="1"/>
  <c r="Z218" i="8"/>
  <c r="Y63" i="8" a="1"/>
  <c r="Y63" i="8" s="1"/>
  <c r="X63" i="8" a="1"/>
  <c r="X63" i="8" s="1"/>
  <c r="AU63" i="8"/>
  <c r="T63" i="8" a="1"/>
  <c r="T63" i="8" s="1"/>
  <c r="U63" i="8" s="1"/>
  <c r="W63" i="8" a="1"/>
  <c r="W63" i="8" s="1"/>
  <c r="AB63" i="8" a="1"/>
  <c r="AB63" i="8" s="1"/>
  <c r="Z63" i="8"/>
  <c r="S63" i="8" a="1"/>
  <c r="S63" i="8" s="1"/>
  <c r="AC63" i="8" s="1"/>
  <c r="V63" i="8" a="1"/>
  <c r="V63" i="8" s="1"/>
  <c r="S50" i="8" a="1"/>
  <c r="S50" i="8" s="1"/>
  <c r="AC50" i="8" s="1"/>
  <c r="W50" i="8" a="1"/>
  <c r="W50" i="8" s="1"/>
  <c r="Y50" i="8" a="1"/>
  <c r="Y50" i="8" s="1"/>
  <c r="X50" i="8" a="1"/>
  <c r="X50" i="8" s="1"/>
  <c r="AB50" i="8" a="1"/>
  <c r="AB50" i="8" s="1"/>
  <c r="Z50" i="8"/>
  <c r="T50" i="8" a="1"/>
  <c r="T50" i="8" s="1"/>
  <c r="U50" i="8" s="1"/>
  <c r="AU50" i="8"/>
  <c r="X265" i="8" a="1"/>
  <c r="X265" i="8" s="1"/>
  <c r="W265" i="8" a="1"/>
  <c r="W265" i="8" s="1"/>
  <c r="T265" i="8" a="1"/>
  <c r="T265" i="8" s="1"/>
  <c r="U265" i="8" s="1"/>
  <c r="AB265" i="8" a="1"/>
  <c r="AB265" i="8" s="1"/>
  <c r="Y265" i="8" a="1"/>
  <c r="Y265" i="8" s="1"/>
  <c r="S265" i="8" a="1"/>
  <c r="S265" i="8" s="1"/>
  <c r="AC265" i="8" s="1"/>
  <c r="Z265" i="8"/>
  <c r="V265" i="8" a="1"/>
  <c r="V265" i="8" s="1"/>
  <c r="W71" i="8" a="1"/>
  <c r="W71" i="8" s="1"/>
  <c r="X71" i="8" a="1"/>
  <c r="X71" i="8" s="1"/>
  <c r="Y71" i="8" a="1"/>
  <c r="Y71" i="8" s="1"/>
  <c r="Z71" i="8"/>
  <c r="T71" i="8" a="1"/>
  <c r="T71" i="8" s="1"/>
  <c r="U71" i="8" s="1"/>
  <c r="V71" i="8" a="1"/>
  <c r="V71" i="8" s="1"/>
  <c r="AU71" i="8"/>
  <c r="AB71" i="8" a="1"/>
  <c r="AB71" i="8" s="1"/>
  <c r="S71" i="8" a="1"/>
  <c r="S71" i="8" s="1"/>
  <c r="AC71" i="8" s="1"/>
  <c r="T192" i="8" a="1"/>
  <c r="T192" i="8" s="1"/>
  <c r="U192" i="8" s="1"/>
  <c r="AB192" i="8" a="1"/>
  <c r="AB192" i="8" s="1"/>
  <c r="S192" i="8" a="1"/>
  <c r="S192" i="8" s="1"/>
  <c r="AC192" i="8" s="1"/>
  <c r="Z192" i="8"/>
  <c r="W192" i="8" a="1"/>
  <c r="W192" i="8" s="1"/>
  <c r="X192" i="8" a="1"/>
  <c r="X192" i="8" s="1"/>
  <c r="V192" i="8" a="1"/>
  <c r="V192" i="8" s="1"/>
  <c r="Y192" i="8" a="1"/>
  <c r="Y192" i="8" s="1"/>
  <c r="AU192" i="8"/>
  <c r="V93" i="8" a="1"/>
  <c r="V93" i="8" s="1"/>
  <c r="Z93" i="8"/>
  <c r="X93" i="8" a="1"/>
  <c r="X93" i="8" s="1"/>
  <c r="S93" i="8" a="1"/>
  <c r="S93" i="8" s="1"/>
  <c r="AC93" i="8" s="1"/>
  <c r="Y93" i="8" a="1"/>
  <c r="Y93" i="8" s="1"/>
  <c r="T93" i="8" a="1"/>
  <c r="T93" i="8" s="1"/>
  <c r="U93" i="8" s="1"/>
  <c r="AU93" i="8"/>
  <c r="W93" i="8" a="1"/>
  <c r="W93" i="8" s="1"/>
  <c r="AB93" i="8" a="1"/>
  <c r="AB93" i="8" s="1"/>
  <c r="S231" i="8" a="1"/>
  <c r="S231" i="8" s="1"/>
  <c r="AC231" i="8" s="1"/>
  <c r="Y231" i="8" a="1"/>
  <c r="Y231" i="8" s="1"/>
  <c r="T231" i="8" a="1"/>
  <c r="T231" i="8" s="1"/>
  <c r="U231" i="8" s="1"/>
  <c r="Z231" i="8"/>
  <c r="X231" i="8" a="1"/>
  <c r="X231" i="8" s="1"/>
  <c r="V231" i="8" a="1"/>
  <c r="V231" i="8" s="1"/>
  <c r="AB231" i="8" a="1"/>
  <c r="AB231" i="8" s="1"/>
  <c r="W231" i="8" a="1"/>
  <c r="W231" i="8" s="1"/>
  <c r="AU231" i="8"/>
  <c r="AB138" i="8" a="1"/>
  <c r="AB138" i="8" s="1"/>
  <c r="X138" i="8" a="1"/>
  <c r="X138" i="8" s="1"/>
  <c r="V138" i="8" a="1"/>
  <c r="V138" i="8" s="1"/>
  <c r="S138" i="8" a="1"/>
  <c r="S138" i="8" s="1"/>
  <c r="AC138" i="8" s="1"/>
  <c r="T138" i="8" a="1"/>
  <c r="T138" i="8" s="1"/>
  <c r="U138" i="8" s="1"/>
  <c r="W138" i="8" a="1"/>
  <c r="W138" i="8" s="1"/>
  <c r="Z138" i="8"/>
  <c r="Y138" i="8" a="1"/>
  <c r="Y138" i="8" s="1"/>
  <c r="AU138" i="8"/>
  <c r="AB161" i="8" a="1"/>
  <c r="AB161" i="8" s="1"/>
  <c r="V161" i="8" a="1"/>
  <c r="V161" i="8" s="1"/>
  <c r="T161" i="8" a="1"/>
  <c r="T161" i="8" s="1"/>
  <c r="U161" i="8" s="1"/>
  <c r="X161" i="8" a="1"/>
  <c r="X161" i="8" s="1"/>
  <c r="W161" i="8" a="1"/>
  <c r="W161" i="8" s="1"/>
  <c r="AU161" i="8"/>
  <c r="Y161" i="8" a="1"/>
  <c r="Y161" i="8" s="1"/>
  <c r="Z161" i="8"/>
  <c r="S161" i="8" a="1"/>
  <c r="S161" i="8" s="1"/>
  <c r="AC161" i="8" s="1"/>
  <c r="AU107" i="8"/>
  <c r="W107" i="8" a="1"/>
  <c r="W107" i="8" s="1"/>
  <c r="V107" i="8" a="1"/>
  <c r="V107" i="8" s="1"/>
  <c r="S107" i="8" a="1"/>
  <c r="S107" i="8" s="1"/>
  <c r="AC107" i="8" s="1"/>
  <c r="AB107" i="8" a="1"/>
  <c r="AB107" i="8" s="1"/>
  <c r="Z107" i="8"/>
  <c r="T107" i="8" a="1"/>
  <c r="T107" i="8" s="1"/>
  <c r="U107" i="8" s="1"/>
  <c r="X107" i="8" a="1"/>
  <c r="X107" i="8" s="1"/>
  <c r="Y107" i="8" a="1"/>
  <c r="Y107" i="8" s="1"/>
  <c r="X243" i="8" a="1"/>
  <c r="X243" i="8" s="1"/>
  <c r="AU243" i="8"/>
  <c r="AU47" i="8"/>
  <c r="Z111" i="8"/>
  <c r="X111" i="8" a="1"/>
  <c r="X111" i="8" s="1"/>
  <c r="V111" i="8" a="1"/>
  <c r="V111" i="8" s="1"/>
  <c r="AU111" i="8"/>
  <c r="Y111" i="8" a="1"/>
  <c r="Y111" i="8" s="1"/>
  <c r="AB111" i="8" a="1"/>
  <c r="AB111" i="8" s="1"/>
  <c r="T111" i="8" a="1"/>
  <c r="T111" i="8" s="1"/>
  <c r="U111" i="8" s="1"/>
  <c r="W111" i="8" a="1"/>
  <c r="W111" i="8" s="1"/>
  <c r="S111" i="8" a="1"/>
  <c r="S111" i="8" s="1"/>
  <c r="AC111" i="8" s="1"/>
  <c r="AU43" i="8"/>
  <c r="Z166" i="8"/>
  <c r="Y166" i="8" a="1"/>
  <c r="Y166" i="8" s="1"/>
  <c r="S166" i="8" a="1"/>
  <c r="S166" i="8" s="1"/>
  <c r="AC166" i="8" s="1"/>
  <c r="W166" i="8" a="1"/>
  <c r="W166" i="8" s="1"/>
  <c r="AU166" i="8"/>
  <c r="X166" i="8" a="1"/>
  <c r="X166" i="8" s="1"/>
  <c r="V166" i="8" a="1"/>
  <c r="V166" i="8" s="1"/>
  <c r="T166" i="8" a="1"/>
  <c r="T166" i="8" s="1"/>
  <c r="U166" i="8" s="1"/>
  <c r="AB166" i="8" a="1"/>
  <c r="AB166" i="8" s="1"/>
  <c r="AU134" i="8"/>
  <c r="X134" i="8" a="1"/>
  <c r="X134" i="8" s="1"/>
  <c r="Z76" i="8"/>
  <c r="T76" i="8" a="1"/>
  <c r="T76" i="8" s="1"/>
  <c r="U76" i="8" s="1"/>
  <c r="W76" i="8" a="1"/>
  <c r="W76" i="8" s="1"/>
  <c r="Y76" i="8" a="1"/>
  <c r="Y76" i="8" s="1"/>
  <c r="S76" i="8" a="1"/>
  <c r="S76" i="8" s="1"/>
  <c r="AC76" i="8" s="1"/>
  <c r="AU76" i="8"/>
  <c r="V76" i="8" a="1"/>
  <c r="V76" i="8" s="1"/>
  <c r="X76" i="8" a="1"/>
  <c r="X76" i="8" s="1"/>
  <c r="AB76" i="8" a="1"/>
  <c r="AB76" i="8" s="1"/>
  <c r="X89" i="8" a="1"/>
  <c r="X89" i="8" s="1"/>
  <c r="AU89" i="8"/>
  <c r="Y238" i="8" a="1"/>
  <c r="Y238" i="8" s="1"/>
  <c r="T238" i="8" a="1"/>
  <c r="T238" i="8" s="1"/>
  <c r="U238" i="8" s="1"/>
  <c r="AB238" i="8" a="1"/>
  <c r="AB238" i="8" s="1"/>
  <c r="Z238" i="8"/>
  <c r="W238" i="8" a="1"/>
  <c r="W238" i="8" s="1"/>
  <c r="X238" i="8" a="1"/>
  <c r="X238" i="8" s="1"/>
  <c r="AU238" i="8"/>
  <c r="S238" i="8" a="1"/>
  <c r="S238" i="8" s="1"/>
  <c r="AC238" i="8" s="1"/>
  <c r="V238" i="8" a="1"/>
  <c r="V238" i="8" s="1"/>
  <c r="AU132" i="8"/>
  <c r="W132" i="8" a="1"/>
  <c r="W132" i="8" s="1"/>
  <c r="T132" i="8" a="1"/>
  <c r="T132" i="8" s="1"/>
  <c r="U132" i="8" s="1"/>
  <c r="Z132" i="8"/>
  <c r="X132" i="8" a="1"/>
  <c r="X132" i="8" s="1"/>
  <c r="Y132" i="8" a="1"/>
  <c r="Y132" i="8" s="1"/>
  <c r="AB132" i="8" a="1"/>
  <c r="AB132" i="8" s="1"/>
  <c r="V132" i="8" a="1"/>
  <c r="V132" i="8" s="1"/>
  <c r="S132" i="8" a="1"/>
  <c r="S132" i="8" s="1"/>
  <c r="AC132" i="8" s="1"/>
  <c r="X102" i="8" a="1"/>
  <c r="X102" i="8" s="1"/>
  <c r="AU102" i="8"/>
  <c r="Z163" i="8"/>
  <c r="V163" i="8" a="1"/>
  <c r="V163" i="8" s="1"/>
  <c r="W163" i="8" a="1"/>
  <c r="W163" i="8" s="1"/>
  <c r="Y163" i="8" a="1"/>
  <c r="Y163" i="8" s="1"/>
  <c r="T163" i="8" a="1"/>
  <c r="T163" i="8" s="1"/>
  <c r="U163" i="8" s="1"/>
  <c r="AU163" i="8"/>
  <c r="S163" i="8" a="1"/>
  <c r="S163" i="8" s="1"/>
  <c r="AC163" i="8" s="1"/>
  <c r="AB163" i="8" a="1"/>
  <c r="AB163" i="8" s="1"/>
  <c r="X163" i="8" a="1"/>
  <c r="X163" i="8" s="1"/>
  <c r="X123" i="8" a="1"/>
  <c r="X123" i="8" s="1"/>
  <c r="AU123" i="8"/>
  <c r="X159" i="8" a="1"/>
  <c r="X159" i="8" s="1"/>
  <c r="AU159" i="8"/>
  <c r="AB204" i="8" a="1"/>
  <c r="AB204" i="8" s="1"/>
  <c r="Y204" i="8" a="1"/>
  <c r="Y204" i="8" s="1"/>
  <c r="S204" i="8" a="1"/>
  <c r="S204" i="8" s="1"/>
  <c r="AC204" i="8" s="1"/>
  <c r="AU204" i="8"/>
  <c r="W204" i="8" a="1"/>
  <c r="W204" i="8" s="1"/>
  <c r="T204" i="8" a="1"/>
  <c r="T204" i="8" s="1"/>
  <c r="U204" i="8" s="1"/>
  <c r="X204" i="8" a="1"/>
  <c r="X204" i="8" s="1"/>
  <c r="Z204" i="8"/>
  <c r="V204" i="8" a="1"/>
  <c r="V204" i="8" s="1"/>
  <c r="AU126" i="8"/>
  <c r="X126" i="8" a="1"/>
  <c r="X126" i="8" s="1"/>
  <c r="W221" i="8" a="1"/>
  <c r="W221" i="8" s="1"/>
  <c r="Z221" i="8"/>
  <c r="X221" i="8" a="1"/>
  <c r="X221" i="8" s="1"/>
  <c r="V221" i="8" a="1"/>
  <c r="V221" i="8" s="1"/>
  <c r="Y221" i="8" a="1"/>
  <c r="Y221" i="8" s="1"/>
  <c r="S221" i="8" a="1"/>
  <c r="S221" i="8" s="1"/>
  <c r="AC221" i="8" s="1"/>
  <c r="AB221" i="8" a="1"/>
  <c r="AB221" i="8" s="1"/>
  <c r="T221" i="8" a="1"/>
  <c r="T221" i="8" s="1"/>
  <c r="U221" i="8" s="1"/>
  <c r="AU221" i="8"/>
  <c r="T240" i="8" a="1"/>
  <c r="T240" i="8" s="1"/>
  <c r="U240" i="8" s="1"/>
  <c r="W240" i="8" a="1"/>
  <c r="W240" i="8" s="1"/>
  <c r="V240" i="8" a="1"/>
  <c r="V240" i="8" s="1"/>
  <c r="AB240" i="8" a="1"/>
  <c r="AB240" i="8" s="1"/>
  <c r="Y240" i="8" a="1"/>
  <c r="Y240" i="8" s="1"/>
  <c r="Z240" i="8"/>
  <c r="S240" i="8" a="1"/>
  <c r="S240" i="8" s="1"/>
  <c r="AC240" i="8" s="1"/>
  <c r="X240" i="8" a="1"/>
  <c r="X240" i="8" s="1"/>
  <c r="AU240" i="8"/>
  <c r="AU239" i="8"/>
  <c r="Z239" i="8"/>
  <c r="Y239" i="8" a="1"/>
  <c r="Y239" i="8" s="1"/>
  <c r="V239" i="8" a="1"/>
  <c r="V239" i="8" s="1"/>
  <c r="S239" i="8" a="1"/>
  <c r="S239" i="8" s="1"/>
  <c r="AC239" i="8" s="1"/>
  <c r="W239" i="8" a="1"/>
  <c r="W239" i="8" s="1"/>
  <c r="X239" i="8" a="1"/>
  <c r="X239" i="8" s="1"/>
  <c r="T239" i="8" a="1"/>
  <c r="T239" i="8" s="1"/>
  <c r="U239" i="8" s="1"/>
  <c r="AB239" i="8" a="1"/>
  <c r="AB239" i="8" s="1"/>
  <c r="Y196" i="8" a="1"/>
  <c r="Y196" i="8" s="1"/>
  <c r="Z196" i="8"/>
  <c r="X196" i="8" a="1"/>
  <c r="X196" i="8" s="1"/>
  <c r="V196" i="8" a="1"/>
  <c r="V196" i="8" s="1"/>
  <c r="AU196" i="8"/>
  <c r="AB196" i="8" a="1"/>
  <c r="AB196" i="8" s="1"/>
  <c r="S196" i="8" a="1"/>
  <c r="S196" i="8" s="1"/>
  <c r="AC196" i="8" s="1"/>
  <c r="W196" i="8" a="1"/>
  <c r="W196" i="8" s="1"/>
  <c r="T196" i="8" a="1"/>
  <c r="T196" i="8" s="1"/>
  <c r="U196" i="8" s="1"/>
  <c r="X87" i="8" a="1"/>
  <c r="X87" i="8" s="1"/>
  <c r="Z87" i="8"/>
  <c r="AU87" i="8"/>
  <c r="W87" i="8" a="1"/>
  <c r="W87" i="8" s="1"/>
  <c r="V87" i="8" a="1"/>
  <c r="V87" i="8" s="1"/>
  <c r="T87" i="8" a="1"/>
  <c r="T87" i="8" s="1"/>
  <c r="U87" i="8" s="1"/>
  <c r="S87" i="8" a="1"/>
  <c r="S87" i="8" s="1"/>
  <c r="AC87" i="8" s="1"/>
  <c r="AB87" i="8" a="1"/>
  <c r="AB87" i="8" s="1"/>
  <c r="Y87" i="8" a="1"/>
  <c r="Y87" i="8" s="1"/>
  <c r="V142" i="8" a="1"/>
  <c r="V142" i="8" s="1"/>
  <c r="X142" i="8" a="1"/>
  <c r="X142" i="8" s="1"/>
  <c r="S142" i="8" a="1"/>
  <c r="S142" i="8" s="1"/>
  <c r="AC142" i="8" s="1"/>
  <c r="W142" i="8" a="1"/>
  <c r="W142" i="8" s="1"/>
  <c r="T142" i="8" a="1"/>
  <c r="T142" i="8" s="1"/>
  <c r="U142" i="8" s="1"/>
  <c r="Y142" i="8" a="1"/>
  <c r="Y142" i="8" s="1"/>
  <c r="Z142" i="8"/>
  <c r="AB142" i="8" a="1"/>
  <c r="AB142" i="8" s="1"/>
  <c r="AU142" i="8"/>
  <c r="Z125" i="8"/>
  <c r="S125" i="8" a="1"/>
  <c r="S125" i="8" s="1"/>
  <c r="AC125" i="8" s="1"/>
  <c r="V125" i="8" a="1"/>
  <c r="V125" i="8" s="1"/>
  <c r="T125" i="8" a="1"/>
  <c r="T125" i="8" s="1"/>
  <c r="U125" i="8" s="1"/>
  <c r="AU125" i="8"/>
  <c r="W125" i="8" a="1"/>
  <c r="W125" i="8" s="1"/>
  <c r="X125" i="8" a="1"/>
  <c r="X125" i="8" s="1"/>
  <c r="AB125" i="8" a="1"/>
  <c r="AB125" i="8" s="1"/>
  <c r="Y125" i="8" a="1"/>
  <c r="Y125" i="8" s="1"/>
  <c r="T199" i="8" a="1"/>
  <c r="T199" i="8" s="1"/>
  <c r="U199" i="8" s="1"/>
  <c r="AB199" i="8" a="1"/>
  <c r="AB199" i="8" s="1"/>
  <c r="W199" i="8" a="1"/>
  <c r="W199" i="8" s="1"/>
  <c r="Z199" i="8"/>
  <c r="S199" i="8" a="1"/>
  <c r="S199" i="8" s="1"/>
  <c r="AC199" i="8" s="1"/>
  <c r="X199" i="8" a="1"/>
  <c r="X199" i="8" s="1"/>
  <c r="V199" i="8" a="1"/>
  <c r="V199" i="8" s="1"/>
  <c r="AU199" i="8"/>
  <c r="Y199" i="8" a="1"/>
  <c r="Y199" i="8" s="1"/>
  <c r="S233" i="8" a="1"/>
  <c r="S233" i="8" s="1"/>
  <c r="AC233" i="8" s="1"/>
  <c r="Y233" i="8" a="1"/>
  <c r="Y233" i="8" s="1"/>
  <c r="AB233" i="8" a="1"/>
  <c r="AB233" i="8" s="1"/>
  <c r="Z233" i="8"/>
  <c r="T233" i="8" a="1"/>
  <c r="T233" i="8" s="1"/>
  <c r="U233" i="8" s="1"/>
  <c r="AU233" i="8"/>
  <c r="V233" i="8" a="1"/>
  <c r="V233" i="8" s="1"/>
  <c r="X233" i="8" a="1"/>
  <c r="X233" i="8" s="1"/>
  <c r="W233" i="8" a="1"/>
  <c r="W233" i="8" s="1"/>
  <c r="V116" i="8" a="1"/>
  <c r="V116" i="8" s="1"/>
  <c r="AB116" i="8" a="1"/>
  <c r="AB116" i="8" s="1"/>
  <c r="Z116" i="8"/>
  <c r="S116" i="8" a="1"/>
  <c r="S116" i="8" s="1"/>
  <c r="AC116" i="8" s="1"/>
  <c r="AU116" i="8"/>
  <c r="X116" i="8" a="1"/>
  <c r="X116" i="8" s="1"/>
  <c r="W116" i="8" a="1"/>
  <c r="W116" i="8" s="1"/>
  <c r="T116" i="8" a="1"/>
  <c r="T116" i="8" s="1"/>
  <c r="U116" i="8" s="1"/>
  <c r="Y116" i="8" a="1"/>
  <c r="Y116" i="8" s="1"/>
  <c r="T219" i="8" a="1"/>
  <c r="T219" i="8" s="1"/>
  <c r="U219" i="8" s="1"/>
  <c r="Z219" i="8"/>
  <c r="W219" i="8" a="1"/>
  <c r="W219" i="8" s="1"/>
  <c r="Y219" i="8" a="1"/>
  <c r="Y219" i="8" s="1"/>
  <c r="AB219" i="8" a="1"/>
  <c r="AB219" i="8" s="1"/>
  <c r="X219" i="8" a="1"/>
  <c r="X219" i="8" s="1"/>
  <c r="S219" i="8" a="1"/>
  <c r="S219" i="8" s="1"/>
  <c r="AC219" i="8" s="1"/>
  <c r="AU219" i="8"/>
  <c r="V219" i="8" a="1"/>
  <c r="V219" i="8" s="1"/>
  <c r="AU226" i="8"/>
  <c r="T226" i="8" a="1"/>
  <c r="T226" i="8" s="1"/>
  <c r="U226" i="8" s="1"/>
  <c r="X226" i="8" a="1"/>
  <c r="X226" i="8" s="1"/>
  <c r="V226" i="8" a="1"/>
  <c r="V226" i="8" s="1"/>
  <c r="W226" i="8" a="1"/>
  <c r="W226" i="8" s="1"/>
  <c r="Y226" i="8" a="1"/>
  <c r="Y226" i="8" s="1"/>
  <c r="AB226" i="8" a="1"/>
  <c r="AB226" i="8" s="1"/>
  <c r="Z226" i="8"/>
  <c r="S226" i="8" a="1"/>
  <c r="S226" i="8" s="1"/>
  <c r="AC226" i="8" s="1"/>
  <c r="Y194" i="8" a="1"/>
  <c r="Y194" i="8" s="1"/>
  <c r="AU194" i="8"/>
  <c r="W194" i="8" a="1"/>
  <c r="W194" i="8" s="1"/>
  <c r="S194" i="8" a="1"/>
  <c r="S194" i="8" s="1"/>
  <c r="AC194" i="8" s="1"/>
  <c r="Z194" i="8"/>
  <c r="X194" i="8" a="1"/>
  <c r="X194" i="8" s="1"/>
  <c r="T194" i="8" a="1"/>
  <c r="T194" i="8" s="1"/>
  <c r="U194" i="8" s="1"/>
  <c r="V194" i="8" a="1"/>
  <c r="V194" i="8" s="1"/>
  <c r="AB194" i="8" a="1"/>
  <c r="AB194" i="8" s="1"/>
  <c r="X90" i="8" a="1"/>
  <c r="X90" i="8" s="1"/>
  <c r="AB90" i="8" a="1"/>
  <c r="AB90" i="8" s="1"/>
  <c r="S90" i="8" a="1"/>
  <c r="S90" i="8" s="1"/>
  <c r="AC90" i="8" s="1"/>
  <c r="Z90" i="8"/>
  <c r="Y90" i="8" a="1"/>
  <c r="Y90" i="8" s="1"/>
  <c r="T90" i="8" a="1"/>
  <c r="T90" i="8" s="1"/>
  <c r="U90" i="8" s="1"/>
  <c r="V90" i="8" a="1"/>
  <c r="V90" i="8" s="1"/>
  <c r="AU90" i="8"/>
  <c r="W90" i="8" a="1"/>
  <c r="W90" i="8" s="1"/>
  <c r="S264" i="8" a="1"/>
  <c r="S264" i="8" s="1"/>
  <c r="AC264" i="8" s="1"/>
  <c r="AB264" i="8" a="1"/>
  <c r="AB264" i="8" s="1"/>
  <c r="Z264" i="8"/>
  <c r="T264" i="8" a="1"/>
  <c r="T264" i="8" s="1"/>
  <c r="U264" i="8" s="1"/>
  <c r="X264" i="8" a="1"/>
  <c r="X264" i="8" s="1"/>
  <c r="V264" i="8" a="1"/>
  <c r="V264" i="8" s="1"/>
  <c r="Y264" i="8" a="1"/>
  <c r="Y264" i="8" s="1"/>
  <c r="W264" i="8" a="1"/>
  <c r="W264" i="8" s="1"/>
  <c r="Z131" i="8"/>
  <c r="AU131" i="8"/>
  <c r="X131" i="8" a="1"/>
  <c r="X131" i="8" s="1"/>
  <c r="V131" i="8" a="1"/>
  <c r="V131" i="8" s="1"/>
  <c r="Y131" i="8" a="1"/>
  <c r="Y131" i="8" s="1"/>
  <c r="S131" i="8" a="1"/>
  <c r="S131" i="8" s="1"/>
  <c r="AC131" i="8" s="1"/>
  <c r="AB131" i="8" a="1"/>
  <c r="AB131" i="8" s="1"/>
  <c r="T131" i="8" a="1"/>
  <c r="T131" i="8" s="1"/>
  <c r="U131" i="8" s="1"/>
  <c r="W131" i="8" a="1"/>
  <c r="W131" i="8" s="1"/>
  <c r="Y16" i="8" a="1"/>
  <c r="AB25" i="8" a="1"/>
  <c r="W13" i="8" a="1"/>
  <c r="Y21" i="8" a="1"/>
  <c r="AB28" i="8" a="1"/>
  <c r="W1" i="8" a="1"/>
  <c r="Y18" i="8" a="1"/>
  <c r="Y14" i="8" a="1"/>
  <c r="Y7" i="8" a="1"/>
  <c r="Y4" i="8" a="1"/>
  <c r="S48" i="8" a="1"/>
  <c r="X29" i="8" a="1"/>
  <c r="AB46" i="8" a="1"/>
  <c r="Y12" i="8" a="1"/>
  <c r="AB3" i="8" a="1"/>
  <c r="Y22" i="8" a="1"/>
  <c r="AB40" i="8" a="1"/>
  <c r="X45" i="8" a="1"/>
  <c r="W36" i="8" a="1"/>
  <c r="AB8" i="8" a="1"/>
  <c r="AB5" i="8" a="1"/>
  <c r="X6" i="8" a="1"/>
  <c r="Y10" i="8" a="1"/>
  <c r="X17" i="8" a="1"/>
  <c r="X20" i="8" a="1"/>
  <c r="X30" i="8" a="1"/>
  <c r="S33" i="8" a="1"/>
  <c r="W3" i="8" a="1"/>
  <c r="W26" i="8" a="1"/>
  <c r="X16" i="8" a="1"/>
  <c r="X42" i="8" a="1"/>
  <c r="X25" i="8" a="1"/>
  <c r="Y13" i="8" a="1"/>
  <c r="W21" i="8" a="1"/>
  <c r="Y28" i="8" a="1"/>
  <c r="X34" i="8" a="1"/>
  <c r="X35" i="8" a="1"/>
  <c r="S44" i="8" a="1"/>
  <c r="X14" i="8" a="1"/>
  <c r="W7" i="8" a="1"/>
  <c r="W19" i="8" a="1"/>
  <c r="AB4" i="8" a="1"/>
  <c r="W30" i="8" a="1"/>
  <c r="X37" i="8" a="1"/>
  <c r="AB48" i="8" a="1"/>
  <c r="S29" i="8" a="1"/>
  <c r="Y46" i="8" a="1"/>
  <c r="W12" i="8" a="1"/>
  <c r="S40" i="8" a="1"/>
  <c r="AB36" i="8" a="1"/>
  <c r="Y39" i="8" a="1"/>
  <c r="X8" i="8" a="1"/>
  <c r="S5" i="8" a="1"/>
  <c r="AB6" i="8" a="1"/>
  <c r="AB26" i="8" a="1"/>
  <c r="X15" i="8" a="1"/>
  <c r="W17" i="8" a="1"/>
  <c r="AB47" i="8" a="1"/>
  <c r="Y9" i="8" a="1"/>
  <c r="AB27" i="8" a="1"/>
  <c r="Y31" i="8" a="1"/>
  <c r="AB20" i="8" a="1"/>
  <c r="X44" i="8" a="1"/>
  <c r="S38" i="8" a="1"/>
  <c r="W10" i="8" a="1"/>
  <c r="X41" i="8" a="1"/>
  <c r="S42" i="8" a="1"/>
  <c r="AB13" i="8" a="1"/>
  <c r="X28" i="8" a="1"/>
  <c r="S34" i="8" a="1"/>
  <c r="AB1" i="8" a="1"/>
  <c r="S35" i="8" a="1"/>
  <c r="W44" i="8" a="1"/>
  <c r="Y11" i="8" a="1"/>
  <c r="Y24" i="8" a="1"/>
  <c r="AB18" i="8" a="1"/>
  <c r="X7" i="8" a="1"/>
  <c r="X19" i="8" a="1"/>
  <c r="X32" i="8" a="1"/>
  <c r="S37" i="8" a="1"/>
  <c r="X46" i="8" a="1"/>
  <c r="AB12" i="8" a="1"/>
  <c r="W33" i="8" a="1"/>
  <c r="S2" i="8" a="1"/>
  <c r="X22" i="8" a="1"/>
  <c r="AB38" i="8" a="1"/>
  <c r="W40" i="8" a="1"/>
  <c r="AB45" i="8" a="1"/>
  <c r="AB39" i="8" a="1"/>
  <c r="W5" i="8" a="1"/>
  <c r="S6" i="8" a="1"/>
  <c r="X26" i="8" a="1"/>
  <c r="W15" i="8" a="1"/>
  <c r="X27" i="8" a="1"/>
  <c r="AB31" i="8" a="1"/>
  <c r="W20" i="8" a="1"/>
  <c r="S11" i="8" a="1"/>
  <c r="S24" i="8" a="1"/>
  <c r="Y48" i="8" a="1"/>
  <c r="AB43" i="8" a="1"/>
  <c r="AB16" i="8" a="1"/>
  <c r="S25" i="8" a="1"/>
  <c r="S28" i="8" a="1"/>
  <c r="X1" i="8" a="1"/>
  <c r="X11" i="8" a="1"/>
  <c r="W18" i="8" a="1"/>
  <c r="S14" i="8" a="1"/>
  <c r="W4" i="8" a="1"/>
  <c r="S32" i="8" a="1"/>
  <c r="W48" i="8" a="1"/>
  <c r="W46" i="8" a="1"/>
  <c r="S3" i="8" a="1"/>
  <c r="X2" i="8" a="1"/>
  <c r="AB22" i="8" a="1"/>
  <c r="W38" i="8" a="1"/>
  <c r="Y40" i="8" a="1"/>
  <c r="W45" i="8" a="1"/>
  <c r="S36" i="8" a="1"/>
  <c r="S39" i="8" a="1"/>
  <c r="W8" i="8" a="1"/>
  <c r="S26" i="8" a="1"/>
  <c r="X10" i="8" a="1"/>
  <c r="AB17" i="8" a="1"/>
  <c r="S47" i="8" a="1"/>
  <c r="W43" i="8" a="1"/>
  <c r="X9" i="8" a="1"/>
  <c r="S27" i="8" a="1"/>
  <c r="S31" i="8" a="1"/>
  <c r="Y20" i="8" a="1"/>
  <c r="S16" i="8" a="1"/>
  <c r="X21" i="8" a="1"/>
  <c r="S18" i="8" a="1"/>
  <c r="S45" i="8" a="1"/>
  <c r="S41" i="8" a="1"/>
  <c r="AB21" i="8" a="1"/>
  <c r="W28" i="8" a="1"/>
  <c r="AB34" i="8" a="1"/>
  <c r="W35" i="8" a="1"/>
  <c r="W11" i="8" a="1"/>
  <c r="AB24" i="8" a="1"/>
  <c r="X4" i="8" a="1"/>
  <c r="S30" i="8" a="1"/>
  <c r="AB32" i="8" a="1"/>
  <c r="Y37" i="8" a="1"/>
  <c r="Y29" i="8" a="1"/>
  <c r="X23" i="8" a="1"/>
  <c r="Y33" i="8" a="1"/>
  <c r="S22" i="8" a="1"/>
  <c r="Y38" i="8" a="1"/>
  <c r="X36" i="8" a="1"/>
  <c r="W6" i="8" a="1"/>
  <c r="Y15" i="8" a="1"/>
  <c r="S10" i="8" a="1"/>
  <c r="Y17" i="8" a="1"/>
  <c r="W47" i="8" a="1"/>
  <c r="S9" i="8" a="1"/>
  <c r="Y27" i="8" a="1"/>
  <c r="S13" i="8" a="1"/>
  <c r="S1" i="8" a="1"/>
  <c r="S19" i="8" a="1"/>
  <c r="X12" i="8" a="1"/>
  <c r="X5" i="8" a="1"/>
  <c r="W9" i="8" a="1"/>
  <c r="W25" i="8" a="1"/>
  <c r="X13" i="8" a="1"/>
  <c r="Y35" i="8" a="1"/>
  <c r="AB11" i="8" a="1"/>
  <c r="W24" i="8" a="1"/>
  <c r="X18" i="8" a="1"/>
  <c r="W14" i="8" a="1"/>
  <c r="S7" i="8" a="1"/>
  <c r="Y19" i="8" a="1"/>
  <c r="S4" i="8" a="1"/>
  <c r="Y32" i="8" a="1"/>
  <c r="AB29" i="8" a="1"/>
  <c r="S12" i="8" a="1"/>
  <c r="S23" i="8" a="1"/>
  <c r="AB33" i="8" a="1"/>
  <c r="X3" i="8" a="1"/>
  <c r="Y2" i="8" a="1"/>
  <c r="X40" i="8" a="1"/>
  <c r="X39" i="8" a="1"/>
  <c r="Y8" i="8" a="1"/>
  <c r="Y5" i="8" a="1"/>
  <c r="Y6" i="8" a="1"/>
  <c r="AB15" i="8" a="1"/>
  <c r="S17" i="8" a="1"/>
  <c r="S43" i="8" a="1"/>
  <c r="W27" i="8" a="1"/>
  <c r="X31" i="8" a="1"/>
  <c r="W22" i="8" a="1"/>
  <c r="Y47" i="8" a="1"/>
  <c r="W16" i="8" a="1"/>
  <c r="Y25" i="8" a="1"/>
  <c r="S21" i="8" a="1"/>
  <c r="Y1" i="8" a="1"/>
  <c r="X24" i="8" a="1"/>
  <c r="AB14" i="8" a="1"/>
  <c r="AB7" i="8" a="1"/>
  <c r="AB19" i="8" a="1"/>
  <c r="Y30" i="8" a="1"/>
  <c r="W32" i="8" a="1"/>
  <c r="X48" i="8" a="1"/>
  <c r="W29" i="8" a="1"/>
  <c r="S46" i="8" a="1"/>
  <c r="X33" i="8" a="1"/>
  <c r="Y3" i="8" a="1"/>
  <c r="W2" i="8" a="1"/>
  <c r="X38" i="8" a="1"/>
  <c r="Y45" i="8" a="1"/>
  <c r="Y36" i="8" a="1"/>
  <c r="W39" i="8" a="1"/>
  <c r="S8" i="8" a="1"/>
  <c r="Y26" i="8" a="1"/>
  <c r="S15" i="8" a="1"/>
  <c r="AB10" i="8" a="1"/>
  <c r="X47" i="8" a="1"/>
  <c r="Y43" i="8" a="1"/>
  <c r="W31" i="8" a="1"/>
  <c r="X43" i="8" a="1"/>
  <c r="AB9" i="8" a="1"/>
  <c r="S20" i="8" a="1"/>
  <c r="AA205" i="8" l="1"/>
  <c r="AA55" i="8"/>
  <c r="AA182" i="8"/>
  <c r="AA87" i="8"/>
  <c r="AA239" i="8"/>
  <c r="AA135" i="8"/>
  <c r="AA57" i="8"/>
  <c r="AA104" i="8"/>
  <c r="AA99" i="8"/>
  <c r="AA76" i="8"/>
  <c r="AA106" i="8"/>
  <c r="AA115" i="8"/>
  <c r="AA206" i="8"/>
  <c r="AA148" i="8"/>
  <c r="AA202" i="8"/>
  <c r="AA179" i="8"/>
  <c r="AA226" i="8"/>
  <c r="AA244" i="8"/>
  <c r="AA144" i="8"/>
  <c r="AA129" i="8"/>
  <c r="AA118" i="8"/>
  <c r="AA95" i="8"/>
  <c r="AA191" i="8"/>
  <c r="AA49" i="8"/>
  <c r="AA77" i="8"/>
  <c r="AA116" i="8"/>
  <c r="AA240" i="8"/>
  <c r="AA217" i="8"/>
  <c r="V50" i="8"/>
  <c r="AA110" i="8"/>
  <c r="AA248" i="8"/>
  <c r="AA56" i="8"/>
  <c r="AA165" i="8"/>
  <c r="AA242" i="8"/>
  <c r="AA85" i="8"/>
  <c r="AA65" i="8"/>
  <c r="AA63" i="8"/>
  <c r="AA128" i="8"/>
  <c r="AA231" i="8"/>
  <c r="AA125" i="8"/>
  <c r="V49" i="8"/>
  <c r="AA136" i="8"/>
  <c r="AA74" i="8"/>
  <c r="AA210" i="8"/>
  <c r="AA137" i="8"/>
  <c r="AA218" i="8"/>
  <c r="AA130" i="8"/>
  <c r="AA204" i="8"/>
  <c r="AA75" i="8"/>
  <c r="AA84" i="8"/>
  <c r="AA208" i="8"/>
  <c r="AA228" i="8"/>
  <c r="AA212" i="8"/>
  <c r="AA133" i="8"/>
  <c r="AA68" i="8"/>
  <c r="AA200" i="8"/>
  <c r="AA196" i="8"/>
  <c r="AA221" i="8"/>
  <c r="AA238" i="8"/>
  <c r="AA215" i="8"/>
  <c r="AA197" i="8"/>
  <c r="AA113" i="8"/>
  <c r="AA234" i="8"/>
  <c r="AA83" i="8"/>
  <c r="AA168" i="8"/>
  <c r="AA214" i="8"/>
  <c r="AA163" i="8"/>
  <c r="AA193" i="8"/>
  <c r="AA225" i="8"/>
  <c r="AA156" i="8"/>
  <c r="AA94" i="8"/>
  <c r="AA192" i="8"/>
  <c r="AA194" i="8"/>
  <c r="AA78" i="8"/>
  <c r="AA72" i="8"/>
  <c r="AA264" i="8"/>
  <c r="AA53" i="8"/>
  <c r="AA64" i="8"/>
  <c r="AA139" i="8"/>
  <c r="AA153" i="8"/>
  <c r="AA207" i="8"/>
  <c r="AA97" i="8"/>
  <c r="AA145" i="8"/>
  <c r="AA96" i="8"/>
  <c r="AA70" i="8"/>
  <c r="AA101" i="8"/>
  <c r="AA186" i="8"/>
  <c r="AA81" i="8"/>
  <c r="AA60" i="8"/>
  <c r="AA160" i="8"/>
  <c r="AA98" i="8"/>
  <c r="S20" i="8"/>
  <c r="AC20" i="8" s="1"/>
  <c r="AU20" i="8" s="1"/>
  <c r="AB9" i="8"/>
  <c r="X43" i="8"/>
  <c r="W31" i="8"/>
  <c r="Y43" i="8"/>
  <c r="X47" i="8"/>
  <c r="AB10" i="8"/>
  <c r="S15" i="8"/>
  <c r="AC15" i="8" s="1"/>
  <c r="AU15" i="8" s="1"/>
  <c r="Y26" i="8"/>
  <c r="S8" i="8"/>
  <c r="AC8" i="8" s="1"/>
  <c r="AU8" i="8" s="1"/>
  <c r="W39" i="8"/>
  <c r="Y36" i="8"/>
  <c r="Y45" i="8"/>
  <c r="X38" i="8"/>
  <c r="W2" i="8"/>
  <c r="Y3" i="8"/>
  <c r="X33" i="8"/>
  <c r="S46" i="8"/>
  <c r="AC46" i="8" s="1"/>
  <c r="W29" i="8"/>
  <c r="X48" i="8"/>
  <c r="W32" i="8"/>
  <c r="Y30" i="8"/>
  <c r="AB19" i="8"/>
  <c r="AB7" i="8"/>
  <c r="AB14" i="8"/>
  <c r="X24" i="8"/>
  <c r="Y1" i="8"/>
  <c r="S21" i="8"/>
  <c r="AC21" i="8" s="1"/>
  <c r="AU21" i="8" s="1"/>
  <c r="Y25" i="8"/>
  <c r="W16" i="8"/>
  <c r="Y47" i="8"/>
  <c r="W22" i="8"/>
  <c r="X31" i="8"/>
  <c r="W27" i="8"/>
  <c r="S43" i="8"/>
  <c r="AC43" i="8" s="1"/>
  <c r="S17" i="8"/>
  <c r="AC17" i="8" s="1"/>
  <c r="AU17" i="8" s="1"/>
  <c r="AB15" i="8"/>
  <c r="Y6" i="8"/>
  <c r="Y5" i="8"/>
  <c r="Y8" i="8"/>
  <c r="X39" i="8"/>
  <c r="X40" i="8"/>
  <c r="Y2" i="8"/>
  <c r="X3" i="8"/>
  <c r="AB33" i="8"/>
  <c r="S23" i="8"/>
  <c r="AC23" i="8" s="1"/>
  <c r="AU23" i="8" s="1"/>
  <c r="S12" i="8"/>
  <c r="AC12" i="8" s="1"/>
  <c r="AU12" i="8" s="1"/>
  <c r="AB29" i="8"/>
  <c r="Y32" i="8"/>
  <c r="S4" i="8"/>
  <c r="AC4" i="8" s="1"/>
  <c r="AU4" i="8" s="1"/>
  <c r="Y19" i="8"/>
  <c r="S7" i="8"/>
  <c r="AC7" i="8" s="1"/>
  <c r="AU7" i="8" s="1"/>
  <c r="W14" i="8"/>
  <c r="X18" i="8"/>
  <c r="W24" i="8"/>
  <c r="AB11" i="8"/>
  <c r="Y35" i="8"/>
  <c r="X13" i="8"/>
  <c r="W25" i="8"/>
  <c r="W9" i="8"/>
  <c r="X5" i="8"/>
  <c r="X12" i="8"/>
  <c r="S19" i="8"/>
  <c r="AC19" i="8" s="1"/>
  <c r="AU19" i="8" s="1"/>
  <c r="S1" i="8"/>
  <c r="AC1" i="8" s="1"/>
  <c r="AU1" i="8" s="1"/>
  <c r="S13" i="8"/>
  <c r="AC13" i="8" s="1"/>
  <c r="AU13" i="8" s="1"/>
  <c r="Y27" i="8"/>
  <c r="S9" i="8"/>
  <c r="AC9" i="8" s="1"/>
  <c r="AU9" i="8" s="1"/>
  <c r="W47" i="8"/>
  <c r="Y17" i="8"/>
  <c r="S10" i="8"/>
  <c r="AC10" i="8" s="1"/>
  <c r="AU10" i="8" s="1"/>
  <c r="Y15" i="8"/>
  <c r="W6" i="8"/>
  <c r="X36" i="8"/>
  <c r="Y38" i="8"/>
  <c r="S22" i="8"/>
  <c r="AC22" i="8" s="1"/>
  <c r="AU22" i="8" s="1"/>
  <c r="Y33" i="8"/>
  <c r="X23" i="8"/>
  <c r="Y29" i="8"/>
  <c r="Y37" i="8"/>
  <c r="AB32" i="8"/>
  <c r="S30" i="8"/>
  <c r="AC30" i="8" s="1"/>
  <c r="AU30" i="8" s="1"/>
  <c r="X4" i="8"/>
  <c r="AB24" i="8"/>
  <c r="W11" i="8"/>
  <c r="W35" i="8"/>
  <c r="AB34" i="8"/>
  <c r="W28" i="8"/>
  <c r="AB21" i="8"/>
  <c r="S41" i="8"/>
  <c r="AC41" i="8" s="1"/>
  <c r="AU41" i="8" s="1"/>
  <c r="S45" i="8"/>
  <c r="AC45" i="8" s="1"/>
  <c r="S18" i="8"/>
  <c r="AC18" i="8" s="1"/>
  <c r="AU18" i="8" s="1"/>
  <c r="X21" i="8"/>
  <c r="S16" i="8"/>
  <c r="AC16" i="8" s="1"/>
  <c r="AU16" i="8" s="1"/>
  <c r="Y20" i="8"/>
  <c r="S31" i="8"/>
  <c r="AC31" i="8" s="1"/>
  <c r="AU31" i="8" s="1"/>
  <c r="S27" i="8"/>
  <c r="AC27" i="8" s="1"/>
  <c r="AU27" i="8" s="1"/>
  <c r="X9" i="8"/>
  <c r="W43" i="8"/>
  <c r="S47" i="8"/>
  <c r="AC47" i="8" s="1"/>
  <c r="AB17" i="8"/>
  <c r="X10" i="8"/>
  <c r="S26" i="8"/>
  <c r="AC26" i="8" s="1"/>
  <c r="AU26" i="8" s="1"/>
  <c r="W8" i="8"/>
  <c r="S39" i="8"/>
  <c r="AC39" i="8" s="1"/>
  <c r="AU39" i="8" s="1"/>
  <c r="S36" i="8"/>
  <c r="AC36" i="8" s="1"/>
  <c r="AU36" i="8" s="1"/>
  <c r="W45" i="8"/>
  <c r="Y40" i="8"/>
  <c r="W38" i="8"/>
  <c r="AB22" i="8"/>
  <c r="X2" i="8"/>
  <c r="S3" i="8"/>
  <c r="AC3" i="8" s="1"/>
  <c r="AU3" i="8" s="1"/>
  <c r="W46" i="8"/>
  <c r="W48" i="8"/>
  <c r="S32" i="8"/>
  <c r="AC32" i="8" s="1"/>
  <c r="AU32" i="8" s="1"/>
  <c r="W4" i="8"/>
  <c r="S14" i="8"/>
  <c r="AC14" i="8" s="1"/>
  <c r="AU14" i="8" s="1"/>
  <c r="W18" i="8"/>
  <c r="X11" i="8"/>
  <c r="X1" i="8"/>
  <c r="S28" i="8"/>
  <c r="AC28" i="8" s="1"/>
  <c r="AU28" i="8" s="1"/>
  <c r="S25" i="8"/>
  <c r="AC25" i="8" s="1"/>
  <c r="AU25" i="8" s="1"/>
  <c r="AB16" i="8"/>
  <c r="AB43" i="8"/>
  <c r="Y48" i="8"/>
  <c r="S24" i="8"/>
  <c r="AC24" i="8" s="1"/>
  <c r="AU24" i="8" s="1"/>
  <c r="S11" i="8"/>
  <c r="AC11" i="8" s="1"/>
  <c r="AU11" i="8" s="1"/>
  <c r="W20" i="8"/>
  <c r="AB31" i="8"/>
  <c r="X27" i="8"/>
  <c r="W15" i="8"/>
  <c r="X26" i="8"/>
  <c r="S6" i="8"/>
  <c r="AC6" i="8" s="1"/>
  <c r="AU6" i="8" s="1"/>
  <c r="W5" i="8"/>
  <c r="AB39" i="8"/>
  <c r="AB45" i="8"/>
  <c r="W40" i="8"/>
  <c r="AB38" i="8"/>
  <c r="X22" i="8"/>
  <c r="S2" i="8"/>
  <c r="AC2" i="8" s="1"/>
  <c r="AU2" i="8" s="1"/>
  <c r="W33" i="8"/>
  <c r="AB12" i="8"/>
  <c r="X46" i="8"/>
  <c r="S37" i="8"/>
  <c r="AC37" i="8" s="1"/>
  <c r="AU37" i="8" s="1"/>
  <c r="X32" i="8"/>
  <c r="X19" i="8"/>
  <c r="X7" i="8"/>
  <c r="AB18" i="8"/>
  <c r="Y24" i="8"/>
  <c r="Y11" i="8"/>
  <c r="W44" i="8"/>
  <c r="S35" i="8"/>
  <c r="AC35" i="8" s="1"/>
  <c r="AU35" i="8" s="1"/>
  <c r="AB1" i="8"/>
  <c r="S34" i="8"/>
  <c r="AC34" i="8" s="1"/>
  <c r="AU34" i="8" s="1"/>
  <c r="X28" i="8"/>
  <c r="AB13" i="8"/>
  <c r="S42" i="8"/>
  <c r="AC42" i="8" s="1"/>
  <c r="AU42" i="8" s="1"/>
  <c r="X41" i="8"/>
  <c r="W10" i="8"/>
  <c r="S38" i="8"/>
  <c r="AC38" i="8" s="1"/>
  <c r="AU38" i="8" s="1"/>
  <c r="X44" i="8"/>
  <c r="AB20" i="8"/>
  <c r="Y31" i="8"/>
  <c r="AB27" i="8"/>
  <c r="Y9" i="8"/>
  <c r="AB47" i="8"/>
  <c r="W17" i="8"/>
  <c r="X15" i="8"/>
  <c r="AB26" i="8"/>
  <c r="AB6" i="8"/>
  <c r="S5" i="8"/>
  <c r="AC5" i="8" s="1"/>
  <c r="AU5" i="8" s="1"/>
  <c r="X8" i="8"/>
  <c r="Y39" i="8"/>
  <c r="AB36" i="8"/>
  <c r="S40" i="8"/>
  <c r="AC40" i="8" s="1"/>
  <c r="AU40" i="8" s="1"/>
  <c r="W12" i="8"/>
  <c r="Y46" i="8"/>
  <c r="S29" i="8"/>
  <c r="AC29" i="8" s="1"/>
  <c r="AU29" i="8" s="1"/>
  <c r="AB48" i="8"/>
  <c r="X37" i="8"/>
  <c r="W30" i="8"/>
  <c r="AB4" i="8"/>
  <c r="W19" i="8"/>
  <c r="W7" i="8"/>
  <c r="X14" i="8"/>
  <c r="S44" i="8"/>
  <c r="X35" i="8"/>
  <c r="X34" i="8"/>
  <c r="Y28" i="8"/>
  <c r="W21" i="8"/>
  <c r="Y13" i="8"/>
  <c r="X25" i="8"/>
  <c r="X42" i="8"/>
  <c r="X16" i="8"/>
  <c r="W26" i="8"/>
  <c r="W3" i="8"/>
  <c r="S33" i="8"/>
  <c r="AC33" i="8" s="1"/>
  <c r="AU33" i="8" s="1"/>
  <c r="X30" i="8"/>
  <c r="X20" i="8"/>
  <c r="X17" i="8"/>
  <c r="Y10" i="8"/>
  <c r="X6" i="8"/>
  <c r="AB5" i="8"/>
  <c r="AB8" i="8"/>
  <c r="W36" i="8"/>
  <c r="X45" i="8"/>
  <c r="AB40" i="8"/>
  <c r="Y22" i="8"/>
  <c r="AB3" i="8"/>
  <c r="Y12" i="8"/>
  <c r="AB46" i="8"/>
  <c r="X29" i="8"/>
  <c r="S48" i="8"/>
  <c r="AC48" i="8" s="1"/>
  <c r="Y4" i="8"/>
  <c r="Y7" i="8"/>
  <c r="Y14" i="8"/>
  <c r="Y18" i="8"/>
  <c r="W1" i="8"/>
  <c r="AB28" i="8"/>
  <c r="Y21" i="8"/>
  <c r="W13" i="8"/>
  <c r="AB25" i="8"/>
  <c r="Y16" i="8"/>
  <c r="AA233" i="8"/>
  <c r="AA142" i="8"/>
  <c r="AA209" i="8"/>
  <c r="AA155" i="8"/>
  <c r="AA121" i="8"/>
  <c r="AA91" i="8"/>
  <c r="AA188" i="8"/>
  <c r="AA180" i="8"/>
  <c r="AA178" i="8"/>
  <c r="AA235" i="8"/>
  <c r="AA154" i="8"/>
  <c r="AA174" i="8"/>
  <c r="AA151" i="8"/>
  <c r="AA172" i="8"/>
  <c r="AA131" i="8"/>
  <c r="AA132" i="8"/>
  <c r="AA263" i="8"/>
  <c r="AA183" i="8"/>
  <c r="AA201" i="8"/>
  <c r="AA175" i="8"/>
  <c r="AA79" i="8"/>
  <c r="AA114" i="8"/>
  <c r="AA164" i="8"/>
  <c r="AA203" i="8"/>
  <c r="AA122" i="8"/>
  <c r="AA86" i="8"/>
  <c r="AA237" i="8"/>
  <c r="AA52" i="8"/>
  <c r="AA253" i="8"/>
  <c r="AA109" i="8"/>
  <c r="AA90" i="8"/>
  <c r="AA161" i="8"/>
  <c r="AA138" i="8"/>
  <c r="AA93" i="8"/>
  <c r="AA265" i="8"/>
  <c r="AA50" i="8"/>
  <c r="AA108" i="8"/>
  <c r="AA82" i="8"/>
  <c r="AA229" i="8"/>
  <c r="AA230" i="8"/>
  <c r="AA250" i="8"/>
  <c r="AA103" i="8"/>
  <c r="AA66" i="8"/>
  <c r="AA105" i="8"/>
  <c r="AA152" i="8"/>
  <c r="AA252" i="8"/>
  <c r="AA219" i="8"/>
  <c r="AA111" i="8"/>
  <c r="AA71" i="8"/>
  <c r="AA189" i="8"/>
  <c r="AA92" i="8"/>
  <c r="AA176" i="8"/>
  <c r="AA251" i="8"/>
  <c r="AA190" i="8"/>
  <c r="AA177" i="8"/>
  <c r="AA170" i="8"/>
  <c r="AA107" i="8"/>
  <c r="AA157" i="8"/>
  <c r="AA213" i="8"/>
  <c r="AA54" i="8"/>
  <c r="AA232" i="8"/>
  <c r="AA223" i="8"/>
  <c r="AA143" i="8"/>
  <c r="AA199" i="8"/>
  <c r="AA166" i="8"/>
  <c r="AA167" i="8"/>
  <c r="U7" i="8" l="1"/>
  <c r="V7" i="8" s="1"/>
  <c r="AI7" i="8" s="1"/>
  <c r="U16" i="8"/>
  <c r="V16" i="8" s="1"/>
  <c r="U9" i="8"/>
  <c r="U46" i="8"/>
  <c r="V46" i="8" s="1"/>
  <c r="U47" i="8"/>
  <c r="V47" i="8" s="1"/>
  <c r="U48" i="8"/>
  <c r="V48" i="8" s="1"/>
  <c r="U45" i="8"/>
  <c r="V45" i="8" s="1"/>
  <c r="U14" i="8"/>
  <c r="AH15" i="8" s="1"/>
  <c r="U15" i="8"/>
  <c r="V15" i="8" s="1"/>
  <c r="U21" i="8"/>
  <c r="V21" i="8" s="1"/>
  <c r="U24" i="8"/>
  <c r="U5" i="8"/>
  <c r="U33" i="8"/>
  <c r="U26" i="8"/>
  <c r="AH29" i="8" s="1"/>
  <c r="U22" i="8"/>
  <c r="V22" i="8" s="1"/>
  <c r="U29" i="8"/>
  <c r="V29" i="8" s="1"/>
  <c r="AI31" i="8" s="1"/>
  <c r="U36" i="8"/>
  <c r="V36" i="8" s="1"/>
  <c r="U2" i="8"/>
  <c r="U20" i="8"/>
  <c r="U4" i="8"/>
  <c r="U17" i="8"/>
  <c r="V17" i="8" s="1"/>
  <c r="U1" i="8"/>
  <c r="V1" i="8" s="1"/>
  <c r="AI1" i="8" s="1"/>
  <c r="U18" i="8"/>
  <c r="V18" i="8" s="1"/>
  <c r="U42" i="8"/>
  <c r="AH39" i="8" s="1"/>
  <c r="U13" i="8"/>
  <c r="V13" i="8" s="1"/>
  <c r="U35" i="8"/>
  <c r="AH14" i="8" s="1"/>
  <c r="U11" i="8"/>
  <c r="V11" i="8" s="1"/>
  <c r="U8" i="8"/>
  <c r="V8" i="8" s="1"/>
  <c r="U30" i="8"/>
  <c r="U19" i="8"/>
  <c r="AH20" i="8" s="1"/>
  <c r="U6" i="8"/>
  <c r="V6" i="8" s="1"/>
  <c r="U23" i="8"/>
  <c r="V23" i="8" s="1"/>
  <c r="AI25" i="8" s="1"/>
  <c r="U41" i="8"/>
  <c r="U31" i="8"/>
  <c r="V31" i="8" s="1"/>
  <c r="U10" i="8"/>
  <c r="V10" i="8" s="1"/>
  <c r="U28" i="8"/>
  <c r="V28" i="8" s="1"/>
  <c r="U27" i="8"/>
  <c r="V27" i="8" s="1"/>
  <c r="U32" i="8"/>
  <c r="AH34" i="8" s="1"/>
  <c r="U25" i="8"/>
  <c r="V25" i="8" s="1"/>
  <c r="U34" i="8"/>
  <c r="U12" i="8"/>
  <c r="V12" i="8" s="1"/>
  <c r="AI12" i="8" s="1"/>
  <c r="U3" i="8"/>
  <c r="V3" i="8" s="1"/>
  <c r="AI3" i="8" s="1"/>
  <c r="U43" i="8"/>
  <c r="V43" i="8" s="1"/>
  <c r="AI43" i="8" s="1"/>
  <c r="V4" i="8"/>
  <c r="V38" i="8"/>
  <c r="V37" i="8"/>
  <c r="AI35" i="8" s="1"/>
  <c r="V20" i="8"/>
  <c r="V39" i="8"/>
  <c r="V24" i="8"/>
  <c r="V40" i="8"/>
  <c r="AH40" i="8"/>
  <c r="AK11" i="8"/>
  <c r="AL11" i="8"/>
  <c r="AA35" i="8"/>
  <c r="AN14" i="8" s="1"/>
  <c r="AA6" i="8"/>
  <c r="AN6" i="8" s="1"/>
  <c r="Z6" i="8"/>
  <c r="AM6" i="8" s="1"/>
  <c r="AA14" i="8"/>
  <c r="Z14" i="8"/>
  <c r="AA39" i="8"/>
  <c r="Z39" i="8"/>
  <c r="AF1" i="8"/>
  <c r="AK2" i="8"/>
  <c r="AE4" i="8"/>
  <c r="AD10" i="8"/>
  <c r="AO17" i="8"/>
  <c r="AP3" i="8"/>
  <c r="AP7" i="8"/>
  <c r="AO1" i="8"/>
  <c r="AL8" i="8"/>
  <c r="AK6" i="8"/>
  <c r="AF12" i="8"/>
  <c r="AJ5" i="8"/>
  <c r="AK1" i="8"/>
  <c r="AG7" i="8"/>
  <c r="AG1" i="8"/>
  <c r="AG15" i="8"/>
  <c r="AL1" i="8"/>
  <c r="AJ16" i="8"/>
  <c r="AE1" i="8"/>
  <c r="AJ1" i="8"/>
  <c r="AF34" i="8"/>
  <c r="AL12" i="8"/>
  <c r="AL32" i="8"/>
  <c r="AG12" i="8"/>
  <c r="AJ12" i="8"/>
  <c r="AL27" i="8"/>
  <c r="AE12" i="8"/>
  <c r="AO12" i="8"/>
  <c r="AP28" i="8"/>
  <c r="AE29" i="8"/>
  <c r="AG21" i="8"/>
  <c r="AK12" i="8"/>
  <c r="AE34" i="8"/>
  <c r="AO37" i="8"/>
  <c r="AP38" i="8"/>
  <c r="AE39" i="8"/>
  <c r="AF40" i="8"/>
  <c r="AJ34" i="8"/>
  <c r="AK34" i="8"/>
  <c r="AL34" i="8"/>
  <c r="AO34" i="8"/>
  <c r="AG34" i="8"/>
  <c r="AJ36" i="8"/>
  <c r="AL40" i="8"/>
  <c r="AO40" i="8"/>
  <c r="AF39" i="8"/>
  <c r="AW39" i="8" s="1"/>
  <c r="AX39" i="8" s="1"/>
  <c r="AE9" i="8"/>
  <c r="AE18" i="8"/>
  <c r="AE26" i="8"/>
  <c r="AE36" i="8"/>
  <c r="AE46" i="8"/>
  <c r="AE54" i="8"/>
  <c r="AE62" i="8"/>
  <c r="AE70" i="8"/>
  <c r="AH58" i="8"/>
  <c r="AG4" i="8"/>
  <c r="AF2" i="8"/>
  <c r="AF11" i="8"/>
  <c r="AF20" i="8"/>
  <c r="AF28" i="8"/>
  <c r="AW28" i="8" s="1"/>
  <c r="AX28" i="8" s="1"/>
  <c r="AF38" i="8"/>
  <c r="AW38" i="8" s="1"/>
  <c r="AX38" i="8" s="1"/>
  <c r="AF51" i="8"/>
  <c r="AW51" i="8" s="1"/>
  <c r="AX51" i="8" s="1"/>
  <c r="AF59" i="8"/>
  <c r="AW59" i="8" s="1"/>
  <c r="AX59" i="8" s="1"/>
  <c r="AF67" i="8"/>
  <c r="AW67" i="8" s="1"/>
  <c r="AX67" i="8" s="1"/>
  <c r="AG11" i="8"/>
  <c r="AG19" i="8"/>
  <c r="AG26" i="8"/>
  <c r="AG42" i="8"/>
  <c r="AG50" i="8"/>
  <c r="AG58" i="8"/>
  <c r="AG66" i="8"/>
  <c r="AG74" i="8"/>
  <c r="AG82" i="8"/>
  <c r="AG90" i="8"/>
  <c r="AG98" i="8"/>
  <c r="AG106" i="8"/>
  <c r="AG114" i="8"/>
  <c r="AG122" i="8"/>
  <c r="AG130" i="8"/>
  <c r="AG138" i="8"/>
  <c r="AG146" i="8"/>
  <c r="AG154" i="8"/>
  <c r="AG162" i="8"/>
  <c r="AG170" i="8"/>
  <c r="AG178" i="8"/>
  <c r="AG186" i="8"/>
  <c r="AG194" i="8"/>
  <c r="AG202" i="8"/>
  <c r="AG210" i="8"/>
  <c r="AG218" i="8"/>
  <c r="AG226" i="8"/>
  <c r="AG234" i="8"/>
  <c r="AG242" i="8"/>
  <c r="AG250" i="8"/>
  <c r="AG258" i="8"/>
  <c r="AG270" i="8"/>
  <c r="AG278" i="8"/>
  <c r="AG286" i="8"/>
  <c r="AG294" i="8"/>
  <c r="AG302" i="8"/>
  <c r="AG310" i="8"/>
  <c r="AG318" i="8"/>
  <c r="AG326" i="8"/>
  <c r="AG334" i="8"/>
  <c r="AG342" i="8"/>
  <c r="AG350" i="8"/>
  <c r="AG358" i="8"/>
  <c r="AG366" i="8"/>
  <c r="AG374" i="8"/>
  <c r="AD2" i="8"/>
  <c r="AL2" i="8"/>
  <c r="AK40" i="8"/>
  <c r="AE10" i="8"/>
  <c r="AE19" i="8"/>
  <c r="AE27" i="8"/>
  <c r="AE37" i="8"/>
  <c r="AE47" i="8"/>
  <c r="AE55" i="8"/>
  <c r="AE63" i="8"/>
  <c r="AH62" i="8"/>
  <c r="AF4" i="8"/>
  <c r="AF10" i="8"/>
  <c r="AF19" i="8"/>
  <c r="AW19" i="8" s="1"/>
  <c r="AX19" i="8" s="1"/>
  <c r="AF27" i="8"/>
  <c r="AW27" i="8" s="1"/>
  <c r="AX27" i="8" s="1"/>
  <c r="AF37" i="8"/>
  <c r="AW37" i="8" s="1"/>
  <c r="AX37" i="8" s="1"/>
  <c r="AF58" i="8"/>
  <c r="AW58" i="8" s="1"/>
  <c r="AX58" i="8" s="1"/>
  <c r="AF66" i="8"/>
  <c r="AW66" i="8" s="1"/>
  <c r="AX66" i="8" s="1"/>
  <c r="AG13" i="8"/>
  <c r="AG20" i="8"/>
  <c r="AG27" i="8"/>
  <c r="AG38" i="8"/>
  <c r="AG43" i="8"/>
  <c r="AG51" i="8"/>
  <c r="AG59" i="8"/>
  <c r="AG67" i="8"/>
  <c r="AG75" i="8"/>
  <c r="AG83" i="8"/>
  <c r="AG91" i="8"/>
  <c r="AG99" i="8"/>
  <c r="AG107" i="8"/>
  <c r="AG115" i="8"/>
  <c r="AG123" i="8"/>
  <c r="AG131" i="8"/>
  <c r="AG139" i="8"/>
  <c r="AG147" i="8"/>
  <c r="AG155" i="8"/>
  <c r="AG163" i="8"/>
  <c r="AG171" i="8"/>
  <c r="AG179" i="8"/>
  <c r="AG187" i="8"/>
  <c r="AG195" i="8"/>
  <c r="AG203" i="8"/>
  <c r="AG211" i="8"/>
  <c r="AG219" i="8"/>
  <c r="AG227" i="8"/>
  <c r="AG235" i="8"/>
  <c r="AG243" i="8"/>
  <c r="AG251" i="8"/>
  <c r="AG259" i="8"/>
  <c r="AG271" i="8"/>
  <c r="AG279" i="8"/>
  <c r="AG287" i="8"/>
  <c r="AG295" i="8"/>
  <c r="AG303" i="8"/>
  <c r="AG311" i="8"/>
  <c r="AG319" i="8"/>
  <c r="AG327" i="8"/>
  <c r="AG335" i="8"/>
  <c r="AG343" i="8"/>
  <c r="AG351" i="8"/>
  <c r="AG359" i="8"/>
  <c r="AG367" i="8"/>
  <c r="AE40" i="8"/>
  <c r="AE2" i="8"/>
  <c r="AE11" i="8"/>
  <c r="AE20" i="8"/>
  <c r="AE28" i="8"/>
  <c r="AE38" i="8"/>
  <c r="AE48" i="8"/>
  <c r="AE56" i="8"/>
  <c r="AE64" i="8"/>
  <c r="AK41" i="8"/>
  <c r="AJ49" i="8"/>
  <c r="AD65" i="8"/>
  <c r="AF9" i="8"/>
  <c r="AW9" i="8" s="1"/>
  <c r="AX9" i="8" s="1"/>
  <c r="AF18" i="8"/>
  <c r="AW18" i="8" s="1"/>
  <c r="AX18" i="8" s="1"/>
  <c r="AF26" i="8"/>
  <c r="AW26" i="8" s="1"/>
  <c r="AX26" i="8" s="1"/>
  <c r="AF35" i="8"/>
  <c r="AW35" i="8" s="1"/>
  <c r="AX35" i="8" s="1"/>
  <c r="AF43" i="8"/>
  <c r="AW43" i="8" s="1"/>
  <c r="AX43" i="8" s="1"/>
  <c r="AF49" i="8"/>
  <c r="AW49" i="8" s="1"/>
  <c r="AX49" i="8" s="1"/>
  <c r="AF57" i="8"/>
  <c r="AW57" i="8" s="1"/>
  <c r="AX57" i="8" s="1"/>
  <c r="AF65" i="8"/>
  <c r="AW65" i="8" s="1"/>
  <c r="AX65" i="8" s="1"/>
  <c r="AG22" i="8"/>
  <c r="AG28" i="8"/>
  <c r="AG32" i="8"/>
  <c r="AG44" i="8"/>
  <c r="AG52" i="8"/>
  <c r="AG60" i="8"/>
  <c r="AG68" i="8"/>
  <c r="AG76" i="8"/>
  <c r="AG84" i="8"/>
  <c r="AG92" i="8"/>
  <c r="AG100" i="8"/>
  <c r="AG108" i="8"/>
  <c r="AG116" i="8"/>
  <c r="AG124" i="8"/>
  <c r="AG132" i="8"/>
  <c r="AG140" i="8"/>
  <c r="AG148" i="8"/>
  <c r="AG156" i="8"/>
  <c r="AG164" i="8"/>
  <c r="AG172" i="8"/>
  <c r="AG180" i="8"/>
  <c r="AG188" i="8"/>
  <c r="AG196" i="8"/>
  <c r="AG204" i="8"/>
  <c r="AG212" i="8"/>
  <c r="AG220" i="8"/>
  <c r="AG228" i="8"/>
  <c r="AG236" i="8"/>
  <c r="AG244" i="8"/>
  <c r="AG252" i="8"/>
  <c r="AG260" i="8"/>
  <c r="AG272" i="8"/>
  <c r="AG280" i="8"/>
  <c r="AG288" i="8"/>
  <c r="AG296" i="8"/>
  <c r="AG304" i="8"/>
  <c r="AG312" i="8"/>
  <c r="AG320" i="8"/>
  <c r="AG328" i="8"/>
  <c r="AG336" i="8"/>
  <c r="AG344" i="8"/>
  <c r="AG352" i="8"/>
  <c r="AG360" i="8"/>
  <c r="AG368" i="8"/>
  <c r="AG40" i="8"/>
  <c r="AF41" i="8"/>
  <c r="AW41" i="8" s="1"/>
  <c r="AX41" i="8" s="1"/>
  <c r="AE3" i="8"/>
  <c r="AE13" i="8"/>
  <c r="AE21" i="8"/>
  <c r="AE30" i="8"/>
  <c r="AE41" i="8"/>
  <c r="AE49" i="8"/>
  <c r="AE57" i="8"/>
  <c r="AE65" i="8"/>
  <c r="AP42" i="8"/>
  <c r="AO50" i="8"/>
  <c r="AO75" i="8"/>
  <c r="AF8" i="8"/>
  <c r="AF17" i="8"/>
  <c r="AW17" i="8" s="1"/>
  <c r="AX17" i="8" s="1"/>
  <c r="AF25" i="8"/>
  <c r="AW25" i="8" s="1"/>
  <c r="AX25" i="8" s="1"/>
  <c r="AF33" i="8"/>
  <c r="AW33" i="8" s="1"/>
  <c r="AX33" i="8" s="1"/>
  <c r="AF48" i="8"/>
  <c r="AF56" i="8"/>
  <c r="AW56" i="8" s="1"/>
  <c r="AX56" i="8" s="1"/>
  <c r="AF64" i="8"/>
  <c r="AW64" i="8" s="1"/>
  <c r="AX64" i="8" s="1"/>
  <c r="AG5" i="8"/>
  <c r="AG23" i="8"/>
  <c r="AG33" i="8"/>
  <c r="AG45" i="8"/>
  <c r="AG53" i="8"/>
  <c r="AG61" i="8"/>
  <c r="AG69" i="8"/>
  <c r="AG77" i="8"/>
  <c r="AG85" i="8"/>
  <c r="AG93" i="8"/>
  <c r="AG101" i="8"/>
  <c r="AG109" i="8"/>
  <c r="AG117" i="8"/>
  <c r="AG125" i="8"/>
  <c r="AG133" i="8"/>
  <c r="AG141" i="8"/>
  <c r="AG149" i="8"/>
  <c r="AG157" i="8"/>
  <c r="AG165" i="8"/>
  <c r="AG173" i="8"/>
  <c r="AG181" i="8"/>
  <c r="AG189" i="8"/>
  <c r="AG197" i="8"/>
  <c r="AG205" i="8"/>
  <c r="AG213" i="8"/>
  <c r="AG221" i="8"/>
  <c r="AG229" i="8"/>
  <c r="AG237" i="8"/>
  <c r="AG245" i="8"/>
  <c r="AG253" i="8"/>
  <c r="AG261" i="8"/>
  <c r="AG273" i="8"/>
  <c r="AG281" i="8"/>
  <c r="AG289" i="8"/>
  <c r="AG297" i="8"/>
  <c r="AG305" i="8"/>
  <c r="AG313" i="8"/>
  <c r="AG321" i="8"/>
  <c r="AG329" i="8"/>
  <c r="AG337" i="8"/>
  <c r="AG345" i="8"/>
  <c r="AG353" i="8"/>
  <c r="AG361" i="8"/>
  <c r="AG369" i="8"/>
  <c r="AE5" i="8"/>
  <c r="AE14" i="8"/>
  <c r="AE22" i="8"/>
  <c r="AE31" i="8"/>
  <c r="AE42" i="8"/>
  <c r="AE50" i="8"/>
  <c r="AE58" i="8"/>
  <c r="AE66" i="8"/>
  <c r="AD43" i="8"/>
  <c r="AM51" i="8"/>
  <c r="AF7" i="8"/>
  <c r="AW7" i="8" s="1"/>
  <c r="AX7" i="8" s="1"/>
  <c r="AF16" i="8"/>
  <c r="AW16" i="8" s="1"/>
  <c r="AX16" i="8" s="1"/>
  <c r="AF24" i="8"/>
  <c r="AW24" i="8" s="1"/>
  <c r="AX24" i="8" s="1"/>
  <c r="AF29" i="8"/>
  <c r="AF32" i="8"/>
  <c r="AW32" i="8" s="1"/>
  <c r="AX32" i="8" s="1"/>
  <c r="AF47" i="8"/>
  <c r="AW47" i="8" s="1"/>
  <c r="AX47" i="8" s="1"/>
  <c r="AF55" i="8"/>
  <c r="AW55" i="8" s="1"/>
  <c r="AX55" i="8" s="1"/>
  <c r="AF63" i="8"/>
  <c r="AW63" i="8" s="1"/>
  <c r="AX63" i="8" s="1"/>
  <c r="AG6" i="8"/>
  <c r="AG14" i="8"/>
  <c r="AG24" i="8"/>
  <c r="AG35" i="8"/>
  <c r="AG39" i="8"/>
  <c r="AG46" i="8"/>
  <c r="AG54" i="8"/>
  <c r="AG62" i="8"/>
  <c r="AG70" i="8"/>
  <c r="AG78" i="8"/>
  <c r="AG86" i="8"/>
  <c r="AG94" i="8"/>
  <c r="AG102" i="8"/>
  <c r="AG110" i="8"/>
  <c r="AG118" i="8"/>
  <c r="AG126" i="8"/>
  <c r="AG134" i="8"/>
  <c r="AG142" i="8"/>
  <c r="AG150" i="8"/>
  <c r="AG158" i="8"/>
  <c r="AG166" i="8"/>
  <c r="AG174" i="8"/>
  <c r="AG182" i="8"/>
  <c r="AG190" i="8"/>
  <c r="AG198" i="8"/>
  <c r="AG206" i="8"/>
  <c r="AG214" i="8"/>
  <c r="AG222" i="8"/>
  <c r="AG230" i="8"/>
  <c r="AG238" i="8"/>
  <c r="AG246" i="8"/>
  <c r="AG254" i="8"/>
  <c r="AG262" i="8"/>
  <c r="AG274" i="8"/>
  <c r="AG282" i="8"/>
  <c r="AG290" i="8"/>
  <c r="AG298" i="8"/>
  <c r="AG306" i="8"/>
  <c r="AG314" i="8"/>
  <c r="AG322" i="8"/>
  <c r="AG330" i="8"/>
  <c r="AG338" i="8"/>
  <c r="AG346" i="8"/>
  <c r="AG354" i="8"/>
  <c r="AG362" i="8"/>
  <c r="AG370" i="8"/>
  <c r="AF42" i="8"/>
  <c r="AE6" i="8"/>
  <c r="AE15" i="8"/>
  <c r="AE23" i="8"/>
  <c r="AE32" i="8"/>
  <c r="AE43" i="8"/>
  <c r="AE51" i="8"/>
  <c r="AE59" i="8"/>
  <c r="AE67" i="8"/>
  <c r="AH52" i="8"/>
  <c r="AF6" i="8"/>
  <c r="AW6" i="8" s="1"/>
  <c r="AX6" i="8" s="1"/>
  <c r="AF15" i="8"/>
  <c r="AW15" i="8" s="1"/>
  <c r="AX15" i="8" s="1"/>
  <c r="AF23" i="8"/>
  <c r="AW23" i="8" s="1"/>
  <c r="AX23" i="8" s="1"/>
  <c r="AF31" i="8"/>
  <c r="AW31" i="8" s="1"/>
  <c r="AX31" i="8" s="1"/>
  <c r="AF46" i="8"/>
  <c r="AW46" i="8" s="1"/>
  <c r="AX46" i="8" s="1"/>
  <c r="AF50" i="8"/>
  <c r="AW50" i="8" s="1"/>
  <c r="AX50" i="8" s="1"/>
  <c r="AF54" i="8"/>
  <c r="AW54" i="8" s="1"/>
  <c r="AX54" i="8" s="1"/>
  <c r="AF62" i="8"/>
  <c r="AW62" i="8" s="1"/>
  <c r="AX62" i="8" s="1"/>
  <c r="AF70" i="8"/>
  <c r="AW70" i="8" s="1"/>
  <c r="AX70" i="8" s="1"/>
  <c r="AG8" i="8"/>
  <c r="AG16" i="8"/>
  <c r="AG29" i="8"/>
  <c r="AG36" i="8"/>
  <c r="AG47" i="8"/>
  <c r="AG55" i="8"/>
  <c r="AG63" i="8"/>
  <c r="AG71" i="8"/>
  <c r="AG79" i="8"/>
  <c r="AG87" i="8"/>
  <c r="AG95" i="8"/>
  <c r="AG103" i="8"/>
  <c r="AG111" i="8"/>
  <c r="AG119" i="8"/>
  <c r="AG127" i="8"/>
  <c r="AG135" i="8"/>
  <c r="AG143" i="8"/>
  <c r="AG151" i="8"/>
  <c r="AG159" i="8"/>
  <c r="AG167" i="8"/>
  <c r="AG175" i="8"/>
  <c r="AG183" i="8"/>
  <c r="AG191" i="8"/>
  <c r="AG199" i="8"/>
  <c r="AG207" i="8"/>
  <c r="AG215" i="8"/>
  <c r="AG223" i="8"/>
  <c r="AG231" i="8"/>
  <c r="AG239" i="8"/>
  <c r="AG247" i="8"/>
  <c r="AG255" i="8"/>
  <c r="AG263" i="8"/>
  <c r="AG275" i="8"/>
  <c r="AG283" i="8"/>
  <c r="AG291" i="8"/>
  <c r="AG299" i="8"/>
  <c r="AG307" i="8"/>
  <c r="AG315" i="8"/>
  <c r="AG323" i="8"/>
  <c r="AG331" i="8"/>
  <c r="AG339" i="8"/>
  <c r="AG347" i="8"/>
  <c r="AG355" i="8"/>
  <c r="AG363" i="8"/>
  <c r="AG371" i="8"/>
  <c r="AJ40" i="8"/>
  <c r="AE7" i="8"/>
  <c r="AE16" i="8"/>
  <c r="AE24" i="8"/>
  <c r="AE33" i="8"/>
  <c r="AE44" i="8"/>
  <c r="AE52" i="8"/>
  <c r="AE60" i="8"/>
  <c r="AE68" i="8"/>
  <c r="AP54" i="8"/>
  <c r="AG2" i="8"/>
  <c r="AF5" i="8"/>
  <c r="AW5" i="8" s="1"/>
  <c r="AX5" i="8" s="1"/>
  <c r="AF14" i="8"/>
  <c r="AF22" i="8"/>
  <c r="AW22" i="8" s="1"/>
  <c r="AX22" i="8" s="1"/>
  <c r="AF36" i="8"/>
  <c r="AW36" i="8" s="1"/>
  <c r="AX36" i="8" s="1"/>
  <c r="AF45" i="8"/>
  <c r="AW45" i="8" s="1"/>
  <c r="AX45" i="8" s="1"/>
  <c r="AF53" i="8"/>
  <c r="AW53" i="8" s="1"/>
  <c r="AX53" i="8" s="1"/>
  <c r="AF61" i="8"/>
  <c r="AW61" i="8" s="1"/>
  <c r="AX61" i="8" s="1"/>
  <c r="AF69" i="8"/>
  <c r="AW69" i="8" s="1"/>
  <c r="AX69" i="8" s="1"/>
  <c r="AG9" i="8"/>
  <c r="AG17" i="8"/>
  <c r="AG30" i="8"/>
  <c r="AG37" i="8"/>
  <c r="AG48" i="8"/>
  <c r="AG56" i="8"/>
  <c r="AG64" i="8"/>
  <c r="AG72" i="8"/>
  <c r="AG80" i="8"/>
  <c r="AG88" i="8"/>
  <c r="AG96" i="8"/>
  <c r="AG104" i="8"/>
  <c r="AG112" i="8"/>
  <c r="AG120" i="8"/>
  <c r="AG128" i="8"/>
  <c r="AG136" i="8"/>
  <c r="AG144" i="8"/>
  <c r="AG152" i="8"/>
  <c r="AG160" i="8"/>
  <c r="AG168" i="8"/>
  <c r="AG176" i="8"/>
  <c r="AG184" i="8"/>
  <c r="AG192" i="8"/>
  <c r="AG200" i="8"/>
  <c r="AG208" i="8"/>
  <c r="AG216" i="8"/>
  <c r="AG224" i="8"/>
  <c r="AG232" i="8"/>
  <c r="AG240" i="8"/>
  <c r="AG248" i="8"/>
  <c r="AG256" i="8"/>
  <c r="AG264" i="8"/>
  <c r="AG276" i="8"/>
  <c r="AG284" i="8"/>
  <c r="AG292" i="8"/>
  <c r="AG300" i="8"/>
  <c r="AG308" i="8"/>
  <c r="AG316" i="8"/>
  <c r="AG324" i="8"/>
  <c r="AG332" i="8"/>
  <c r="AG340" i="8"/>
  <c r="AG348" i="8"/>
  <c r="AG356" i="8"/>
  <c r="AG364" i="8"/>
  <c r="AG372" i="8"/>
  <c r="AE8" i="8"/>
  <c r="AE17" i="8"/>
  <c r="AE25" i="8"/>
  <c r="AE35" i="8"/>
  <c r="AE45" i="8"/>
  <c r="AE53" i="8"/>
  <c r="AE61" i="8"/>
  <c r="AE69" i="8"/>
  <c r="AH56" i="8"/>
  <c r="AG3" i="8"/>
  <c r="AF3" i="8"/>
  <c r="AW3" i="8" s="1"/>
  <c r="AX3" i="8" s="1"/>
  <c r="AF13" i="8"/>
  <c r="AW13" i="8" s="1"/>
  <c r="AX13" i="8" s="1"/>
  <c r="AF21" i="8"/>
  <c r="AW21" i="8" s="1"/>
  <c r="AX21" i="8" s="1"/>
  <c r="AF30" i="8"/>
  <c r="AW30" i="8" s="1"/>
  <c r="AX30" i="8" s="1"/>
  <c r="AF44" i="8"/>
  <c r="AW44" i="8" s="1"/>
  <c r="AX44" i="8" s="1"/>
  <c r="AF52" i="8"/>
  <c r="AW52" i="8" s="1"/>
  <c r="AX52" i="8" s="1"/>
  <c r="AF60" i="8"/>
  <c r="AW60" i="8" s="1"/>
  <c r="AX60" i="8" s="1"/>
  <c r="AF68" i="8"/>
  <c r="AW68" i="8" s="1"/>
  <c r="AX68" i="8" s="1"/>
  <c r="AG10" i="8"/>
  <c r="AG18" i="8"/>
  <c r="AG25" i="8"/>
  <c r="AG31" i="8"/>
  <c r="AG41" i="8"/>
  <c r="AG49" i="8"/>
  <c r="AG57" i="8"/>
  <c r="AG65" i="8"/>
  <c r="AG73" i="8"/>
  <c r="AG81" i="8"/>
  <c r="AG89" i="8"/>
  <c r="AG97" i="8"/>
  <c r="AG105" i="8"/>
  <c r="AG113" i="8"/>
  <c r="AG121" i="8"/>
  <c r="AG129" i="8"/>
  <c r="AG137" i="8"/>
  <c r="AG145" i="8"/>
  <c r="AG153" i="8"/>
  <c r="AG161" i="8"/>
  <c r="AG169" i="8"/>
  <c r="AG177" i="8"/>
  <c r="AG185" i="8"/>
  <c r="AG193" i="8"/>
  <c r="AG201" i="8"/>
  <c r="AG209" i="8"/>
  <c r="AG217" i="8"/>
  <c r="AG225" i="8"/>
  <c r="AG233" i="8"/>
  <c r="AG241" i="8"/>
  <c r="AG249" i="8"/>
  <c r="AG257" i="8"/>
  <c r="AG265" i="8"/>
  <c r="AG277" i="8"/>
  <c r="AG285" i="8"/>
  <c r="AG293" i="8"/>
  <c r="AG301" i="8"/>
  <c r="AG309" i="8"/>
  <c r="AG317" i="8"/>
  <c r="AG325" i="8"/>
  <c r="AG333" i="8"/>
  <c r="AG341" i="8"/>
  <c r="AG349" i="8"/>
  <c r="AG357" i="8"/>
  <c r="AG365" i="8"/>
  <c r="AG373" i="8"/>
  <c r="AD8" i="8"/>
  <c r="AL16" i="8"/>
  <c r="AJ4" i="8"/>
  <c r="AK4" i="8"/>
  <c r="AO18" i="8"/>
  <c r="AD11" i="8"/>
  <c r="AL6" i="8"/>
  <c r="AH7" i="8"/>
  <c r="AL4" i="8"/>
  <c r="AH4" i="8"/>
  <c r="AK5" i="8"/>
  <c r="AO4" i="8"/>
  <c r="AP14" i="8"/>
  <c r="AO23" i="8"/>
  <c r="AL20" i="8"/>
  <c r="AL26" i="8"/>
  <c r="AJ22" i="8"/>
  <c r="AO20" i="8"/>
  <c r="AK20" i="8"/>
  <c r="AJ20" i="8"/>
  <c r="AK21" i="8"/>
  <c r="AO41" i="8"/>
  <c r="AL29" i="8"/>
  <c r="AD42" i="8"/>
  <c r="AJ29" i="8"/>
  <c r="AK35" i="8"/>
  <c r="AK29" i="8"/>
  <c r="AO29" i="8"/>
  <c r="AD46" i="8"/>
  <c r="AD30" i="8"/>
  <c r="AJ9" i="8"/>
  <c r="AK48" i="8"/>
  <c r="AK49" i="8"/>
  <c r="AH68" i="8"/>
  <c r="AJ3" i="8"/>
  <c r="AP50" i="8"/>
  <c r="AE74" i="8"/>
  <c r="AD5" i="8"/>
  <c r="AI52" i="8"/>
  <c r="AI78" i="8"/>
  <c r="AP1" i="8"/>
  <c r="AD6" i="8"/>
  <c r="AL5" i="8"/>
  <c r="AI56" i="8"/>
  <c r="AP62" i="8"/>
  <c r="AJ48" i="8"/>
  <c r="AD53" i="8"/>
  <c r="AL48" i="8"/>
  <c r="AL65" i="8"/>
  <c r="AI58" i="8"/>
  <c r="AL10" i="8"/>
  <c r="AJ10" i="8"/>
  <c r="AO11" i="8"/>
  <c r="AP18" i="8"/>
  <c r="AL35" i="8"/>
  <c r="AD19" i="8"/>
  <c r="AP36" i="8"/>
  <c r="AD14" i="8"/>
  <c r="AK10" i="8"/>
  <c r="AO10" i="8"/>
  <c r="AD24" i="8"/>
  <c r="AK22" i="8"/>
  <c r="AO13" i="8"/>
  <c r="AP23" i="8"/>
  <c r="AL42" i="8"/>
  <c r="AJ44" i="8"/>
  <c r="AD61" i="8"/>
  <c r="AO45" i="8"/>
  <c r="AN74" i="8"/>
  <c r="AK42" i="8"/>
  <c r="AP68" i="8"/>
  <c r="AO42" i="8"/>
  <c r="AJ42" i="8"/>
  <c r="AP56" i="8"/>
  <c r="AP58" i="8"/>
  <c r="AO49" i="8"/>
  <c r="AM52" i="8"/>
  <c r="AK3" i="8"/>
  <c r="AH2" i="8"/>
  <c r="AP4" i="8"/>
  <c r="AO2" i="8"/>
  <c r="AJ2" i="8"/>
  <c r="AJ7" i="8"/>
  <c r="AO8" i="8"/>
  <c r="AK8" i="8"/>
  <c r="AJ8" i="8"/>
  <c r="AK9" i="8"/>
  <c r="AP10" i="8"/>
  <c r="AA40" i="8"/>
  <c r="AN42" i="8" s="1"/>
  <c r="Z40" i="8"/>
  <c r="AM42" i="8" s="1"/>
  <c r="AA15" i="8"/>
  <c r="AN16" i="8" s="1"/>
  <c r="Z15" i="8"/>
  <c r="AM16" i="8" s="1"/>
  <c r="AA48" i="8"/>
  <c r="AN48" i="8" s="1"/>
  <c r="Z48" i="8"/>
  <c r="AM48" i="8" s="1"/>
  <c r="AA43" i="8"/>
  <c r="Z43" i="8"/>
  <c r="AA46" i="8"/>
  <c r="Z46" i="8"/>
  <c r="AA36" i="8"/>
  <c r="Z36" i="8"/>
  <c r="AA7" i="8"/>
  <c r="Z7" i="8"/>
  <c r="AA12" i="8"/>
  <c r="AN12" i="8" s="1"/>
  <c r="Z12" i="8"/>
  <c r="AM12" i="8" s="1"/>
  <c r="AA18" i="8"/>
  <c r="Z18" i="8"/>
  <c r="AA8" i="8"/>
  <c r="AN8" i="8" s="1"/>
  <c r="Z8" i="8"/>
  <c r="AM8" i="8" s="1"/>
  <c r="AA11" i="8"/>
  <c r="AN11" i="8" s="1"/>
  <c r="Z11" i="8"/>
  <c r="AM11" i="8" s="1"/>
  <c r="AA25" i="8"/>
  <c r="Z25" i="8"/>
  <c r="AA22" i="8"/>
  <c r="AN24" i="8" s="1"/>
  <c r="Z22" i="8"/>
  <c r="V5" i="8"/>
  <c r="AA31" i="8"/>
  <c r="Z31" i="8"/>
  <c r="AA21" i="8"/>
  <c r="Z21" i="8"/>
  <c r="AM23" i="8" s="1"/>
  <c r="AA19" i="8"/>
  <c r="AN20" i="8" s="1"/>
  <c r="Z19" i="8"/>
  <c r="AM20" i="8" s="1"/>
  <c r="AA33" i="8"/>
  <c r="AN40" i="8" s="1"/>
  <c r="Z33" i="8"/>
  <c r="AM40" i="8" s="1"/>
  <c r="AJ11" i="8"/>
  <c r="AA13" i="8"/>
  <c r="AN13" i="8" s="1"/>
  <c r="Z13" i="8"/>
  <c r="AM13" i="8" s="1"/>
  <c r="AA3" i="8"/>
  <c r="Z3" i="8"/>
  <c r="AA47" i="8"/>
  <c r="Z47" i="8"/>
  <c r="AA16" i="8"/>
  <c r="Z16" i="8"/>
  <c r="AA2" i="8"/>
  <c r="AN2" i="8" s="1"/>
  <c r="Z2" i="8"/>
  <c r="AM2" i="8" s="1"/>
  <c r="AA5" i="8"/>
  <c r="Z5" i="8"/>
  <c r="AM5" i="8" s="1"/>
  <c r="AA20" i="8"/>
  <c r="AN21" i="8" s="1"/>
  <c r="Z20" i="8"/>
  <c r="AM21" i="8" s="1"/>
  <c r="AA4" i="8"/>
  <c r="AN4" i="8" s="1"/>
  <c r="Z4" i="8"/>
  <c r="AM4" i="8" s="1"/>
  <c r="AA38" i="8"/>
  <c r="AN36" i="8" s="1"/>
  <c r="Z38" i="8"/>
  <c r="AA32" i="8"/>
  <c r="AN34" i="8" s="1"/>
  <c r="Z32" i="8"/>
  <c r="AM34" i="8" s="1"/>
  <c r="AA28" i="8"/>
  <c r="Z28" i="8"/>
  <c r="AA24" i="8"/>
  <c r="AN26" i="8" s="1"/>
  <c r="Z24" i="8"/>
  <c r="V9" i="8"/>
  <c r="AI9" i="8" s="1"/>
  <c r="AA26" i="8"/>
  <c r="AN29" i="8" s="1"/>
  <c r="Z26" i="8"/>
  <c r="AM29" i="8" s="1"/>
  <c r="AA30" i="8"/>
  <c r="AN32" i="8" s="1"/>
  <c r="Z30" i="8"/>
  <c r="AM32" i="8" s="1"/>
  <c r="AA17" i="8"/>
  <c r="AN18" i="8" s="1"/>
  <c r="Z17" i="8"/>
  <c r="AA1" i="8"/>
  <c r="AN1" i="8" s="1"/>
  <c r="Z1" i="8"/>
  <c r="AM1" i="8" s="1"/>
  <c r="AA10" i="8"/>
  <c r="AN10" i="8" s="1"/>
  <c r="Z10" i="8"/>
  <c r="AM10" i="8" s="1"/>
  <c r="AA45" i="8"/>
  <c r="AN45" i="8" s="1"/>
  <c r="Z45" i="8"/>
  <c r="AM45" i="8" s="1"/>
  <c r="AA9" i="8"/>
  <c r="Z9" i="8"/>
  <c r="AA27" i="8"/>
  <c r="Z27" i="8"/>
  <c r="AM27" i="8" s="1"/>
  <c r="AA29" i="8"/>
  <c r="Z29" i="8"/>
  <c r="AM31" i="8" s="1"/>
  <c r="AL14" i="8"/>
  <c r="Z35" i="8"/>
  <c r="AM14" i="8" s="1"/>
  <c r="AJ14" i="8"/>
  <c r="AK14" i="8"/>
  <c r="AK15" i="8"/>
  <c r="AD18" i="8"/>
  <c r="AL22" i="8"/>
  <c r="AO26" i="8"/>
  <c r="J41" i="10" a="1"/>
  <c r="W23" i="8" a="1"/>
  <c r="C1" i="10" a="1"/>
  <c r="AN33" i="10" a="1"/>
  <c r="BC41" i="10" a="1"/>
  <c r="BC17" i="10" a="1"/>
  <c r="AB35" i="8" a="1"/>
  <c r="BC9" i="10" a="1"/>
  <c r="J1" i="10" a="1"/>
  <c r="C41" i="10" a="1"/>
  <c r="Y25" i="10" a="1"/>
  <c r="J9" i="10" a="1"/>
  <c r="J33" i="10" a="1"/>
  <c r="J25" i="10" a="1"/>
  <c r="AG17" i="10" a="1"/>
  <c r="Y1" i="10" a="1"/>
  <c r="AN9" i="10" a="1"/>
  <c r="AH8" i="8" l="1"/>
  <c r="AH11" i="8"/>
  <c r="AH46" i="8"/>
  <c r="AH47" i="8"/>
  <c r="AH42" i="8"/>
  <c r="AH10" i="8"/>
  <c r="AH12" i="8"/>
  <c r="AH3" i="8"/>
  <c r="V19" i="8"/>
  <c r="AI20" i="8" s="1"/>
  <c r="V14" i="8"/>
  <c r="AI15" i="8" s="1"/>
  <c r="AH1" i="8"/>
  <c r="AH30" i="8"/>
  <c r="Y1" i="10"/>
  <c r="AG17" i="10"/>
  <c r="J25" i="10"/>
  <c r="J33" i="10"/>
  <c r="J9" i="10"/>
  <c r="Y25" i="10"/>
  <c r="C41" i="10"/>
  <c r="J1" i="10"/>
  <c r="BC9" i="10"/>
  <c r="AB35" i="8"/>
  <c r="AO14" i="8" s="1"/>
  <c r="BC17" i="10"/>
  <c r="BC41" i="10"/>
  <c r="AN33" i="10"/>
  <c r="C1" i="10"/>
  <c r="W23" i="8"/>
  <c r="AJ25" i="8" s="1"/>
  <c r="J41" i="10"/>
  <c r="AY21" i="8"/>
  <c r="AZ21" i="8"/>
  <c r="BA21" i="8"/>
  <c r="AW14" i="8"/>
  <c r="AX14" i="8" s="1"/>
  <c r="AY46" i="8"/>
  <c r="AZ46" i="8"/>
  <c r="AZ32" i="8"/>
  <c r="AY32" i="8"/>
  <c r="BA25" i="8"/>
  <c r="AY25" i="8"/>
  <c r="AZ25" i="8"/>
  <c r="AZ35" i="8"/>
  <c r="BA35" i="8"/>
  <c r="AY35" i="8"/>
  <c r="AY27" i="8"/>
  <c r="AZ27" i="8"/>
  <c r="BA51" i="8"/>
  <c r="AY51" i="8"/>
  <c r="AZ51" i="8"/>
  <c r="AH22" i="8"/>
  <c r="AZ13" i="8"/>
  <c r="BA13" i="8"/>
  <c r="AY5" i="8"/>
  <c r="AZ5" i="8"/>
  <c r="BA5" i="8"/>
  <c r="AY31" i="8"/>
  <c r="AZ31" i="8"/>
  <c r="BA31" i="8"/>
  <c r="AW29" i="8"/>
  <c r="AX29" i="8" s="1"/>
  <c r="BA17" i="8"/>
  <c r="AY17" i="8"/>
  <c r="AZ17" i="8"/>
  <c r="AY26" i="8"/>
  <c r="AZ26" i="8"/>
  <c r="BA26" i="8"/>
  <c r="AY19" i="8"/>
  <c r="BA19" i="8"/>
  <c r="AY38" i="8"/>
  <c r="AZ38" i="8"/>
  <c r="BA39" i="8"/>
  <c r="AY39" i="8"/>
  <c r="AH26" i="8"/>
  <c r="R7" i="11"/>
  <c r="R6" i="11"/>
  <c r="AY3" i="8"/>
  <c r="AZ3" i="8"/>
  <c r="BA3" i="8"/>
  <c r="AY69" i="8"/>
  <c r="AZ69" i="8"/>
  <c r="BA69" i="8"/>
  <c r="AY23" i="8"/>
  <c r="AZ23" i="8"/>
  <c r="BA23" i="8"/>
  <c r="AZ24" i="8"/>
  <c r="BA24" i="8"/>
  <c r="AY24" i="8"/>
  <c r="AW8" i="8"/>
  <c r="AX8" i="8" s="1"/>
  <c r="AY18" i="8"/>
  <c r="AZ18" i="8"/>
  <c r="BA18" i="8"/>
  <c r="AW10" i="8"/>
  <c r="AX10" i="8" s="1"/>
  <c r="BA28" i="8"/>
  <c r="AY28" i="8"/>
  <c r="Q78" i="12" s="1"/>
  <c r="X78" i="12" s="1"/>
  <c r="AH48" i="8"/>
  <c r="AY68" i="8"/>
  <c r="AZ68" i="8"/>
  <c r="BA68" i="8"/>
  <c r="AY61" i="8"/>
  <c r="AZ61" i="8"/>
  <c r="BA61" i="8"/>
  <c r="AY15" i="8"/>
  <c r="AZ15" i="8"/>
  <c r="BA15" i="8"/>
  <c r="AZ16" i="8"/>
  <c r="BA16" i="8"/>
  <c r="AY16" i="8"/>
  <c r="AY9" i="8"/>
  <c r="AZ9" i="8"/>
  <c r="BA9" i="8"/>
  <c r="AW4" i="8"/>
  <c r="AX4" i="8" s="1"/>
  <c r="AW20" i="8"/>
  <c r="AX20" i="8" s="1"/>
  <c r="AY60" i="8"/>
  <c r="AZ60" i="8"/>
  <c r="BA60" i="8"/>
  <c r="AY53" i="8"/>
  <c r="AZ53" i="8"/>
  <c r="BA53" i="8"/>
  <c r="AZ70" i="8"/>
  <c r="BA70" i="8"/>
  <c r="AY70" i="8"/>
  <c r="AY6" i="8"/>
  <c r="AZ6" i="8"/>
  <c r="BA6" i="8"/>
  <c r="AZ7" i="8"/>
  <c r="BA7" i="8"/>
  <c r="AY7" i="8"/>
  <c r="AZ64" i="8"/>
  <c r="BA64" i="8"/>
  <c r="AY64" i="8"/>
  <c r="BA65" i="8"/>
  <c r="AY65" i="8"/>
  <c r="AZ65" i="8"/>
  <c r="AW11" i="8"/>
  <c r="AX11" i="8" s="1"/>
  <c r="AH9" i="8"/>
  <c r="AY52" i="8"/>
  <c r="AZ52" i="8"/>
  <c r="BA52" i="8"/>
  <c r="AY45" i="8"/>
  <c r="AZ45" i="8"/>
  <c r="BA45" i="8"/>
  <c r="AY62" i="8"/>
  <c r="AZ62" i="8"/>
  <c r="BA62" i="8"/>
  <c r="AY63" i="8"/>
  <c r="AZ63" i="8"/>
  <c r="BA63" i="8"/>
  <c r="AZ56" i="8"/>
  <c r="BA56" i="8"/>
  <c r="AY56" i="8"/>
  <c r="BA57" i="8"/>
  <c r="AY57" i="8"/>
  <c r="AZ57" i="8"/>
  <c r="BA66" i="8"/>
  <c r="AY66" i="8"/>
  <c r="AZ66" i="8"/>
  <c r="AW2" i="8"/>
  <c r="AX2" i="8" s="1"/>
  <c r="AW40" i="8"/>
  <c r="AX40" i="8" s="1"/>
  <c r="AY44" i="8"/>
  <c r="AZ44" i="8"/>
  <c r="BA44" i="8"/>
  <c r="BA36" i="8"/>
  <c r="AY36" i="8"/>
  <c r="AZ36" i="8"/>
  <c r="AY54" i="8"/>
  <c r="AZ54" i="8"/>
  <c r="BA54" i="8"/>
  <c r="AW42" i="8"/>
  <c r="AX42" i="8" s="1"/>
  <c r="AY55" i="8"/>
  <c r="AZ55" i="8"/>
  <c r="BA55" i="8"/>
  <c r="AW48" i="8"/>
  <c r="AX48" i="8" s="1"/>
  <c r="AY41" i="8"/>
  <c r="AZ41" i="8"/>
  <c r="BA41" i="8"/>
  <c r="BA49" i="8"/>
  <c r="AY49" i="8"/>
  <c r="AZ49" i="8"/>
  <c r="BA58" i="8"/>
  <c r="AY58" i="8"/>
  <c r="AZ58" i="8"/>
  <c r="BA67" i="8"/>
  <c r="AY67" i="8"/>
  <c r="AZ67" i="8"/>
  <c r="AH31" i="8"/>
  <c r="AW34" i="8"/>
  <c r="AX34" i="8" s="1"/>
  <c r="AW1" i="8"/>
  <c r="AX1" i="8" s="1"/>
  <c r="AY30" i="8"/>
  <c r="AZ30" i="8"/>
  <c r="BA30" i="8"/>
  <c r="AY22" i="8"/>
  <c r="AZ22" i="8"/>
  <c r="BA22" i="8"/>
  <c r="BA50" i="8"/>
  <c r="AY50" i="8"/>
  <c r="AZ50" i="8"/>
  <c r="AY47" i="8"/>
  <c r="BA47" i="8"/>
  <c r="BA33" i="8"/>
  <c r="AY33" i="8"/>
  <c r="BA43" i="8"/>
  <c r="AY43" i="8"/>
  <c r="AZ43" i="8"/>
  <c r="AY37" i="8"/>
  <c r="AZ37" i="8"/>
  <c r="BA37" i="8"/>
  <c r="BA59" i="8"/>
  <c r="AY59" i="8"/>
  <c r="AZ59" i="8"/>
  <c r="AW12" i="8"/>
  <c r="AX12" i="8" s="1"/>
  <c r="AN9" i="10"/>
  <c r="AM9" i="10" s="1"/>
  <c r="AN28" i="8"/>
  <c r="AL28" i="8"/>
  <c r="AJ28" i="8"/>
  <c r="AO28" i="8"/>
  <c r="AH28" i="8"/>
  <c r="AK28" i="8"/>
  <c r="AM28" i="8"/>
  <c r="AJ30" i="8"/>
  <c r="AO31" i="8"/>
  <c r="AQ10" i="10" a="1"/>
  <c r="AM14" i="10" a="1"/>
  <c r="AN14" i="10" a="1"/>
  <c r="AN10" i="10" a="1"/>
  <c r="AQ11" i="10" a="1"/>
  <c r="AM15" i="10" a="1"/>
  <c r="W37" i="8" a="1"/>
  <c r="AO15" i="10" a="1"/>
  <c r="AO14" i="10" a="1"/>
  <c r="AR9" i="10" a="1"/>
  <c r="AQ12" i="10" a="1"/>
  <c r="AN12" i="10" a="1"/>
  <c r="AV1" i="10" a="1"/>
  <c r="AZ19" i="8" l="1"/>
  <c r="AZ39" i="8"/>
  <c r="BA38" i="8"/>
  <c r="BA27" i="8"/>
  <c r="BA32" i="8"/>
  <c r="BB32" i="8" s="1"/>
  <c r="AZ33" i="8"/>
  <c r="BB33" i="8" s="1"/>
  <c r="BB23" i="8"/>
  <c r="BB7" i="8"/>
  <c r="BB55" i="8"/>
  <c r="BB49" i="8"/>
  <c r="BB63" i="8"/>
  <c r="BB60" i="8"/>
  <c r="BB65" i="8"/>
  <c r="BB53" i="8"/>
  <c r="BB9" i="8"/>
  <c r="BB22" i="8"/>
  <c r="BB44" i="8"/>
  <c r="R3" i="11" s="1"/>
  <c r="AZ28" i="8"/>
  <c r="BB28" i="8" s="1"/>
  <c r="BB67" i="8"/>
  <c r="R78" i="12"/>
  <c r="AC78" i="12" s="1"/>
  <c r="BB30" i="8"/>
  <c r="BB58" i="8"/>
  <c r="BB43" i="8"/>
  <c r="BB25" i="8"/>
  <c r="AN12" i="10"/>
  <c r="AQ12" i="10"/>
  <c r="AR9" i="10"/>
  <c r="AO14" i="10"/>
  <c r="AO15" i="10"/>
  <c r="W37" i="8"/>
  <c r="Z37" i="8" s="1"/>
  <c r="AM35" i="8" s="1"/>
  <c r="AM15" i="10"/>
  <c r="AQ11" i="10"/>
  <c r="AN10" i="10"/>
  <c r="AN14" i="10"/>
  <c r="AM14" i="10"/>
  <c r="AQ10" i="10"/>
  <c r="W78" i="12"/>
  <c r="T78" i="12"/>
  <c r="V78" i="12"/>
  <c r="S78" i="12"/>
  <c r="Y78" i="12" s="1"/>
  <c r="AZ48" i="8"/>
  <c r="BA48" i="8"/>
  <c r="AY48" i="8"/>
  <c r="BA1" i="8"/>
  <c r="AY1" i="8"/>
  <c r="AZ1" i="8"/>
  <c r="BB36" i="8"/>
  <c r="BB66" i="8"/>
  <c r="BB45" i="8"/>
  <c r="BB16" i="8"/>
  <c r="BB61" i="8"/>
  <c r="AY10" i="8"/>
  <c r="AZ10" i="8"/>
  <c r="BA10" i="8"/>
  <c r="BB3" i="8"/>
  <c r="AY29" i="8"/>
  <c r="Q79" i="12" s="1"/>
  <c r="X79" i="12" s="1"/>
  <c r="AZ29" i="8"/>
  <c r="BA29" i="8"/>
  <c r="BB27" i="8"/>
  <c r="BB21" i="8"/>
  <c r="B41" i="10"/>
  <c r="BB50" i="8"/>
  <c r="BB59" i="8"/>
  <c r="BA34" i="8"/>
  <c r="AY34" i="8"/>
  <c r="Q84" i="12" s="1"/>
  <c r="X84" i="12" s="1"/>
  <c r="AZ34" i="8"/>
  <c r="BB64" i="8"/>
  <c r="BB6" i="8"/>
  <c r="BB39" i="8"/>
  <c r="BB19" i="8"/>
  <c r="AY13" i="8"/>
  <c r="BB13" i="8" s="1"/>
  <c r="BB35" i="8"/>
  <c r="B1" i="10"/>
  <c r="X25" i="10"/>
  <c r="BA46" i="8"/>
  <c r="BB46" i="8" s="1"/>
  <c r="AM33" i="10"/>
  <c r="I9" i="10"/>
  <c r="AZ12" i="8"/>
  <c r="BA12" i="8"/>
  <c r="AY12" i="8"/>
  <c r="I41" i="10"/>
  <c r="I1" i="10"/>
  <c r="BB70" i="8"/>
  <c r="AY42" i="8"/>
  <c r="Q92" i="12" s="1"/>
  <c r="X92" i="12" s="1"/>
  <c r="BA42" i="8"/>
  <c r="AZ42" i="8"/>
  <c r="BB57" i="8"/>
  <c r="BB52" i="8"/>
  <c r="AY20" i="8"/>
  <c r="AZ20" i="8"/>
  <c r="BA20" i="8"/>
  <c r="BB68" i="8"/>
  <c r="BB18" i="8"/>
  <c r="BB31" i="8"/>
  <c r="BB41" i="10"/>
  <c r="I33" i="10"/>
  <c r="BA8" i="8"/>
  <c r="AY8" i="8"/>
  <c r="Q58" i="12" s="1"/>
  <c r="X58" i="12" s="1"/>
  <c r="AZ8" i="8"/>
  <c r="BB26" i="8"/>
  <c r="BB51" i="8"/>
  <c r="BB17" i="10"/>
  <c r="BF19" i="10" a="1"/>
  <c r="BF19" i="10" s="1"/>
  <c r="I25" i="10"/>
  <c r="BB37" i="8"/>
  <c r="AZ47" i="8"/>
  <c r="BB47" i="8" s="1"/>
  <c r="AY40" i="8"/>
  <c r="Q90" i="12" s="1"/>
  <c r="AZ40" i="8"/>
  <c r="BA40" i="8"/>
  <c r="BB56" i="8"/>
  <c r="BB62" i="8"/>
  <c r="AY14" i="8"/>
  <c r="Q64" i="12" s="1"/>
  <c r="AZ14" i="8"/>
  <c r="BA14" i="8"/>
  <c r="AF17" i="10"/>
  <c r="AY4" i="8"/>
  <c r="AZ4" i="8"/>
  <c r="BA4" i="8"/>
  <c r="AY11" i="8"/>
  <c r="Q61" i="12" s="1"/>
  <c r="X61" i="12" s="1"/>
  <c r="AZ11" i="8"/>
  <c r="BA11" i="8"/>
  <c r="BB15" i="8"/>
  <c r="BB24" i="8"/>
  <c r="BB69" i="8"/>
  <c r="U78" i="12"/>
  <c r="BB41" i="8"/>
  <c r="BB54" i="8"/>
  <c r="AY2" i="8"/>
  <c r="Q52" i="12" s="1"/>
  <c r="X52" i="12" s="1"/>
  <c r="AZ2" i="8"/>
  <c r="BA2" i="8"/>
  <c r="BB38" i="8"/>
  <c r="BB17" i="8"/>
  <c r="BB5" i="8"/>
  <c r="BB9" i="10"/>
  <c r="X1" i="10"/>
  <c r="AV1" i="10"/>
  <c r="AJ37" i="8"/>
  <c r="Q87" i="12"/>
  <c r="V87" i="12" s="1"/>
  <c r="AD38" i="8"/>
  <c r="V42" i="8"/>
  <c r="AI39" i="8" s="1"/>
  <c r="AK43" i="8"/>
  <c r="AK46" i="8"/>
  <c r="AI47" i="8"/>
  <c r="AP52" i="8"/>
  <c r="AI53" i="8"/>
  <c r="AD55" i="8"/>
  <c r="AD57" i="8"/>
  <c r="AD59" i="8"/>
  <c r="AL61" i="8"/>
  <c r="AH64" i="8"/>
  <c r="AD67" i="8"/>
  <c r="AK73" i="8"/>
  <c r="AH77" i="8"/>
  <c r="AK81" i="8"/>
  <c r="AD3" i="8"/>
  <c r="AL3" i="8"/>
  <c r="AI4" i="8"/>
  <c r="AN11" i="10" a="1"/>
  <c r="C46" i="10" a="1"/>
  <c r="B46" i="10" a="1"/>
  <c r="D7" i="10" a="1"/>
  <c r="C6" i="10" a="1"/>
  <c r="X31" i="10" a="1"/>
  <c r="Y28" i="10" a="1"/>
  <c r="AN38" i="10" a="1"/>
  <c r="M11" i="10" a="1"/>
  <c r="M10" i="10" a="1"/>
  <c r="J44" i="10" a="1"/>
  <c r="I46" i="10" a="1"/>
  <c r="M2" i="10" a="1"/>
  <c r="BG41" i="10" a="1"/>
  <c r="BG17" i="10" a="1"/>
  <c r="BF18" i="10" a="1"/>
  <c r="I31" i="10" a="1"/>
  <c r="AK17" i="10" a="1"/>
  <c r="AH23" i="10" a="1"/>
  <c r="AB2" i="10" a="1"/>
  <c r="Y4" i="10" a="1"/>
  <c r="AJ18" i="10" a="1"/>
  <c r="AG18" i="10" a="1"/>
  <c r="D46" i="10" a="1"/>
  <c r="B6" i="10" a="1"/>
  <c r="D6" i="10" a="1"/>
  <c r="AB28" i="10" a="1"/>
  <c r="AM39" i="10" a="1"/>
  <c r="K15" i="10" a="1"/>
  <c r="M44" i="10" a="1"/>
  <c r="N1" i="10" a="1"/>
  <c r="I7" i="10" a="1"/>
  <c r="BD47" i="10" a="1"/>
  <c r="BC46" i="10" a="1"/>
  <c r="M34" i="10" a="1"/>
  <c r="K39" i="10" a="1"/>
  <c r="BF20" i="10" a="1"/>
  <c r="M27" i="10" a="1"/>
  <c r="M28" i="10" a="1"/>
  <c r="F43" i="10" a="1"/>
  <c r="F42" i="10" a="1"/>
  <c r="F4" i="10" a="1"/>
  <c r="AB27" i="10" a="1"/>
  <c r="AR33" i="10" a="1"/>
  <c r="AO39" i="10" a="1"/>
  <c r="K14" i="10" a="1"/>
  <c r="K46" i="10" a="1"/>
  <c r="J6" i="10" a="1"/>
  <c r="BB46" i="10" a="1"/>
  <c r="BC20" i="10" a="1"/>
  <c r="K31" i="10" a="1"/>
  <c r="AJ20" i="10" a="1"/>
  <c r="BB15" i="10" a="1"/>
  <c r="X7" i="10" a="1"/>
  <c r="Y6" i="10" a="1"/>
  <c r="G41" i="10" a="1"/>
  <c r="C4" i="10" a="1"/>
  <c r="X30" i="10" a="1"/>
  <c r="AQ34" i="10" a="1"/>
  <c r="AQ36" i="10" a="1"/>
  <c r="J12" i="10" a="1"/>
  <c r="J14" i="10" a="1"/>
  <c r="M43" i="10" a="1"/>
  <c r="J4" i="10" a="1"/>
  <c r="I39" i="10" a="1"/>
  <c r="M35" i="10" a="1"/>
  <c r="BD23" i="10" a="1"/>
  <c r="K30" i="10" a="1"/>
  <c r="AJ19" i="10" a="1"/>
  <c r="BF12" i="10" a="1"/>
  <c r="BC12" i="10" a="1"/>
  <c r="Z7" i="10" a="1"/>
  <c r="AY3" i="10" a="1"/>
  <c r="D47" i="10" a="1"/>
  <c r="F3" i="10" a="1"/>
  <c r="C2" i="10" a="1"/>
  <c r="AC25" i="10" a="1"/>
  <c r="AO38" i="10" a="1"/>
  <c r="M12" i="10" a="1"/>
  <c r="I15" i="10" a="1"/>
  <c r="M4" i="10" a="1"/>
  <c r="M3" i="10" a="1"/>
  <c r="BF43" i="10" a="1"/>
  <c r="J36" i="10" a="1"/>
  <c r="J34" i="10" a="1"/>
  <c r="BC22" i="10" a="1"/>
  <c r="BB23" i="10" a="1"/>
  <c r="N25" i="10" a="1"/>
  <c r="AG20" i="10" a="1"/>
  <c r="AH22" i="10" a="1"/>
  <c r="BB14" i="10" a="1"/>
  <c r="BD15" i="10" a="1"/>
  <c r="AB3" i="10" a="1"/>
  <c r="Y44" i="8" a="1"/>
  <c r="BG9" i="10" a="1"/>
  <c r="AC1" i="10" a="1"/>
  <c r="AU6" i="10" a="1"/>
  <c r="B47" i="10" a="1"/>
  <c r="F2" i="10" a="1"/>
  <c r="G1" i="10" a="1"/>
  <c r="Z31" i="10" a="1"/>
  <c r="Y26" i="10" a="1"/>
  <c r="AN36" i="10" a="1"/>
  <c r="N9" i="10" a="1"/>
  <c r="J46" i="10" a="1"/>
  <c r="I47" i="10" a="1"/>
  <c r="K7" i="10" a="1"/>
  <c r="BB47" i="10" a="1"/>
  <c r="BF42" i="10" a="1"/>
  <c r="I38" i="10" a="1"/>
  <c r="N33" i="10" a="1"/>
  <c r="BC18" i="10" a="1"/>
  <c r="M26" i="10" a="1"/>
  <c r="I30" i="10" a="1"/>
  <c r="BD14" i="10" a="1"/>
  <c r="BF11" i="10" a="1"/>
  <c r="BF10" i="10" a="1"/>
  <c r="Y2" i="10" a="1"/>
  <c r="AV6" i="10" a="1"/>
  <c r="F44" i="10" a="1"/>
  <c r="C44" i="10" a="1"/>
  <c r="Z30" i="10" a="1"/>
  <c r="AB26" i="10" a="1"/>
  <c r="AM38" i="10" a="1"/>
  <c r="J10" i="10" a="1"/>
  <c r="K47" i="10" a="1"/>
  <c r="J42" i="10" a="1"/>
  <c r="I6" i="10" a="1"/>
  <c r="K6" i="10" a="1"/>
  <c r="BC42" i="10" a="1"/>
  <c r="BD46" i="10" a="1"/>
  <c r="K38" i="10" a="1"/>
  <c r="M36" i="10" a="1"/>
  <c r="BB22" i="10" a="1"/>
  <c r="J28" i="10" a="1"/>
  <c r="AG22" i="10" a="1"/>
  <c r="BC10" i="10" a="1"/>
  <c r="X6" i="10" a="1"/>
  <c r="BC14" i="10" a="1"/>
  <c r="AB4" i="10" a="1"/>
  <c r="C42" i="10" a="1"/>
  <c r="B7" i="10" a="1"/>
  <c r="Y30" i="10" a="1"/>
  <c r="AN34" i="10" a="1"/>
  <c r="AQ35" i="10" a="1"/>
  <c r="I14" i="10" a="1"/>
  <c r="M42" i="10" a="1"/>
  <c r="N41" i="10" a="1"/>
  <c r="J2" i="10" a="1"/>
  <c r="BF44" i="10" a="1"/>
  <c r="BC44" i="10" a="1"/>
  <c r="J38" i="10" a="1"/>
  <c r="BD22" i="10" a="1"/>
  <c r="J26" i="10" a="1"/>
  <c r="J30" i="10" a="1"/>
  <c r="AF22" i="10" a="1"/>
  <c r="AF23" i="10" a="1"/>
  <c r="Z6" i="10" a="1"/>
  <c r="AZ1" i="10" a="1"/>
  <c r="C17" i="10" a="1"/>
  <c r="BB48" i="8" l="1"/>
  <c r="S87" i="12"/>
  <c r="BB10" i="8"/>
  <c r="BB20" i="8"/>
  <c r="T87" i="12"/>
  <c r="Q98" i="12"/>
  <c r="X98" i="12" s="1"/>
  <c r="W87" i="12"/>
  <c r="BB14" i="8"/>
  <c r="R8" i="11" s="1"/>
  <c r="X87" i="12"/>
  <c r="BB1" i="8"/>
  <c r="Z78" i="12"/>
  <c r="AA78" i="12" s="1"/>
  <c r="AZ1" i="10"/>
  <c r="Z6" i="10"/>
  <c r="AF23" i="10"/>
  <c r="AF22" i="10"/>
  <c r="J30" i="10"/>
  <c r="J26" i="10"/>
  <c r="BD22" i="10"/>
  <c r="J38" i="10"/>
  <c r="BC44" i="10"/>
  <c r="BF44" i="10"/>
  <c r="J2" i="10"/>
  <c r="N41" i="10"/>
  <c r="M42" i="10"/>
  <c r="I14" i="10"/>
  <c r="AQ35" i="10"/>
  <c r="AN34" i="10"/>
  <c r="Y30" i="10"/>
  <c r="B7" i="10"/>
  <c r="C42" i="10"/>
  <c r="AB4" i="10"/>
  <c r="BC14" i="10"/>
  <c r="X6" i="10"/>
  <c r="BC10" i="10"/>
  <c r="AG22" i="10"/>
  <c r="J28" i="10"/>
  <c r="BB22" i="10"/>
  <c r="M36" i="10"/>
  <c r="K38" i="10"/>
  <c r="BD46" i="10"/>
  <c r="BC42" i="10"/>
  <c r="K6" i="10"/>
  <c r="I6" i="10"/>
  <c r="J42" i="10"/>
  <c r="K47" i="10"/>
  <c r="J10" i="10"/>
  <c r="AM38" i="10"/>
  <c r="AB26" i="10"/>
  <c r="Z30" i="10"/>
  <c r="C44" i="10"/>
  <c r="F44" i="10"/>
  <c r="AV6" i="10"/>
  <c r="Y2" i="10"/>
  <c r="BF10" i="10"/>
  <c r="BF11" i="10"/>
  <c r="BD14" i="10"/>
  <c r="I30" i="10"/>
  <c r="M26" i="10"/>
  <c r="BC18" i="10"/>
  <c r="BC19" i="10" s="1" a="1"/>
  <c r="BC19" i="10" s="1"/>
  <c r="N33" i="10"/>
  <c r="I38" i="10"/>
  <c r="BF42" i="10"/>
  <c r="BB47" i="10"/>
  <c r="K7" i="10"/>
  <c r="I47" i="10"/>
  <c r="J46" i="10"/>
  <c r="N9" i="10"/>
  <c r="AN36" i="10"/>
  <c r="Y26" i="10"/>
  <c r="Z31" i="10"/>
  <c r="G1" i="10"/>
  <c r="F2" i="10"/>
  <c r="B47" i="10"/>
  <c r="AU6" i="10"/>
  <c r="AC1" i="10"/>
  <c r="BG9" i="10"/>
  <c r="Y44" i="8"/>
  <c r="AA44" i="8" s="1"/>
  <c r="AN44" i="8" s="1"/>
  <c r="AB3" i="10"/>
  <c r="BD15" i="10"/>
  <c r="BB14" i="10"/>
  <c r="AH22" i="10"/>
  <c r="AG20" i="10"/>
  <c r="N25" i="10"/>
  <c r="BB23" i="10"/>
  <c r="BC22" i="10"/>
  <c r="J34" i="10"/>
  <c r="J36" i="10"/>
  <c r="BF43" i="10"/>
  <c r="M3" i="10"/>
  <c r="M4" i="10"/>
  <c r="I15" i="10"/>
  <c r="M12" i="10"/>
  <c r="AO38" i="10"/>
  <c r="AC25" i="10"/>
  <c r="C2" i="10"/>
  <c r="F3" i="10"/>
  <c r="D47" i="10"/>
  <c r="AY3" i="10"/>
  <c r="Z7" i="10"/>
  <c r="BC12" i="10"/>
  <c r="BF12" i="10"/>
  <c r="AJ19" i="10"/>
  <c r="K30" i="10"/>
  <c r="BD23" i="10"/>
  <c r="M35" i="10"/>
  <c r="I39" i="10"/>
  <c r="J4" i="10"/>
  <c r="M43" i="10"/>
  <c r="J14" i="10"/>
  <c r="J12" i="10"/>
  <c r="AQ36" i="10"/>
  <c r="AQ34" i="10"/>
  <c r="X30" i="10"/>
  <c r="C4" i="10"/>
  <c r="G41" i="10"/>
  <c r="Y6" i="10"/>
  <c r="X7" i="10"/>
  <c r="BB15" i="10"/>
  <c r="AJ20" i="10"/>
  <c r="K31" i="10"/>
  <c r="BC20" i="10"/>
  <c r="BB46" i="10"/>
  <c r="J6" i="10"/>
  <c r="K46" i="10"/>
  <c r="K14" i="10"/>
  <c r="AO39" i="10"/>
  <c r="AR33" i="10"/>
  <c r="AB27" i="10"/>
  <c r="F4" i="10"/>
  <c r="F42" i="10"/>
  <c r="F43" i="10"/>
  <c r="M28" i="10"/>
  <c r="M27" i="10"/>
  <c r="BF20" i="10"/>
  <c r="K39" i="10"/>
  <c r="M34" i="10"/>
  <c r="BC46" i="10"/>
  <c r="BD47" i="10"/>
  <c r="I7" i="10"/>
  <c r="N1" i="10"/>
  <c r="M44" i="10"/>
  <c r="K15" i="10"/>
  <c r="AM39" i="10"/>
  <c r="AB28" i="10"/>
  <c r="D6" i="10"/>
  <c r="B6" i="10"/>
  <c r="D46" i="10"/>
  <c r="AG18" i="10"/>
  <c r="AJ18" i="10"/>
  <c r="Y4" i="10"/>
  <c r="AB2" i="10"/>
  <c r="AH23" i="10"/>
  <c r="AK17" i="10"/>
  <c r="I31" i="10"/>
  <c r="BF18" i="10"/>
  <c r="BG17" i="10"/>
  <c r="BG41" i="10"/>
  <c r="M2" i="10"/>
  <c r="I46" i="10"/>
  <c r="J44" i="10"/>
  <c r="M10" i="10"/>
  <c r="M11" i="10"/>
  <c r="AN38" i="10"/>
  <c r="Y28" i="10"/>
  <c r="X31" i="10"/>
  <c r="C6" i="10"/>
  <c r="D7" i="10"/>
  <c r="B46" i="10"/>
  <c r="C46" i="10"/>
  <c r="AN11" i="10"/>
  <c r="U87" i="12"/>
  <c r="R87" i="12"/>
  <c r="AC87" i="12" s="1"/>
  <c r="BB2" i="8"/>
  <c r="R90" i="12"/>
  <c r="AC90" i="12" s="1"/>
  <c r="BB29" i="8"/>
  <c r="U61" i="12"/>
  <c r="Y61" i="12"/>
  <c r="V61" i="12"/>
  <c r="R61" i="12"/>
  <c r="AC61" i="12" s="1"/>
  <c r="Z61" i="12"/>
  <c r="AA61" i="12" s="1"/>
  <c r="S61" i="12"/>
  <c r="T61" i="12"/>
  <c r="W61" i="12"/>
  <c r="BB4" i="8"/>
  <c r="W64" i="12"/>
  <c r="R64" i="12"/>
  <c r="AC64" i="12" s="1"/>
  <c r="Y64" i="12"/>
  <c r="S64" i="12"/>
  <c r="T64" i="12"/>
  <c r="U64" i="12"/>
  <c r="Z64" i="12"/>
  <c r="AA64" i="12" s="1"/>
  <c r="V64" i="12"/>
  <c r="Z58" i="12"/>
  <c r="AA58" i="12" s="1"/>
  <c r="Y58" i="12"/>
  <c r="V58" i="12"/>
  <c r="S58" i="12"/>
  <c r="T58" i="12"/>
  <c r="W58" i="12"/>
  <c r="U58" i="12"/>
  <c r="R58" i="12"/>
  <c r="AC58" i="12" s="1"/>
  <c r="Y92" i="12"/>
  <c r="Z92" i="12"/>
  <c r="AA92" i="12" s="1"/>
  <c r="U92" i="12"/>
  <c r="V92" i="12"/>
  <c r="R92" i="12"/>
  <c r="AC92" i="12" s="1"/>
  <c r="W92" i="12"/>
  <c r="S92" i="12"/>
  <c r="T92" i="12"/>
  <c r="X64" i="12"/>
  <c r="Q70" i="12"/>
  <c r="Z87" i="12"/>
  <c r="AA87" i="12" s="1"/>
  <c r="AU1" i="10"/>
  <c r="BB40" i="8"/>
  <c r="R2" i="11" s="1"/>
  <c r="BB8" i="8"/>
  <c r="Q60" i="12"/>
  <c r="Y87" i="12"/>
  <c r="BB11" i="8"/>
  <c r="X90" i="12"/>
  <c r="T90" i="12" s="1"/>
  <c r="BB42" i="8"/>
  <c r="S84" i="12"/>
  <c r="T84" i="12"/>
  <c r="Z84" i="12"/>
  <c r="AA84" i="12" s="1"/>
  <c r="U84" i="12"/>
  <c r="V84" i="12"/>
  <c r="W84" i="12"/>
  <c r="R84" i="12"/>
  <c r="AC84" i="12" s="1"/>
  <c r="Y84" i="12"/>
  <c r="BB12" i="8"/>
  <c r="T79" i="12"/>
  <c r="V79" i="12"/>
  <c r="R79" i="12"/>
  <c r="AC79" i="12" s="1"/>
  <c r="W79" i="12"/>
  <c r="Z79" i="12"/>
  <c r="AA79" i="12" s="1"/>
  <c r="Y79" i="12"/>
  <c r="S79" i="12"/>
  <c r="U79" i="12"/>
  <c r="Q51" i="12"/>
  <c r="U52" i="12"/>
  <c r="T52" i="12"/>
  <c r="W52" i="12"/>
  <c r="Y52" i="12"/>
  <c r="R52" i="12"/>
  <c r="AC52" i="12" s="1"/>
  <c r="Z52" i="12"/>
  <c r="AA52" i="12" s="1"/>
  <c r="V52" i="12"/>
  <c r="S52" i="12"/>
  <c r="Q54" i="12"/>
  <c r="Q62" i="12"/>
  <c r="BB34" i="8"/>
  <c r="C17" i="10"/>
  <c r="B17" i="10" s="1"/>
  <c r="AH5" i="8"/>
  <c r="AN5" i="8"/>
  <c r="AO5" i="8"/>
  <c r="Q55" i="12"/>
  <c r="W55" i="12" s="1"/>
  <c r="J35" i="10" a="1"/>
  <c r="AU7" i="10" a="1"/>
  <c r="AW6" i="10" a="1"/>
  <c r="AW7" i="10" a="1"/>
  <c r="AV4" i="10" a="1"/>
  <c r="AY2" i="10" a="1"/>
  <c r="AV2" i="10" a="1"/>
  <c r="B22" i="10" a="1"/>
  <c r="G17" i="10" a="1"/>
  <c r="BC11" i="10" a="1"/>
  <c r="F20" i="10" a="1"/>
  <c r="J27" i="10" a="1"/>
  <c r="BC43" i="10" a="1"/>
  <c r="AY4" i="10" a="1"/>
  <c r="AN35" i="10" a="1"/>
  <c r="C22" i="10" a="1"/>
  <c r="J17" i="10" a="1"/>
  <c r="Y98" i="12" l="1"/>
  <c r="R98" i="12"/>
  <c r="AC98" i="12" s="1"/>
  <c r="S98" i="12"/>
  <c r="W98" i="12"/>
  <c r="V98" i="12"/>
  <c r="T98" i="12"/>
  <c r="S90" i="12"/>
  <c r="Y90" i="12" s="1"/>
  <c r="U98" i="12"/>
  <c r="Z98" i="12"/>
  <c r="AA98" i="12" s="1"/>
  <c r="C22" i="10"/>
  <c r="AN35" i="10"/>
  <c r="AY4" i="10"/>
  <c r="BC43" i="10"/>
  <c r="J27" i="10"/>
  <c r="F20" i="10"/>
  <c r="BC11" i="10"/>
  <c r="G17" i="10"/>
  <c r="B22" i="10"/>
  <c r="AV2" i="10"/>
  <c r="AY2" i="10"/>
  <c r="AV4" i="10"/>
  <c r="AW7" i="10"/>
  <c r="AW6" i="10"/>
  <c r="AU7" i="10"/>
  <c r="J35" i="10"/>
  <c r="U55" i="12"/>
  <c r="V55" i="12"/>
  <c r="S55" i="12"/>
  <c r="X55" i="12"/>
  <c r="R4" i="11"/>
  <c r="U90" i="12"/>
  <c r="R5" i="11"/>
  <c r="Z55" i="12"/>
  <c r="AA55" i="12" s="1"/>
  <c r="R55" i="12"/>
  <c r="AC55" i="12" s="1"/>
  <c r="V62" i="12"/>
  <c r="W62" i="12"/>
  <c r="Y62" i="12"/>
  <c r="S62" i="12"/>
  <c r="R62" i="12"/>
  <c r="AC62" i="12" s="1"/>
  <c r="T62" i="12"/>
  <c r="Z62" i="12"/>
  <c r="AA62" i="12" s="1"/>
  <c r="U62" i="12"/>
  <c r="X62" i="12"/>
  <c r="W90" i="12"/>
  <c r="Y55" i="12"/>
  <c r="Y54" i="12"/>
  <c r="R54" i="12"/>
  <c r="AC54" i="12" s="1"/>
  <c r="Z54" i="12"/>
  <c r="AA54" i="12" s="1"/>
  <c r="V54" i="12"/>
  <c r="T54" i="12"/>
  <c r="S54" i="12"/>
  <c r="U54" i="12"/>
  <c r="W54" i="12"/>
  <c r="X54" i="12"/>
  <c r="V90" i="12"/>
  <c r="R70" i="12"/>
  <c r="AC70" i="12" s="1"/>
  <c r="T70" i="12"/>
  <c r="Y70" i="12"/>
  <c r="W70" i="12"/>
  <c r="S70" i="12"/>
  <c r="U70" i="12"/>
  <c r="V70" i="12"/>
  <c r="Z70" i="12"/>
  <c r="AA70" i="12" s="1"/>
  <c r="X70" i="12"/>
  <c r="T55" i="12"/>
  <c r="R51" i="12"/>
  <c r="AC51" i="12" s="1"/>
  <c r="X51" i="12"/>
  <c r="T51" i="12" s="1"/>
  <c r="V60" i="12"/>
  <c r="S60" i="12"/>
  <c r="T60" i="12"/>
  <c r="W60" i="12"/>
  <c r="U60" i="12"/>
  <c r="Y60" i="12"/>
  <c r="Z60" i="12"/>
  <c r="AA60" i="12" s="1"/>
  <c r="R60" i="12"/>
  <c r="AC60" i="12" s="1"/>
  <c r="X60" i="12"/>
  <c r="J17" i="10"/>
  <c r="I17" i="10" s="1"/>
  <c r="AJ6" i="8"/>
  <c r="AO6" i="8"/>
  <c r="AH6" i="8"/>
  <c r="Q56" i="12"/>
  <c r="S56" i="12" s="1"/>
  <c r="AP6" i="8"/>
  <c r="AK7" i="8"/>
  <c r="AP8" i="8"/>
  <c r="AL9" i="8"/>
  <c r="C3" i="10" a="1"/>
  <c r="AG19" i="10" a="1"/>
  <c r="AV3" i="10" a="1"/>
  <c r="BF23" i="10" a="1"/>
  <c r="Y27" i="10" a="1"/>
  <c r="J43" i="10" a="1"/>
  <c r="J22" i="10" a="1"/>
  <c r="M18" i="10" a="1"/>
  <c r="I23" i="10" a="1"/>
  <c r="N17" i="10" a="1"/>
  <c r="BF22" i="10" a="1"/>
  <c r="F18" i="10" a="1"/>
  <c r="J11" i="10" a="1"/>
  <c r="Y3" i="10" a="1"/>
  <c r="AQ14" i="10" a="1"/>
  <c r="C43" i="10" a="1"/>
  <c r="C20" i="10" a="1"/>
  <c r="I22" i="10" a="1"/>
  <c r="J18" i="10" a="1"/>
  <c r="M19" i="10" a="1"/>
  <c r="D22" i="10" a="1"/>
  <c r="AQ15" i="10" a="1"/>
  <c r="D23" i="10" a="1"/>
  <c r="J3" i="10" a="1"/>
  <c r="K22" i="10" a="1"/>
  <c r="M20" i="10" a="1"/>
  <c r="J20" i="10" a="1"/>
  <c r="B23" i="10" a="1"/>
  <c r="F19" i="10" a="1"/>
  <c r="K23" i="10" a="1"/>
  <c r="C18" i="10" a="1"/>
  <c r="R1" i="10" a="1"/>
  <c r="Z90" i="12" l="1"/>
  <c r="AA90" i="12" s="1"/>
  <c r="Z56" i="12"/>
  <c r="AA56" i="12" s="1"/>
  <c r="T56" i="12"/>
  <c r="U56" i="12"/>
  <c r="Y56" i="12"/>
  <c r="X56" i="12"/>
  <c r="W51" i="12"/>
  <c r="C18" i="10"/>
  <c r="K23" i="10"/>
  <c r="F19" i="10"/>
  <c r="B23" i="10"/>
  <c r="J20" i="10"/>
  <c r="M20" i="10"/>
  <c r="K22" i="10"/>
  <c r="J3" i="10"/>
  <c r="D23" i="10"/>
  <c r="AQ15" i="10"/>
  <c r="D22" i="10"/>
  <c r="M19" i="10"/>
  <c r="J18" i="10"/>
  <c r="I22" i="10"/>
  <c r="C20" i="10"/>
  <c r="C43" i="10"/>
  <c r="AQ14" i="10"/>
  <c r="Y3" i="10"/>
  <c r="J11" i="10"/>
  <c r="F18" i="10"/>
  <c r="BF22" i="10"/>
  <c r="N17" i="10"/>
  <c r="I23" i="10"/>
  <c r="M18" i="10"/>
  <c r="J22" i="10"/>
  <c r="J43" i="10"/>
  <c r="Y27" i="10"/>
  <c r="BF23" i="10"/>
  <c r="AV3" i="10"/>
  <c r="AG19" i="10"/>
  <c r="C3" i="10"/>
  <c r="W56" i="12"/>
  <c r="V51" i="12"/>
  <c r="V56" i="12"/>
  <c r="R56" i="12"/>
  <c r="AC56" i="12" s="1"/>
  <c r="U51" i="12"/>
  <c r="S51" i="12"/>
  <c r="Y51" i="12" s="1"/>
  <c r="BF47" i="10" a="1"/>
  <c r="BF47" i="10" s="1"/>
  <c r="BF46" i="10" a="1"/>
  <c r="BF46" i="10" s="1"/>
  <c r="R1" i="10"/>
  <c r="Q1" i="10" s="1"/>
  <c r="AH13" i="8"/>
  <c r="AI13" i="8"/>
  <c r="AJ13" i="8"/>
  <c r="AK13" i="8"/>
  <c r="AL13" i="8"/>
  <c r="Q63" i="12"/>
  <c r="X63" i="12" s="1"/>
  <c r="AM15" i="8"/>
  <c r="AD16" i="8"/>
  <c r="AP16" i="8"/>
  <c r="AI17" i="8"/>
  <c r="M39" i="10" a="1"/>
  <c r="R4" i="10" a="1"/>
  <c r="U3" i="10" a="1"/>
  <c r="S6" i="10" a="1"/>
  <c r="V1" i="10" a="1"/>
  <c r="U4" i="10" a="1"/>
  <c r="Q7" i="10" a="1"/>
  <c r="J19" i="10" a="1"/>
  <c r="M31" i="10" a="1"/>
  <c r="AQ38" i="10" a="1"/>
  <c r="BF15" i="10" a="1"/>
  <c r="M30" i="10" a="1"/>
  <c r="AQ39" i="10" a="1"/>
  <c r="R2" i="10" a="1"/>
  <c r="BF14" i="10" a="1"/>
  <c r="M38" i="10" a="1"/>
  <c r="R6" i="10" a="1"/>
  <c r="S7" i="10" a="1"/>
  <c r="U2" i="10" a="1"/>
  <c r="Y17" i="10" a="1"/>
  <c r="Z51" i="12" l="1"/>
  <c r="AA51" i="12" s="1"/>
  <c r="T63" i="12"/>
  <c r="R63" i="12"/>
  <c r="AC63" i="12" s="1"/>
  <c r="W63" i="12"/>
  <c r="U2" i="10"/>
  <c r="S7" i="10"/>
  <c r="R6" i="10"/>
  <c r="M38" i="10"/>
  <c r="BF14" i="10"/>
  <c r="R2" i="10"/>
  <c r="AQ39" i="10"/>
  <c r="M30" i="10"/>
  <c r="BF15" i="10"/>
  <c r="AQ38" i="10"/>
  <c r="M31" i="10"/>
  <c r="J19" i="10"/>
  <c r="Q7" i="10"/>
  <c r="U4" i="10"/>
  <c r="V1" i="10"/>
  <c r="S6" i="10"/>
  <c r="U3" i="10"/>
  <c r="R4" i="10"/>
  <c r="M39" i="10"/>
  <c r="U63" i="12"/>
  <c r="V63" i="12"/>
  <c r="S63" i="12"/>
  <c r="Y17" i="10"/>
  <c r="AL18" i="8"/>
  <c r="AM18" i="8"/>
  <c r="AJ18" i="8"/>
  <c r="AH18" i="8"/>
  <c r="AK18" i="8"/>
  <c r="Q68" i="12"/>
  <c r="R68" i="12" s="1"/>
  <c r="AC68" i="12" s="1"/>
  <c r="AI19" i="8"/>
  <c r="AO21" i="8"/>
  <c r="AP22" i="8"/>
  <c r="M6" i="10" a="1"/>
  <c r="AY7" i="10" a="1"/>
  <c r="M14" i="10" a="1"/>
  <c r="F6" i="10" a="1"/>
  <c r="M15" i="10" a="1"/>
  <c r="M46" i="10" a="1"/>
  <c r="F7" i="10" a="1"/>
  <c r="AJ22" i="10" a="1"/>
  <c r="M47" i="10" a="1"/>
  <c r="AJ23" i="10" a="1"/>
  <c r="AB6" i="10" a="1"/>
  <c r="Y22" i="10" a="1"/>
  <c r="Y20" i="10" a="1"/>
  <c r="AC17" i="10" a="1"/>
  <c r="AB20" i="10" a="1"/>
  <c r="AB30" i="10" a="1"/>
  <c r="C19" i="10" a="1"/>
  <c r="R3" i="10" a="1"/>
  <c r="F47" i="10" a="1"/>
  <c r="Q6" i="10" a="1"/>
  <c r="AB7" i="10" a="1"/>
  <c r="F46" i="10" a="1"/>
  <c r="M7" i="10" a="1"/>
  <c r="AY6" i="10" a="1"/>
  <c r="AB31" i="10" a="1"/>
  <c r="X23" i="10" a="1"/>
  <c r="AB18" i="10" a="1"/>
  <c r="X22" i="10" a="1"/>
  <c r="Y41" i="10" a="1"/>
  <c r="S68" i="12" l="1"/>
  <c r="Y68" i="12"/>
  <c r="V68" i="12"/>
  <c r="X22" i="10"/>
  <c r="AB18" i="10"/>
  <c r="X23" i="10"/>
  <c r="AB31" i="10"/>
  <c r="AY6" i="10"/>
  <c r="M7" i="10"/>
  <c r="F46" i="10"/>
  <c r="AB7" i="10"/>
  <c r="Q6" i="10"/>
  <c r="F47" i="10"/>
  <c r="R3" i="10"/>
  <c r="C19" i="10"/>
  <c r="AB30" i="10"/>
  <c r="AB20" i="10"/>
  <c r="AC17" i="10"/>
  <c r="Y20" i="10"/>
  <c r="Y22" i="10"/>
  <c r="AB6" i="10"/>
  <c r="AJ23" i="10"/>
  <c r="M47" i="10"/>
  <c r="AJ22" i="10"/>
  <c r="F7" i="10"/>
  <c r="M46" i="10"/>
  <c r="M15" i="10"/>
  <c r="F6" i="10"/>
  <c r="M14" i="10"/>
  <c r="AY7" i="10"/>
  <c r="M6" i="10"/>
  <c r="Z68" i="12"/>
  <c r="AA68" i="12" s="1"/>
  <c r="X68" i="12"/>
  <c r="W68" i="12"/>
  <c r="U68" i="12"/>
  <c r="T68" i="12"/>
  <c r="Y63" i="12"/>
  <c r="Z63" i="12" s="1"/>
  <c r="AA63" i="12" s="1"/>
  <c r="X17" i="10"/>
  <c r="Y41" i="10"/>
  <c r="X41" i="10" s="1"/>
  <c r="AJ24" i="8"/>
  <c r="AM24" i="8"/>
  <c r="AK24" i="8"/>
  <c r="AO24" i="8"/>
  <c r="AH24" i="8"/>
  <c r="AL24" i="8"/>
  <c r="Q74" i="12"/>
  <c r="S74" i="12" s="1"/>
  <c r="AK25" i="8"/>
  <c r="AP26" i="8"/>
  <c r="AD27" i="8"/>
  <c r="AK30" i="8"/>
  <c r="AP31" i="8"/>
  <c r="AD32" i="8"/>
  <c r="AI33" i="8"/>
  <c r="AH38" i="8"/>
  <c r="AL43" i="8"/>
  <c r="AC44" i="8"/>
  <c r="AP44" i="8" s="1"/>
  <c r="AL46" i="8"/>
  <c r="AM47" i="8"/>
  <c r="AD50" i="8"/>
  <c r="AD51" i="8"/>
  <c r="AL53" i="8"/>
  <c r="AP64" i="8"/>
  <c r="AL67" i="8"/>
  <c r="AH70" i="8"/>
  <c r="AE71" i="8"/>
  <c r="AP2" i="8"/>
  <c r="AM3" i="8"/>
  <c r="AM7" i="8"/>
  <c r="AD9" i="8"/>
  <c r="AM9" i="8"/>
  <c r="AI10" i="8"/>
  <c r="AI11" i="8"/>
  <c r="AO15" i="8"/>
  <c r="AJ17" i="8"/>
  <c r="AK19" i="8"/>
  <c r="AD26" i="8"/>
  <c r="AI28" i="8"/>
  <c r="AL30" i="8"/>
  <c r="AJ33" i="8"/>
  <c r="M22" i="10" a="1"/>
  <c r="Z47" i="10" a="1"/>
  <c r="M23" i="10" a="1"/>
  <c r="AC41" i="10" a="1"/>
  <c r="X47" i="10" a="1"/>
  <c r="W42" i="8" a="1"/>
  <c r="Z23" i="10" a="1"/>
  <c r="Y44" i="10" a="1"/>
  <c r="AB42" i="10" a="1"/>
  <c r="X46" i="10" a="1"/>
  <c r="Z46" i="10" a="1"/>
  <c r="Y42" i="8" a="1"/>
  <c r="AB19" i="10" a="1"/>
  <c r="AB44" i="10" a="1"/>
  <c r="Y18" i="10" a="1"/>
  <c r="AB43" i="10" a="1"/>
  <c r="Y46" i="10" a="1"/>
  <c r="AB23" i="8" a="1"/>
  <c r="Z22" i="10" a="1"/>
  <c r="Y42" i="10" a="1"/>
  <c r="AN41" i="10" a="1"/>
  <c r="R74" i="12" l="1"/>
  <c r="AC74" i="12" s="1"/>
  <c r="T74" i="12"/>
  <c r="Y42" i="10"/>
  <c r="Z22" i="10"/>
  <c r="AB23" i="8"/>
  <c r="AO25" i="8" s="1"/>
  <c r="Y46" i="10"/>
  <c r="AB43" i="10"/>
  <c r="Y18" i="10"/>
  <c r="AB44" i="10"/>
  <c r="AB19" i="10"/>
  <c r="Y42" i="8"/>
  <c r="Z46" i="10"/>
  <c r="X46" i="10"/>
  <c r="AB42" i="10"/>
  <c r="Y44" i="10"/>
  <c r="Z23" i="10"/>
  <c r="W42" i="8"/>
  <c r="X47" i="10"/>
  <c r="AC41" i="10"/>
  <c r="M23" i="10"/>
  <c r="Z47" i="10"/>
  <c r="M22" i="10"/>
  <c r="Y74" i="12"/>
  <c r="Z74" i="12"/>
  <c r="AA74" i="12" s="1"/>
  <c r="V74" i="12"/>
  <c r="X74" i="12"/>
  <c r="W74" i="12"/>
  <c r="U74" i="12"/>
  <c r="AN41" i="10"/>
  <c r="Q86" i="12"/>
  <c r="W86" i="12" s="1"/>
  <c r="AK37" i="8"/>
  <c r="AM43" i="8"/>
  <c r="U7" i="10" a="1"/>
  <c r="W41" i="8" a="1"/>
  <c r="AB42" i="8" a="1"/>
  <c r="AQ43" i="10" a="1"/>
  <c r="F23" i="10" a="1"/>
  <c r="Y19" i="10" a="1"/>
  <c r="F22" i="10" a="1"/>
  <c r="U6" i="10" a="1"/>
  <c r="AN46" i="10" a="1"/>
  <c r="AV33" i="10" a="1"/>
  <c r="Z42" i="8" l="1"/>
  <c r="AM39" i="8" s="1"/>
  <c r="U86" i="12"/>
  <c r="AN46" i="10"/>
  <c r="U6" i="10"/>
  <c r="F22" i="10"/>
  <c r="Y19" i="10"/>
  <c r="F23" i="10"/>
  <c r="AQ43" i="10"/>
  <c r="AB42" i="8"/>
  <c r="AO39" i="8" s="1"/>
  <c r="W41" i="8"/>
  <c r="AJ38" i="8" s="1"/>
  <c r="U7" i="10"/>
  <c r="Y86" i="12"/>
  <c r="V86" i="12"/>
  <c r="T86" i="12"/>
  <c r="X86" i="12"/>
  <c r="AM41" i="10"/>
  <c r="R86" i="12"/>
  <c r="AC86" i="12" s="1"/>
  <c r="S86" i="12"/>
  <c r="Z86" i="12"/>
  <c r="AA86" i="12" s="1"/>
  <c r="AV33" i="10"/>
  <c r="AU33" i="10" s="1"/>
  <c r="AL45" i="8"/>
  <c r="AH45" i="8"/>
  <c r="AJ45" i="8"/>
  <c r="Q95" i="12"/>
  <c r="T95" i="12" s="1"/>
  <c r="AP46" i="8"/>
  <c r="AP47" i="8"/>
  <c r="AM53" i="8"/>
  <c r="AH54" i="8"/>
  <c r="AL55" i="8"/>
  <c r="AL57" i="8"/>
  <c r="AL59" i="8"/>
  <c r="AH60" i="8"/>
  <c r="AD63" i="8"/>
  <c r="AP70" i="8"/>
  <c r="AM71" i="8"/>
  <c r="AO72" i="8"/>
  <c r="AJ80" i="8"/>
  <c r="AD1" i="8"/>
  <c r="V2" i="8"/>
  <c r="AI2" i="8" s="1"/>
  <c r="AN44" i="10" a="1"/>
  <c r="AZ33" i="10" a="1"/>
  <c r="AQ42" i="10" a="1"/>
  <c r="AY35" i="10" a="1"/>
  <c r="AV38" i="10" a="1"/>
  <c r="AN42" i="10" a="1"/>
  <c r="AU38" i="10" a="1"/>
  <c r="AV36" i="10" a="1"/>
  <c r="AM47" i="10" a="1"/>
  <c r="AM46" i="10" a="1"/>
  <c r="AY36" i="10" a="1"/>
  <c r="AV34" i="10" a="1"/>
  <c r="AR41" i="10" a="1"/>
  <c r="AO46" i="10" a="1"/>
  <c r="Y43" i="10" a="1"/>
  <c r="AW38" i="10" a="1"/>
  <c r="AO47" i="10" a="1"/>
  <c r="AW39" i="10" a="1"/>
  <c r="AU39" i="10" a="1"/>
  <c r="AQ44" i="10" a="1"/>
  <c r="C9" i="10" a="1"/>
  <c r="AQ44" i="10" l="1"/>
  <c r="AU39" i="10"/>
  <c r="AW39" i="10"/>
  <c r="AO47" i="10"/>
  <c r="AW38" i="10"/>
  <c r="Y43" i="10"/>
  <c r="AO46" i="10"/>
  <c r="AR41" i="10"/>
  <c r="AV34" i="10"/>
  <c r="AY36" i="10"/>
  <c r="AM46" i="10"/>
  <c r="AM47" i="10"/>
  <c r="AV36" i="10"/>
  <c r="AU38" i="10"/>
  <c r="AN42" i="10"/>
  <c r="AV38" i="10"/>
  <c r="AY35" i="10"/>
  <c r="AQ42" i="10"/>
  <c r="AZ33" i="10"/>
  <c r="AN44" i="10"/>
  <c r="S95" i="12"/>
  <c r="X95" i="12"/>
  <c r="R95" i="12"/>
  <c r="AC95" i="12" s="1"/>
  <c r="Z95" i="12"/>
  <c r="AA95" i="12" s="1"/>
  <c r="W95" i="12"/>
  <c r="Y95" i="12"/>
  <c r="V95" i="12"/>
  <c r="U95" i="12"/>
  <c r="C9" i="10"/>
  <c r="B9" i="10" s="1"/>
  <c r="AN3" i="8"/>
  <c r="AO3" i="8"/>
  <c r="Q53" i="12"/>
  <c r="Y53" i="12" s="1"/>
  <c r="AP5" i="8"/>
  <c r="AI6" i="8"/>
  <c r="AN7" i="8"/>
  <c r="AO9" i="8"/>
  <c r="AP15" i="8"/>
  <c r="AB22" i="10" a="1"/>
  <c r="AB23" i="10" a="1"/>
  <c r="AN43" i="10" a="1"/>
  <c r="F12" i="10" a="1"/>
  <c r="B14" i="10" a="1"/>
  <c r="Y9" i="10" a="1"/>
  <c r="B14" i="10" l="1"/>
  <c r="F12" i="10"/>
  <c r="AN43" i="10"/>
  <c r="AB23" i="10"/>
  <c r="AB22" i="10"/>
  <c r="T53" i="12"/>
  <c r="Z53" i="12"/>
  <c r="AA53" i="12" s="1"/>
  <c r="U53" i="12"/>
  <c r="X53" i="12"/>
  <c r="R53" i="12"/>
  <c r="AC53" i="12" s="1"/>
  <c r="W53" i="12"/>
  <c r="S53" i="12"/>
  <c r="V53" i="12"/>
  <c r="Y9" i="10"/>
  <c r="X9" i="10" s="1"/>
  <c r="AH16" i="8"/>
  <c r="AK16" i="8"/>
  <c r="AO16" i="8"/>
  <c r="Q66" i="12"/>
  <c r="V66" i="12" s="1"/>
  <c r="AK17" i="8"/>
  <c r="AL19" i="8"/>
  <c r="AP20" i="8"/>
  <c r="AH23" i="8"/>
  <c r="F11" i="10" a="1"/>
  <c r="C12" i="10" a="1"/>
  <c r="C10" i="10" a="1"/>
  <c r="AB46" i="10" a="1"/>
  <c r="D14" i="10" a="1"/>
  <c r="X15" i="10" a="1"/>
  <c r="Z14" i="10" a="1"/>
  <c r="AB47" i="10" a="1"/>
  <c r="AV35" i="10" a="1"/>
  <c r="AB11" i="10" a="1"/>
  <c r="Y10" i="10" a="1"/>
  <c r="Z15" i="10" a="1"/>
  <c r="D15" i="10" a="1"/>
  <c r="X14" i="10" a="1"/>
  <c r="G9" i="10" a="1"/>
  <c r="C14" i="10" a="1"/>
  <c r="Y12" i="10" a="1"/>
  <c r="AC9" i="10" a="1"/>
  <c r="AB12" i="10" a="1"/>
  <c r="F10" i="10" a="1"/>
  <c r="B15" i="10" a="1"/>
  <c r="Y14" i="10" a="1"/>
  <c r="AN1" i="10" a="1"/>
  <c r="Y14" i="10" l="1"/>
  <c r="B15" i="10"/>
  <c r="F10" i="10"/>
  <c r="AB12" i="10"/>
  <c r="AC9" i="10"/>
  <c r="Y12" i="10"/>
  <c r="C14" i="10"/>
  <c r="G9" i="10"/>
  <c r="X14" i="10"/>
  <c r="D15" i="10"/>
  <c r="Z15" i="10"/>
  <c r="Y10" i="10"/>
  <c r="AB11" i="10"/>
  <c r="AV35" i="10"/>
  <c r="AB47" i="10"/>
  <c r="Z14" i="10"/>
  <c r="X15" i="10"/>
  <c r="D14" i="10"/>
  <c r="AB46" i="10"/>
  <c r="C10" i="10"/>
  <c r="C12" i="10"/>
  <c r="F11" i="10"/>
  <c r="T66" i="12"/>
  <c r="Z66" i="12"/>
  <c r="AA66" i="12" s="1"/>
  <c r="U66" i="12"/>
  <c r="R66" i="12"/>
  <c r="AC66" i="12" s="1"/>
  <c r="X66" i="12"/>
  <c r="W66" i="12"/>
  <c r="S66" i="12"/>
  <c r="Y66" i="12"/>
  <c r="AN1" i="10"/>
  <c r="AM1" i="10" s="1"/>
  <c r="AJ26" i="8"/>
  <c r="AK26" i="8"/>
  <c r="AM26" i="8"/>
  <c r="Q76" i="12"/>
  <c r="Y76" i="12" s="1"/>
  <c r="AI27" i="8"/>
  <c r="AP30" i="8"/>
  <c r="AB10" i="10" a="1"/>
  <c r="Y11" i="10" a="1"/>
  <c r="AO7" i="10" a="1"/>
  <c r="AQ2" i="10" a="1"/>
  <c r="AN4" i="10" a="1"/>
  <c r="AQ47" i="10" a="1"/>
  <c r="AQ46" i="10" a="1"/>
  <c r="AN25" i="10" a="1"/>
  <c r="AQ46" i="10" l="1"/>
  <c r="AQ47" i="10"/>
  <c r="AN4" i="10"/>
  <c r="AQ2" i="10"/>
  <c r="AO7" i="10"/>
  <c r="Y11" i="10"/>
  <c r="AB10" i="10"/>
  <c r="V76" i="12"/>
  <c r="X76" i="12"/>
  <c r="W76" i="12"/>
  <c r="U76" i="12"/>
  <c r="R76" i="12"/>
  <c r="AC76" i="12" s="1"/>
  <c r="T76" i="12"/>
  <c r="S76" i="12"/>
  <c r="Z76" i="12"/>
  <c r="AA76" i="12" s="1"/>
  <c r="AN25" i="10"/>
  <c r="AM25" i="10" s="1"/>
  <c r="AJ32" i="8"/>
  <c r="AH32" i="8"/>
  <c r="AK32" i="8"/>
  <c r="Q82" i="12"/>
  <c r="X82" i="12" s="1"/>
  <c r="AK33" i="8"/>
  <c r="AP34" i="8"/>
  <c r="AD35" i="8"/>
  <c r="AH36" i="8"/>
  <c r="AM37" i="8"/>
  <c r="AK38" i="8"/>
  <c r="AP39" i="8"/>
  <c r="AD40" i="8"/>
  <c r="V34" i="8"/>
  <c r="AI41" i="8" s="1"/>
  <c r="AH50" i="8"/>
  <c r="AI51" i="8"/>
  <c r="AI54" i="8"/>
  <c r="AM55" i="8"/>
  <c r="AM57" i="8"/>
  <c r="AM59" i="8"/>
  <c r="AP60" i="8"/>
  <c r="AL63" i="8"/>
  <c r="AH66" i="8"/>
  <c r="AD69" i="8"/>
  <c r="AP76" i="8"/>
  <c r="AD4" i="8"/>
  <c r="AI5" i="8"/>
  <c r="AQ4" i="10" a="1"/>
  <c r="AM7" i="10" a="1"/>
  <c r="AO6" i="10" a="1"/>
  <c r="AQ3" i="10" a="1"/>
  <c r="AM31" i="10" a="1"/>
  <c r="AQ28" i="10" a="1"/>
  <c r="AM6" i="10" a="1"/>
  <c r="AN2" i="10" a="1"/>
  <c r="AN6" i="10" a="1"/>
  <c r="AY38" i="10" a="1"/>
  <c r="AR1" i="10" a="1"/>
  <c r="AO30" i="10" a="1"/>
  <c r="AN28" i="10" a="1"/>
  <c r="AY39" i="10" a="1"/>
  <c r="C11" i="10" a="1"/>
  <c r="AN30" i="10" a="1"/>
  <c r="AN26" i="10" a="1"/>
  <c r="AM30" i="10" a="1"/>
  <c r="AB30" i="8" a="1"/>
  <c r="AR25" i="10" a="1"/>
  <c r="AQ27" i="10" a="1"/>
  <c r="AO31" i="10" a="1"/>
  <c r="AQ26" i="10" a="1"/>
  <c r="C25" i="10" a="1"/>
  <c r="Z82" i="12" l="1"/>
  <c r="AA82" i="12" s="1"/>
  <c r="Y82" i="12"/>
  <c r="R82" i="12"/>
  <c r="AC82" i="12" s="1"/>
  <c r="AQ26" i="10"/>
  <c r="AO31" i="10"/>
  <c r="AQ27" i="10"/>
  <c r="AR25" i="10"/>
  <c r="AB30" i="8"/>
  <c r="AO32" i="8" s="1"/>
  <c r="AM30" i="10"/>
  <c r="AN26" i="10"/>
  <c r="AN30" i="10"/>
  <c r="C11" i="10"/>
  <c r="AY39" i="10"/>
  <c r="AN28" i="10"/>
  <c r="AO30" i="10"/>
  <c r="AR1" i="10"/>
  <c r="AY38" i="10"/>
  <c r="AN6" i="10"/>
  <c r="AN2" i="10"/>
  <c r="AM6" i="10"/>
  <c r="AQ28" i="10"/>
  <c r="AM31" i="10"/>
  <c r="AQ3" i="10"/>
  <c r="AO6" i="10"/>
  <c r="AM7" i="10"/>
  <c r="AQ4" i="10"/>
  <c r="W82" i="12"/>
  <c r="V82" i="12"/>
  <c r="T82" i="12"/>
  <c r="U82" i="12"/>
  <c r="S82" i="12"/>
  <c r="C25" i="10"/>
  <c r="B25" i="10" s="1"/>
  <c r="AL7" i="8"/>
  <c r="AO7" i="8"/>
  <c r="Q57" i="12"/>
  <c r="U57" i="12" s="1"/>
  <c r="AP9" i="8"/>
  <c r="AD12" i="8"/>
  <c r="AP12" i="8"/>
  <c r="AM17" i="8"/>
  <c r="AM19" i="8"/>
  <c r="AB15" i="10" a="1"/>
  <c r="AB14" i="10" a="1"/>
  <c r="F28" i="10" a="1"/>
  <c r="C26" i="10" a="1"/>
  <c r="D30" i="10" a="1"/>
  <c r="B30" i="10" a="1"/>
  <c r="D31" i="10" a="1"/>
  <c r="G25" i="10" a="1"/>
  <c r="AN3" i="10" a="1"/>
  <c r="F27" i="10" a="1"/>
  <c r="C30" i="10" a="1"/>
  <c r="C28" i="10" a="1"/>
  <c r="F26" i="10" a="1"/>
  <c r="B31" i="10" a="1"/>
  <c r="AN27" i="10" a="1"/>
  <c r="R33" i="10" a="1"/>
  <c r="Z57" i="12" l="1"/>
  <c r="AA57" i="12" s="1"/>
  <c r="R57" i="12"/>
  <c r="AC57" i="12" s="1"/>
  <c r="W57" i="12"/>
  <c r="X57" i="12"/>
  <c r="AN27" i="10"/>
  <c r="B31" i="10"/>
  <c r="F26" i="10"/>
  <c r="C28" i="10"/>
  <c r="C30" i="10"/>
  <c r="F27" i="10"/>
  <c r="AN3" i="10"/>
  <c r="G25" i="10"/>
  <c r="D31" i="10"/>
  <c r="B30" i="10"/>
  <c r="D30" i="10"/>
  <c r="C26" i="10"/>
  <c r="F28" i="10"/>
  <c r="AB14" i="10"/>
  <c r="AB15" i="10"/>
  <c r="Y57" i="12"/>
  <c r="S57" i="12"/>
  <c r="V57" i="12"/>
  <c r="T57" i="12"/>
  <c r="R33" i="10"/>
  <c r="Q33" i="10" s="1"/>
  <c r="AH21" i="8"/>
  <c r="AL21" i="8"/>
  <c r="AJ21" i="8"/>
  <c r="Q71" i="12"/>
  <c r="R71" i="12" s="1"/>
  <c r="AC71" i="12" s="1"/>
  <c r="AD22" i="8"/>
  <c r="AI23" i="8"/>
  <c r="AK27" i="8"/>
  <c r="AO33" i="8"/>
  <c r="AD34" i="8"/>
  <c r="AI36" i="8"/>
  <c r="AN37" i="8"/>
  <c r="Y41" i="8" a="1"/>
  <c r="Q38" i="10" a="1"/>
  <c r="C27" i="10" a="1"/>
  <c r="F15" i="10" a="1"/>
  <c r="R38" i="10" a="1"/>
  <c r="F14" i="10" a="1"/>
  <c r="Q39" i="10" a="1"/>
  <c r="W34" i="8" a="1"/>
  <c r="U36" i="10" a="1"/>
  <c r="S38" i="10" a="1"/>
  <c r="R34" i="10" a="1"/>
  <c r="U35" i="10" a="1"/>
  <c r="S39" i="10" a="1"/>
  <c r="BC25" i="10" a="1"/>
  <c r="S39" i="10" l="1"/>
  <c r="U35" i="10"/>
  <c r="R34" i="10"/>
  <c r="S38" i="10"/>
  <c r="U36" i="10"/>
  <c r="W34" i="8"/>
  <c r="AJ41" i="8" s="1"/>
  <c r="Q39" i="10"/>
  <c r="F14" i="10"/>
  <c r="R38" i="10"/>
  <c r="F15" i="10"/>
  <c r="C27" i="10"/>
  <c r="Q38" i="10"/>
  <c r="Y41" i="8"/>
  <c r="AL38" i="8" s="1"/>
  <c r="X71" i="12"/>
  <c r="Z71" i="12"/>
  <c r="AA71" i="12" s="1"/>
  <c r="W71" i="12"/>
  <c r="U71" i="12"/>
  <c r="T71" i="12"/>
  <c r="S71" i="12"/>
  <c r="Y71" i="12"/>
  <c r="V71" i="12"/>
  <c r="BC25" i="10"/>
  <c r="AL44" i="8"/>
  <c r="Z44" i="8"/>
  <c r="AM44" i="8" s="1"/>
  <c r="Q94" i="12"/>
  <c r="X94" i="12" s="1"/>
  <c r="AK45" i="8"/>
  <c r="AL50" i="8"/>
  <c r="AL51" i="8"/>
  <c r="AM54" i="8"/>
  <c r="AP66" i="8"/>
  <c r="AL69" i="8"/>
  <c r="AF75" i="8"/>
  <c r="AQ6" i="10" a="1"/>
  <c r="V33" i="10" a="1"/>
  <c r="R36" i="10" a="1"/>
  <c r="BC28" i="10" a="1"/>
  <c r="AQ30" i="10" a="1"/>
  <c r="BC26" i="10" a="1"/>
  <c r="BB31" i="10" a="1"/>
  <c r="BG25" i="10" a="1"/>
  <c r="AQ31" i="10" a="1"/>
  <c r="U34" i="10" a="1"/>
  <c r="BC30" i="10" a="1"/>
  <c r="AQ7" i="10" a="1"/>
  <c r="BF27" i="10" a="1"/>
  <c r="CO9" i="10" a="1"/>
  <c r="BF27" i="10" l="1"/>
  <c r="AQ7" i="10"/>
  <c r="BC30" i="10"/>
  <c r="U34" i="10"/>
  <c r="AQ31" i="10"/>
  <c r="BG25" i="10"/>
  <c r="BB31" i="10"/>
  <c r="BC26" i="10"/>
  <c r="AQ30" i="10"/>
  <c r="BC28" i="10"/>
  <c r="R36" i="10"/>
  <c r="V33" i="10"/>
  <c r="AQ6" i="10"/>
  <c r="W94" i="12"/>
  <c r="Z94" i="12"/>
  <c r="AA94" i="12" s="1"/>
  <c r="S94" i="12"/>
  <c r="Y94" i="12"/>
  <c r="U94" i="12"/>
  <c r="BB25" i="10"/>
  <c r="V94" i="12"/>
  <c r="R94" i="12"/>
  <c r="AC94" i="12" s="1"/>
  <c r="T94" i="12"/>
  <c r="CO9" i="10"/>
  <c r="CN9" i="10" s="1"/>
  <c r="AI79" i="8"/>
  <c r="AL82" i="8"/>
  <c r="AD83" i="8"/>
  <c r="AM83" i="8"/>
  <c r="AE84" i="8"/>
  <c r="AN84" i="8"/>
  <c r="AE85" i="8"/>
  <c r="AO85" i="8"/>
  <c r="AF86" i="8"/>
  <c r="AO86" i="8"/>
  <c r="AP87" i="8"/>
  <c r="AE88" i="8"/>
  <c r="AP88" i="8"/>
  <c r="AD89" i="8"/>
  <c r="AO89" i="8"/>
  <c r="AD90" i="8"/>
  <c r="AO90" i="8"/>
  <c r="AM91" i="8"/>
  <c r="AI92" i="8"/>
  <c r="AE93" i="8"/>
  <c r="AO94" i="8"/>
  <c r="AM95" i="8"/>
  <c r="AJ96" i="8"/>
  <c r="AE98" i="8"/>
  <c r="AO99" i="8"/>
  <c r="AK100" i="8"/>
  <c r="AI101" i="8"/>
  <c r="AM102" i="8"/>
  <c r="AK104" i="8"/>
  <c r="AK106" i="8"/>
  <c r="AI108" i="8"/>
  <c r="AH111" i="8"/>
  <c r="AM124" i="8"/>
  <c r="AO127" i="8"/>
  <c r="AI144" i="8"/>
  <c r="AN200" i="8"/>
  <c r="AI60" i="8"/>
  <c r="AM61" i="8"/>
  <c r="AI62" i="8"/>
  <c r="AM63" i="8"/>
  <c r="AI64" i="8"/>
  <c r="AM65" i="8"/>
  <c r="AI66" i="8"/>
  <c r="AM67" i="8"/>
  <c r="AI68" i="8"/>
  <c r="AM69" i="8"/>
  <c r="AI70" i="8"/>
  <c r="AF71" i="8"/>
  <c r="BF28" i="10" a="1"/>
  <c r="BB30" i="10" a="1"/>
  <c r="BD31" i="10" a="1"/>
  <c r="F30" i="10" a="1"/>
  <c r="BD30" i="10" a="1"/>
  <c r="F31" i="10" a="1"/>
  <c r="BC27" i="10" a="1"/>
  <c r="R35" i="10" a="1"/>
  <c r="BZ41" i="10" a="1"/>
  <c r="CO12" i="10" l="1" a="1"/>
  <c r="CO12" i="10" s="1"/>
  <c r="CP14" i="10" a="1"/>
  <c r="CP14" i="10" s="1"/>
  <c r="CS9" i="10" a="1"/>
  <c r="CS9" i="10" s="1"/>
  <c r="CR12" i="10" a="1"/>
  <c r="CR12" i="10" s="1"/>
  <c r="CR11" i="10" a="1"/>
  <c r="CR11" i="10" s="1"/>
  <c r="CN14" i="10" a="1"/>
  <c r="CN14" i="10" s="1"/>
  <c r="R35" i="10"/>
  <c r="BC27" i="10"/>
  <c r="F31" i="10"/>
  <c r="BD30" i="10"/>
  <c r="F30" i="10"/>
  <c r="BD31" i="10"/>
  <c r="BB30" i="10"/>
  <c r="BF28" i="10"/>
  <c r="CR14" i="10" a="1"/>
  <c r="CR14" i="10" s="1"/>
  <c r="CP15" i="10" a="1"/>
  <c r="CP15" i="10" s="1"/>
  <c r="CR10" i="10" a="1"/>
  <c r="CR10" i="10" s="1"/>
  <c r="CR15" i="10" a="1"/>
  <c r="CR15" i="10" s="1"/>
  <c r="CO14" i="10" a="1"/>
  <c r="CO14" i="10" s="1"/>
  <c r="CN15" i="10" a="1"/>
  <c r="CN15" i="10" s="1"/>
  <c r="CO10" i="10" a="1"/>
  <c r="CO10" i="10" s="1"/>
  <c r="CO11" i="10" s="1" a="1"/>
  <c r="CO11" i="10" s="1"/>
  <c r="BZ41" i="10"/>
  <c r="CA47" i="10" s="1" a="1"/>
  <c r="CA47" i="10" s="1"/>
  <c r="AN71" i="8"/>
  <c r="AH72" i="8"/>
  <c r="AP72" i="8"/>
  <c r="AM73" i="8"/>
  <c r="AF74" i="8"/>
  <c r="CV1" i="10" a="1"/>
  <c r="BZ46" i="10" l="1" a="1"/>
  <c r="BZ46" i="10" s="1"/>
  <c r="BZ44" i="10" a="1"/>
  <c r="BZ44" i="10" s="1"/>
  <c r="CA46" i="10" a="1"/>
  <c r="CA46" i="10" s="1"/>
  <c r="CC42" i="10" a="1"/>
  <c r="CC42" i="10" s="1"/>
  <c r="BY47" i="10" a="1"/>
  <c r="BY47" i="10" s="1"/>
  <c r="BY46" i="10" a="1"/>
  <c r="BY46" i="10" s="1"/>
  <c r="CC46" i="10" a="1"/>
  <c r="CC46" i="10" s="1"/>
  <c r="CC47" i="10" a="1"/>
  <c r="CC47" i="10" s="1"/>
  <c r="BZ42" i="10" a="1"/>
  <c r="BZ42" i="10" s="1"/>
  <c r="BZ43" i="10" s="1" a="1"/>
  <c r="BZ43" i="10" s="1"/>
  <c r="CD41" i="10" a="1"/>
  <c r="CD41" i="10" s="1"/>
  <c r="CC44" i="10" a="1"/>
  <c r="CC44" i="10" s="1"/>
  <c r="CC43" i="10" a="1"/>
  <c r="CC43" i="10" s="1"/>
  <c r="BY41" i="10"/>
  <c r="CV1" i="10"/>
  <c r="CV2" i="10" s="1" a="1"/>
  <c r="CV2" i="10" s="1"/>
  <c r="CV3" i="10" s="1" a="1"/>
  <c r="CV3" i="10" s="1"/>
  <c r="AO74" i="8"/>
  <c r="AP75" i="8"/>
  <c r="AH76" i="8"/>
  <c r="AI77" i="8"/>
  <c r="AJ78" i="8"/>
  <c r="AK79" i="8"/>
  <c r="AK80" i="8"/>
  <c r="AL81" i="8"/>
  <c r="AD82" i="8"/>
  <c r="AM82" i="8"/>
  <c r="AE83" i="8"/>
  <c r="AN83" i="8"/>
  <c r="AF84" i="8"/>
  <c r="AO84" i="8"/>
  <c r="AP85" i="8"/>
  <c r="AH87" i="8"/>
  <c r="AE89" i="8"/>
  <c r="AE90" i="8"/>
  <c r="AO91" i="8"/>
  <c r="AJ92" i="8"/>
  <c r="AE94" i="8"/>
  <c r="AO95" i="8"/>
  <c r="AK96" i="8"/>
  <c r="AI97" i="8"/>
  <c r="AF98" i="8"/>
  <c r="AP99" i="8"/>
  <c r="AM100" i="8"/>
  <c r="AK101" i="8"/>
  <c r="AN102" i="8"/>
  <c r="AH103" i="8"/>
  <c r="AM104" i="8"/>
  <c r="AL106" i="8"/>
  <c r="AJ108" i="8"/>
  <c r="AI109" i="8"/>
  <c r="AI110" i="8"/>
  <c r="AI111" i="8"/>
  <c r="AN155" i="8"/>
  <c r="AE226" i="8"/>
  <c r="AP13" i="8"/>
  <c r="AJ15" i="8"/>
  <c r="AD17" i="8"/>
  <c r="AL17" i="8"/>
  <c r="AI18" i="8"/>
  <c r="U38" i="10" a="1"/>
  <c r="U39" i="10" a="1"/>
  <c r="BF31" i="10" a="1"/>
  <c r="BF30" i="10" a="1"/>
  <c r="R25" i="10" a="1"/>
  <c r="CU7" i="10" l="1" a="1"/>
  <c r="CU7" i="10" s="1"/>
  <c r="CZ1" i="10" a="1"/>
  <c r="CZ1" i="10" s="1"/>
  <c r="CW7" i="10" a="1"/>
  <c r="CW7" i="10" s="1"/>
  <c r="CY6" i="10" a="1"/>
  <c r="CY6" i="10" s="1"/>
  <c r="CY3" i="10" a="1"/>
  <c r="CY3" i="10" s="1"/>
  <c r="CY2" i="10" a="1"/>
  <c r="CY2" i="10" s="1"/>
  <c r="CU1" i="10"/>
  <c r="CV6" i="10" a="1"/>
  <c r="CV6" i="10" s="1"/>
  <c r="CW6" i="10" a="1"/>
  <c r="CW6" i="10" s="1"/>
  <c r="CY7" i="10" a="1"/>
  <c r="CY7" i="10" s="1"/>
  <c r="CY4" i="10" a="1"/>
  <c r="CY4" i="10" s="1"/>
  <c r="CU6" i="10" a="1"/>
  <c r="CU6" i="10" s="1"/>
  <c r="CV4" i="10" a="1"/>
  <c r="CV4" i="10" s="1"/>
  <c r="BF30" i="10"/>
  <c r="BF31" i="10"/>
  <c r="U39" i="10"/>
  <c r="U38" i="10"/>
  <c r="R25" i="10"/>
  <c r="AN19" i="8"/>
  <c r="AJ19" i="8"/>
  <c r="AH19" i="8"/>
  <c r="AO19" i="8"/>
  <c r="Q69" i="12"/>
  <c r="S69" i="12" s="1"/>
  <c r="AP21" i="8"/>
  <c r="AM22" i="8"/>
  <c r="AJ23" i="8"/>
  <c r="AD25" i="8"/>
  <c r="AI26" i="8"/>
  <c r="Q31" i="10" a="1"/>
  <c r="Q30" i="10" a="1"/>
  <c r="V25" i="10" a="1"/>
  <c r="R30" i="10" a="1"/>
  <c r="U27" i="10" a="1"/>
  <c r="Y23" i="8" a="1"/>
  <c r="S31" i="10" a="1"/>
  <c r="AG9" i="10" a="1"/>
  <c r="X69" i="12" l="1"/>
  <c r="S31" i="10"/>
  <c r="Y23" i="8"/>
  <c r="AL25" i="8" s="1"/>
  <c r="U27" i="10"/>
  <c r="R30" i="10"/>
  <c r="V25" i="10"/>
  <c r="Q30" i="10"/>
  <c r="Q31" i="10"/>
  <c r="Z69" i="12"/>
  <c r="AA69" i="12" s="1"/>
  <c r="W69" i="12"/>
  <c r="V69" i="12"/>
  <c r="Q25" i="10"/>
  <c r="Y69" i="12"/>
  <c r="U69" i="12"/>
  <c r="T69" i="12"/>
  <c r="R69" i="12"/>
  <c r="AC69" i="12" s="1"/>
  <c r="AG9" i="10"/>
  <c r="AF9" i="10" s="1"/>
  <c r="AJ27" i="8"/>
  <c r="AH27" i="8"/>
  <c r="AN27" i="8"/>
  <c r="AO27" i="8"/>
  <c r="Q77" i="12"/>
  <c r="W77" i="12" s="1"/>
  <c r="AP29" i="8"/>
  <c r="AM30" i="8"/>
  <c r="AJ31" i="8"/>
  <c r="AD33" i="8"/>
  <c r="AL33" i="8"/>
  <c r="V32" i="8"/>
  <c r="AI34" i="8" s="1"/>
  <c r="R26" i="10" a="1"/>
  <c r="U26" i="10" a="1"/>
  <c r="AG14" i="10" a="1"/>
  <c r="AG12" i="10" a="1"/>
  <c r="R28" i="10" a="1"/>
  <c r="S30" i="10" a="1"/>
  <c r="AH15" i="10" a="1"/>
  <c r="AJ11" i="10" a="1"/>
  <c r="AF14" i="10" a="1"/>
  <c r="AK9" i="10" a="1"/>
  <c r="AF15" i="10" a="1"/>
  <c r="AH14" i="10" a="1"/>
  <c r="U28" i="10" a="1"/>
  <c r="AJ10" i="10" a="1"/>
  <c r="AG41" i="10" a="1"/>
  <c r="V77" i="12" l="1"/>
  <c r="S77" i="12"/>
  <c r="T77" i="12"/>
  <c r="AJ10" i="10"/>
  <c r="U28" i="10"/>
  <c r="AH14" i="10"/>
  <c r="AF15" i="10"/>
  <c r="AK9" i="10"/>
  <c r="AF14" i="10"/>
  <c r="AJ11" i="10"/>
  <c r="AH15" i="10"/>
  <c r="S30" i="10"/>
  <c r="R28" i="10"/>
  <c r="AG12" i="10"/>
  <c r="AG14" i="10"/>
  <c r="U26" i="10"/>
  <c r="R26" i="10"/>
  <c r="Z77" i="12"/>
  <c r="AA77" i="12" s="1"/>
  <c r="X77" i="12"/>
  <c r="R77" i="12"/>
  <c r="AC77" i="12" s="1"/>
  <c r="Y77" i="12"/>
  <c r="U77" i="12"/>
  <c r="AG41" i="10"/>
  <c r="AF41" i="10" s="1"/>
  <c r="AJ35" i="8"/>
  <c r="Q85" i="12"/>
  <c r="Y85" i="12" s="1"/>
  <c r="AA37" i="8"/>
  <c r="AN35" i="8" s="1"/>
  <c r="AK36" i="8"/>
  <c r="AH37" i="8"/>
  <c r="AP37" i="8"/>
  <c r="Z41" i="8"/>
  <c r="AM38" i="8"/>
  <c r="AJ39" i="8"/>
  <c r="AD41" i="8"/>
  <c r="AI42" i="8"/>
  <c r="AJ12" i="10" a="1"/>
  <c r="Y34" i="8" a="1"/>
  <c r="AG10" i="10" a="1"/>
  <c r="AG44" i="10" a="1"/>
  <c r="AJ42" i="10" a="1"/>
  <c r="R27" i="10" a="1"/>
  <c r="AK41" i="10" a="1"/>
  <c r="AH46" i="10" a="1"/>
  <c r="AV25" i="10" a="1"/>
  <c r="V85" i="12" l="1"/>
  <c r="W85" i="12"/>
  <c r="AH46" i="10"/>
  <c r="AK41" i="10"/>
  <c r="R27" i="10"/>
  <c r="AJ42" i="10"/>
  <c r="AG44" i="10"/>
  <c r="AG10" i="10"/>
  <c r="Y34" i="8"/>
  <c r="AL41" i="8" s="1"/>
  <c r="AJ12" i="10"/>
  <c r="U85" i="12"/>
  <c r="T85" i="12"/>
  <c r="S85" i="12"/>
  <c r="X85" i="12"/>
  <c r="Z85" i="12"/>
  <c r="AA85" i="12" s="1"/>
  <c r="R85" i="12"/>
  <c r="AC85" i="12" s="1"/>
  <c r="AV25" i="10"/>
  <c r="AU25" i="10" s="1"/>
  <c r="AN43" i="8"/>
  <c r="AJ43" i="8"/>
  <c r="AH43" i="8"/>
  <c r="Q93" i="12"/>
  <c r="X93" i="12" s="1"/>
  <c r="AK44" i="8"/>
  <c r="AP45" i="8"/>
  <c r="AM46" i="8"/>
  <c r="AJ47" i="8"/>
  <c r="AO48" i="8"/>
  <c r="AD49" i="8"/>
  <c r="AL49" i="8"/>
  <c r="AI50" i="8"/>
  <c r="AJ43" i="10" a="1"/>
  <c r="AF47" i="10" a="1"/>
  <c r="AH47" i="10" a="1"/>
  <c r="AV26" i="10" a="1"/>
  <c r="AU30" i="10" a="1"/>
  <c r="AW30" i="10" a="1"/>
  <c r="AF46" i="10" a="1"/>
  <c r="AG46" i="10" a="1"/>
  <c r="AY26" i="10" a="1"/>
  <c r="AG11" i="10" a="1"/>
  <c r="AG42" i="10" a="1"/>
  <c r="AY28" i="10" a="1"/>
  <c r="AJ44" i="10" a="1"/>
  <c r="AV28" i="10" a="1"/>
  <c r="AZ25" i="10" a="1"/>
  <c r="BK9" i="10" a="1"/>
  <c r="V93" i="12" l="1"/>
  <c r="S93" i="12"/>
  <c r="W93" i="12"/>
  <c r="Z93" i="12"/>
  <c r="AA93" i="12" s="1"/>
  <c r="AZ25" i="10"/>
  <c r="AV28" i="10"/>
  <c r="AJ44" i="10"/>
  <c r="AY28" i="10"/>
  <c r="AG42" i="10"/>
  <c r="AG11" i="10"/>
  <c r="AY26" i="10"/>
  <c r="AG46" i="10"/>
  <c r="AF46" i="10"/>
  <c r="AW30" i="10"/>
  <c r="AU30" i="10"/>
  <c r="AV26" i="10"/>
  <c r="AH47" i="10"/>
  <c r="AF47" i="10"/>
  <c r="AJ43" i="10"/>
  <c r="U93" i="12"/>
  <c r="Y93" i="12"/>
  <c r="R93" i="12"/>
  <c r="AC93" i="12" s="1"/>
  <c r="T93" i="12"/>
  <c r="BK9" i="10"/>
  <c r="BK12" i="10" s="1" a="1"/>
  <c r="BK12" i="10" s="1"/>
  <c r="AN51" i="8"/>
  <c r="AJ52" i="8"/>
  <c r="AY27" i="10" a="1"/>
  <c r="AW31" i="10" a="1"/>
  <c r="AU31" i="10" a="1"/>
  <c r="AV30" i="10" a="1"/>
  <c r="AG43" i="10" a="1"/>
  <c r="U31" i="10" a="1"/>
  <c r="U30" i="10" a="1"/>
  <c r="AV27" i="10" a="1"/>
  <c r="BK17" i="10" a="1"/>
  <c r="BL15" i="10" l="1" a="1"/>
  <c r="BL15" i="10" s="1"/>
  <c r="BN10" i="10" a="1"/>
  <c r="BN10" i="10" s="1"/>
  <c r="BJ9" i="10"/>
  <c r="AV27" i="10"/>
  <c r="U30" i="10"/>
  <c r="U31" i="10"/>
  <c r="AG43" i="10"/>
  <c r="AV30" i="10"/>
  <c r="AU31" i="10"/>
  <c r="AW31" i="10"/>
  <c r="AY27" i="10"/>
  <c r="BK14" i="10" a="1"/>
  <c r="BK14" i="10" s="1"/>
  <c r="BJ15" i="10" a="1"/>
  <c r="BJ15" i="10" s="1"/>
  <c r="BK10" i="10" a="1"/>
  <c r="BK10" i="10" s="1"/>
  <c r="BK11" i="10" s="1" a="1"/>
  <c r="BK11" i="10" s="1"/>
  <c r="BN14" i="10" s="1" a="1"/>
  <c r="BN14" i="10" s="1"/>
  <c r="BL14" i="10" a="1"/>
  <c r="BL14" i="10" s="1"/>
  <c r="BN12" i="10" a="1"/>
  <c r="BN12" i="10" s="1"/>
  <c r="BJ14" i="10" a="1"/>
  <c r="BJ14" i="10" s="1"/>
  <c r="BO9" i="10" a="1"/>
  <c r="BO9" i="10" s="1"/>
  <c r="BN11" i="10" a="1"/>
  <c r="BN11" i="10" s="1"/>
  <c r="BK17" i="10"/>
  <c r="BK20" i="10" s="1" a="1"/>
  <c r="BK20" i="10" s="1"/>
  <c r="AN53" i="8"/>
  <c r="AJ54" i="8"/>
  <c r="AJ15" i="10" a="1"/>
  <c r="AJ14" i="10" a="1"/>
  <c r="BK25" i="10" a="1"/>
  <c r="BJ22" i="10" l="1" a="1"/>
  <c r="BJ22" i="10" s="1"/>
  <c r="BK18" i="10" a="1"/>
  <c r="BK18" i="10" s="1"/>
  <c r="BK19" i="10" s="1" a="1"/>
  <c r="BK19" i="10" s="1"/>
  <c r="BN22" i="10" s="1" a="1"/>
  <c r="BN22" i="10" s="1"/>
  <c r="BJ17" i="10"/>
  <c r="BN18" i="10" a="1"/>
  <c r="BN18" i="10" s="1"/>
  <c r="BK22" i="10" a="1"/>
  <c r="BK22" i="10" s="1"/>
  <c r="BN20" i="10" a="1"/>
  <c r="BN20" i="10" s="1"/>
  <c r="BL22" i="10" a="1"/>
  <c r="BL22" i="10" s="1"/>
  <c r="BJ23" i="10" a="1"/>
  <c r="BJ23" i="10" s="1"/>
  <c r="BL23" i="10" a="1"/>
  <c r="BL23" i="10" s="1"/>
  <c r="AJ14" i="10"/>
  <c r="AJ15" i="10"/>
  <c r="BO17" i="10" a="1"/>
  <c r="BO17" i="10" s="1"/>
  <c r="BN19" i="10" a="1"/>
  <c r="BN19" i="10" s="1"/>
  <c r="BN15" i="10" a="1"/>
  <c r="BN15" i="10" s="1"/>
  <c r="BK25" i="10"/>
  <c r="BL31" i="10" s="1" a="1"/>
  <c r="BL31" i="10" s="1"/>
  <c r="AN55" i="8"/>
  <c r="AJ56" i="8"/>
  <c r="AY31" i="10" a="1"/>
  <c r="AY30" i="10" a="1"/>
  <c r="AJ46" i="10" a="1"/>
  <c r="AJ47" i="10" a="1"/>
  <c r="BK33" i="10" a="1"/>
  <c r="BN23" i="10" l="1" a="1"/>
  <c r="BN23" i="10" s="1"/>
  <c r="BJ31" i="10" a="1"/>
  <c r="BJ31" i="10" s="1"/>
  <c r="BK28" i="10" a="1"/>
  <c r="BK28" i="10" s="1"/>
  <c r="BN28" i="10" a="1"/>
  <c r="BN28" i="10" s="1"/>
  <c r="BN27" i="10" a="1"/>
  <c r="BN27" i="10" s="1"/>
  <c r="BN26" i="10" a="1"/>
  <c r="BN26" i="10" s="1"/>
  <c r="BK30" i="10" a="1"/>
  <c r="BK30" i="10" s="1"/>
  <c r="BL30" i="10" a="1"/>
  <c r="BL30" i="10" s="1"/>
  <c r="BO25" i="10" a="1"/>
  <c r="BO25" i="10" s="1"/>
  <c r="BJ30" i="10" a="1"/>
  <c r="BJ30" i="10" s="1"/>
  <c r="BK26" i="10" a="1"/>
  <c r="BK26" i="10" s="1"/>
  <c r="BK27" i="10" s="1" a="1"/>
  <c r="BK27" i="10" s="1"/>
  <c r="BN31" i="10" s="1" a="1"/>
  <c r="BN31" i="10" s="1"/>
  <c r="AJ47" i="10"/>
  <c r="AJ46" i="10"/>
  <c r="AY30" i="10"/>
  <c r="AY31" i="10"/>
  <c r="BJ25" i="10"/>
  <c r="BK33" i="10"/>
  <c r="BO33" i="10" s="1" a="1"/>
  <c r="BO33" i="10" s="1"/>
  <c r="AN57" i="8"/>
  <c r="AJ58" i="8"/>
  <c r="BK41" i="10" a="1"/>
  <c r="BK36" i="10" l="1" a="1"/>
  <c r="BK36" i="10" s="1"/>
  <c r="BN30" i="10" a="1"/>
  <c r="BN30" i="10" s="1"/>
  <c r="BJ33" i="10"/>
  <c r="BN36" i="10" a="1"/>
  <c r="BN36" i="10" s="1"/>
  <c r="BJ39" i="10" a="1"/>
  <c r="BJ39" i="10" s="1"/>
  <c r="BN34" i="10" a="1"/>
  <c r="BN34" i="10" s="1"/>
  <c r="BL38" i="10" a="1"/>
  <c r="BL38" i="10" s="1"/>
  <c r="BK38" i="10" a="1"/>
  <c r="BK38" i="10" s="1"/>
  <c r="BK34" i="10" a="1"/>
  <c r="BK34" i="10" s="1"/>
  <c r="BK35" i="10" s="1" a="1"/>
  <c r="BK35" i="10" s="1"/>
  <c r="BJ38" i="10" a="1"/>
  <c r="BJ38" i="10" s="1"/>
  <c r="BN35" i="10" a="1"/>
  <c r="BN35" i="10" s="1"/>
  <c r="BL39" i="10" a="1"/>
  <c r="BL39" i="10" s="1"/>
  <c r="BK41" i="10"/>
  <c r="BO41" i="10" s="1" a="1"/>
  <c r="BO41" i="10" s="1"/>
  <c r="AN59" i="8"/>
  <c r="AJ60" i="8"/>
  <c r="BZ1" i="10" a="1"/>
  <c r="BN44" i="10" l="1" a="1"/>
  <c r="BN44" i="10" s="1"/>
  <c r="BN42" i="10" a="1"/>
  <c r="BN42" i="10" s="1"/>
  <c r="BN43" i="10" a="1"/>
  <c r="BN43" i="10" s="1"/>
  <c r="BJ41" i="10"/>
  <c r="BJ46" i="10" a="1"/>
  <c r="BJ46" i="10" s="1"/>
  <c r="BK44" i="10" a="1"/>
  <c r="BK44" i="10" s="1"/>
  <c r="BN38" i="10" a="1"/>
  <c r="BN38" i="10" s="1"/>
  <c r="BN39" i="10" a="1"/>
  <c r="BN39" i="10" s="1"/>
  <c r="BL46" i="10" a="1"/>
  <c r="BL46" i="10" s="1"/>
  <c r="BJ47" i="10" a="1"/>
  <c r="BJ47" i="10" s="1"/>
  <c r="BL47" i="10" a="1"/>
  <c r="BL47" i="10" s="1"/>
  <c r="BK46" i="10" a="1"/>
  <c r="BK46" i="10" s="1"/>
  <c r="BK42" i="10" a="1"/>
  <c r="BK42" i="10" s="1"/>
  <c r="BK43" i="10" s="1" a="1"/>
  <c r="BK43" i="10" s="1"/>
  <c r="BN46" i="10" s="1" a="1"/>
  <c r="BN46" i="10" s="1"/>
  <c r="BZ1" i="10"/>
  <c r="CA6" i="10" s="1" a="1"/>
  <c r="CA6" i="10" s="1"/>
  <c r="AN61" i="8"/>
  <c r="AJ62" i="8"/>
  <c r="BZ9" i="10" a="1"/>
  <c r="BY6" i="10" l="1" a="1"/>
  <c r="BY6" i="10" s="1"/>
  <c r="BZ6" i="10" a="1"/>
  <c r="BZ6" i="10" s="1"/>
  <c r="BZ2" i="10" a="1"/>
  <c r="BZ2" i="10" s="1"/>
  <c r="BZ3" i="10" s="1" a="1"/>
  <c r="BZ3" i="10" s="1"/>
  <c r="CA7" i="10" a="1"/>
  <c r="CA7" i="10" s="1"/>
  <c r="CC4" i="10" a="1"/>
  <c r="CC4" i="10" s="1"/>
  <c r="CD1" i="10" a="1"/>
  <c r="CD1" i="10" s="1"/>
  <c r="CC3" i="10" a="1"/>
  <c r="CC3" i="10" s="1"/>
  <c r="BN47" i="10" a="1"/>
  <c r="BN47" i="10" s="1"/>
  <c r="BY1" i="10"/>
  <c r="BZ4" i="10" a="1"/>
  <c r="BZ4" i="10" s="1"/>
  <c r="CC6" i="10" a="1"/>
  <c r="CC6" i="10" s="1"/>
  <c r="BY7" i="10" a="1"/>
  <c r="BY7" i="10" s="1"/>
  <c r="CC7" i="10" a="1"/>
  <c r="CC7" i="10" s="1"/>
  <c r="CC2" i="10" a="1"/>
  <c r="CC2" i="10" s="1"/>
  <c r="BZ9" i="10"/>
  <c r="BZ14" i="10" s="1" a="1"/>
  <c r="BZ14" i="10" s="1"/>
  <c r="AN63" i="8"/>
  <c r="AJ64" i="8"/>
  <c r="BZ17" i="10" a="1"/>
  <c r="CD9" i="10" l="1" a="1"/>
  <c r="CD9" i="10" s="1"/>
  <c r="CA14" i="10" a="1"/>
  <c r="CA14" i="10" s="1"/>
  <c r="BZ10" i="10" a="1"/>
  <c r="BZ10" i="10" s="1"/>
  <c r="BZ11" i="10" s="1" a="1"/>
  <c r="BZ11" i="10" s="1"/>
  <c r="BY15" i="10" a="1"/>
  <c r="BY15" i="10" s="1"/>
  <c r="CC12" i="10" a="1"/>
  <c r="CC12" i="10" s="1"/>
  <c r="CC11" i="10" a="1"/>
  <c r="CC11" i="10" s="1"/>
  <c r="CC10" i="10" a="1"/>
  <c r="CC10" i="10" s="1"/>
  <c r="CC14" i="10" a="1"/>
  <c r="CC14" i="10" s="1"/>
  <c r="CC15" i="10" a="1"/>
  <c r="CC15" i="10" s="1"/>
  <c r="BY14" i="10" a="1"/>
  <c r="BY14" i="10" s="1"/>
  <c r="BY9" i="10"/>
  <c r="BZ12" i="10" a="1"/>
  <c r="BZ12" i="10" s="1"/>
  <c r="CA15" i="10" a="1"/>
  <c r="CA15" i="10" s="1"/>
  <c r="BZ17" i="10"/>
  <c r="CC19" i="10" s="1" a="1"/>
  <c r="CC19" i="10" s="1"/>
  <c r="AN65" i="8"/>
  <c r="AJ66" i="8"/>
  <c r="BZ25" i="10" a="1"/>
  <c r="BY17" i="10" l="1"/>
  <c r="CC18" i="10" a="1"/>
  <c r="CC18" i="10" s="1"/>
  <c r="BY22" i="10" a="1"/>
  <c r="BY22" i="10" s="1"/>
  <c r="CA22" i="10" a="1"/>
  <c r="CA22" i="10" s="1"/>
  <c r="CD17" i="10" a="1"/>
  <c r="CD17" i="10" s="1"/>
  <c r="CC23" i="10" a="1"/>
  <c r="CC23" i="10" s="1"/>
  <c r="BY23" i="10" a="1"/>
  <c r="BY23" i="10" s="1"/>
  <c r="CC22" i="10" a="1"/>
  <c r="CC22" i="10" s="1"/>
  <c r="CC20" i="10" a="1"/>
  <c r="CC20" i="10" s="1"/>
  <c r="BZ18" i="10" a="1"/>
  <c r="BZ18" i="10" s="1"/>
  <c r="BZ19" i="10" s="1" a="1"/>
  <c r="BZ19" i="10" s="1"/>
  <c r="BZ20" i="10" a="1"/>
  <c r="BZ20" i="10" s="1"/>
  <c r="BZ22" i="10" a="1"/>
  <c r="BZ22" i="10" s="1"/>
  <c r="CA23" i="10" a="1"/>
  <c r="CA23" i="10" s="1"/>
  <c r="BZ25" i="10"/>
  <c r="BY25" i="10" s="1"/>
  <c r="AN67" i="8"/>
  <c r="AJ68" i="8"/>
  <c r="BZ33" i="10" a="1"/>
  <c r="CC30" i="10" l="1" a="1"/>
  <c r="CC30" i="10" s="1"/>
  <c r="CC28" i="10" a="1"/>
  <c r="CC28" i="10" s="1"/>
  <c r="CD25" i="10" a="1"/>
  <c r="CD25" i="10" s="1"/>
  <c r="CC31" i="10" a="1"/>
  <c r="CC31" i="10" s="1"/>
  <c r="BY30" i="10" a="1"/>
  <c r="BY30" i="10" s="1"/>
  <c r="CA31" i="10" a="1"/>
  <c r="CA31" i="10" s="1"/>
  <c r="BY31" i="10" a="1"/>
  <c r="BY31" i="10" s="1"/>
  <c r="BZ26" i="10" a="1"/>
  <c r="BZ26" i="10" s="1"/>
  <c r="BZ27" i="10" s="1" a="1"/>
  <c r="BZ27" i="10" s="1"/>
  <c r="BZ28" i="10" a="1"/>
  <c r="BZ28" i="10" s="1"/>
  <c r="CC27" i="10" a="1"/>
  <c r="CC27" i="10" s="1"/>
  <c r="CC26" i="10" a="1"/>
  <c r="CC26" i="10" s="1"/>
  <c r="CA30" i="10" a="1"/>
  <c r="CA30" i="10" s="1"/>
  <c r="BZ30" i="10" a="1"/>
  <c r="BZ30" i="10" s="1"/>
  <c r="BZ33" i="10"/>
  <c r="CA39" i="10" s="1" a="1"/>
  <c r="CA39" i="10" s="1"/>
  <c r="AN69" i="8"/>
  <c r="AJ70" i="8"/>
  <c r="AO71" i="8"/>
  <c r="AI72" i="8"/>
  <c r="AE73" i="8"/>
  <c r="AN73" i="8"/>
  <c r="AH75" i="8"/>
  <c r="AI76" i="8"/>
  <c r="AJ77" i="8"/>
  <c r="AK78" i="8"/>
  <c r="AL79" i="8"/>
  <c r="AM80" i="8"/>
  <c r="AD81" i="8"/>
  <c r="AM81" i="8"/>
  <c r="AE82" i="8"/>
  <c r="AN82" i="8"/>
  <c r="AF83" i="8"/>
  <c r="AO83" i="8"/>
  <c r="AP84" i="8"/>
  <c r="AH85" i="8"/>
  <c r="AI86" i="8"/>
  <c r="AI87" i="8"/>
  <c r="AH88" i="8"/>
  <c r="AF90" i="8"/>
  <c r="AP91" i="8"/>
  <c r="AK92" i="8"/>
  <c r="AI93" i="8"/>
  <c r="AF94" i="8"/>
  <c r="AP95" i="8"/>
  <c r="AM96" i="8"/>
  <c r="AK97" i="8"/>
  <c r="AE99" i="8"/>
  <c r="AO100" i="8"/>
  <c r="AL101" i="8"/>
  <c r="AO102" i="8"/>
  <c r="AI103" i="8"/>
  <c r="AO104" i="8"/>
  <c r="AM106" i="8"/>
  <c r="AK108" i="8"/>
  <c r="AJ109" i="8"/>
  <c r="AK110" i="8"/>
  <c r="AM115" i="8"/>
  <c r="AP128" i="8"/>
  <c r="AD20" i="8"/>
  <c r="AI21" i="8"/>
  <c r="Y33" i="10" a="1"/>
  <c r="CC35" i="10" l="1" a="1"/>
  <c r="CC35" i="10" s="1"/>
  <c r="BY39" i="10" a="1"/>
  <c r="BY39" i="10" s="1"/>
  <c r="CC38" i="10" a="1"/>
  <c r="CC38" i="10" s="1"/>
  <c r="CC34" i="10" a="1"/>
  <c r="CC34" i="10" s="1"/>
  <c r="BY33" i="10"/>
  <c r="CC39" i="10" a="1"/>
  <c r="CC39" i="10" s="1"/>
  <c r="BZ36" i="10" a="1"/>
  <c r="BZ36" i="10" s="1"/>
  <c r="BZ34" i="10" a="1"/>
  <c r="BZ34" i="10" s="1"/>
  <c r="BZ35" i="10" s="1" a="1"/>
  <c r="BZ35" i="10" s="1"/>
  <c r="CD33" i="10" a="1"/>
  <c r="CD33" i="10" s="1"/>
  <c r="CA38" i="10" a="1"/>
  <c r="CA38" i="10" s="1"/>
  <c r="BZ38" i="10" a="1"/>
  <c r="BZ38" i="10" s="1"/>
  <c r="CC36" i="10" a="1"/>
  <c r="CC36" i="10" s="1"/>
  <c r="BY38" i="10" a="1"/>
  <c r="BY38" i="10" s="1"/>
  <c r="Y33" i="10"/>
  <c r="X33" i="10" s="1"/>
  <c r="AO22" i="8"/>
  <c r="AN22" i="8"/>
  <c r="Q72" i="12"/>
  <c r="X72" i="12" s="1"/>
  <c r="AK23" i="8"/>
  <c r="AP24" i="8"/>
  <c r="Z23" i="8"/>
  <c r="AM25" i="8" s="1"/>
  <c r="AD28" i="8"/>
  <c r="V26" i="8"/>
  <c r="AI29" i="8"/>
  <c r="Y38" i="10" a="1"/>
  <c r="Y34" i="10" a="1"/>
  <c r="X39" i="10" a="1"/>
  <c r="AB35" i="10" a="1"/>
  <c r="Y36" i="10" a="1"/>
  <c r="Z38" i="10" a="1"/>
  <c r="AB36" i="10" a="1"/>
  <c r="Z39" i="10" a="1"/>
  <c r="AB34" i="10" a="1"/>
  <c r="AC33" i="10" a="1"/>
  <c r="X38" i="10" a="1"/>
  <c r="AN17" i="10" a="1"/>
  <c r="X38" i="10" l="1"/>
  <c r="AC33" i="10"/>
  <c r="AB34" i="10"/>
  <c r="Z39" i="10"/>
  <c r="AB36" i="10"/>
  <c r="Z38" i="10"/>
  <c r="Y36" i="10"/>
  <c r="AB35" i="10"/>
  <c r="X39" i="10"/>
  <c r="Y34" i="10"/>
  <c r="Y38" i="10"/>
  <c r="R72" i="12"/>
  <c r="AC72" i="12" s="1"/>
  <c r="Z72" i="12"/>
  <c r="AA72" i="12" s="1"/>
  <c r="Y72" i="12"/>
  <c r="W72" i="12"/>
  <c r="S72" i="12"/>
  <c r="T72" i="12"/>
  <c r="V72" i="12"/>
  <c r="U72" i="12"/>
  <c r="AN17" i="10"/>
  <c r="AM17" i="10" s="1"/>
  <c r="AN30" i="8"/>
  <c r="AO30" i="8"/>
  <c r="Q80" i="12"/>
  <c r="Y80" i="12" s="1"/>
  <c r="AK31" i="8"/>
  <c r="AP32" i="8"/>
  <c r="AM33" i="8"/>
  <c r="AD36" i="8"/>
  <c r="AL36" i="8"/>
  <c r="AI37" i="8"/>
  <c r="AO22" i="10" a="1"/>
  <c r="AB37" i="8" a="1"/>
  <c r="AQ19" i="10" a="1"/>
  <c r="AN22" i="10" a="1"/>
  <c r="AM22" i="10" a="1"/>
  <c r="AN18" i="10" a="1"/>
  <c r="AQ20" i="10" a="1"/>
  <c r="AO23" i="10" a="1"/>
  <c r="AN20" i="10" a="1"/>
  <c r="BC1" i="10" a="1"/>
  <c r="AN20" i="10" l="1"/>
  <c r="AO23" i="10"/>
  <c r="AQ20" i="10"/>
  <c r="AN18" i="10"/>
  <c r="AM22" i="10"/>
  <c r="AN22" i="10"/>
  <c r="AQ19" i="10"/>
  <c r="AB37" i="8"/>
  <c r="AO35" i="8" s="1"/>
  <c r="AO22" i="10"/>
  <c r="V80" i="12"/>
  <c r="S80" i="12"/>
  <c r="W80" i="12"/>
  <c r="X80" i="12"/>
  <c r="R80" i="12"/>
  <c r="AC80" i="12" s="1"/>
  <c r="T80" i="12"/>
  <c r="U80" i="12"/>
  <c r="Z80" i="12"/>
  <c r="AA80" i="12" s="1"/>
  <c r="BC1" i="10"/>
  <c r="BB6" i="10" s="1" a="1"/>
  <c r="BB6" i="10" s="1"/>
  <c r="AA41" i="8"/>
  <c r="AN38" i="8" s="1"/>
  <c r="Q88" i="12"/>
  <c r="R88" i="12" s="1"/>
  <c r="AC88" i="12" s="1"/>
  <c r="AK39" i="8"/>
  <c r="AP40" i="8"/>
  <c r="Z34" i="8"/>
  <c r="AM41" i="8" s="1"/>
  <c r="AO43" i="8"/>
  <c r="AD44" i="8"/>
  <c r="AI45" i="8"/>
  <c r="AY34" i="10" a="1"/>
  <c r="AR17" i="10" a="1"/>
  <c r="Y35" i="10" a="1"/>
  <c r="BB7" i="10" a="1"/>
  <c r="AQ18" i="10" a="1"/>
  <c r="AM23" i="10" a="1"/>
  <c r="BC2" i="10" a="1"/>
  <c r="AN19" i="10" a="1"/>
  <c r="BC33" i="10" a="1"/>
  <c r="BF3" i="10" l="1" a="1"/>
  <c r="BF3" i="10" s="1"/>
  <c r="AY34" i="10"/>
  <c r="BF2" i="10" a="1"/>
  <c r="BF2" i="10" s="1"/>
  <c r="BD6" i="10" a="1"/>
  <c r="BD6" i="10" s="1"/>
  <c r="BB1" i="10"/>
  <c r="S88" i="12"/>
  <c r="X88" i="12"/>
  <c r="AN19" i="10"/>
  <c r="BC2" i="10"/>
  <c r="BC3" i="10" s="1" a="1"/>
  <c r="BC3" i="10" s="1"/>
  <c r="BF7" i="10" s="1" a="1"/>
  <c r="BF7" i="10" s="1"/>
  <c r="AM23" i="10"/>
  <c r="AQ18" i="10"/>
  <c r="BB7" i="10"/>
  <c r="Y35" i="10"/>
  <c r="AR17" i="10"/>
  <c r="Z88" i="12"/>
  <c r="AA88" i="12" s="1"/>
  <c r="Y88" i="12"/>
  <c r="BC6" i="10" a="1"/>
  <c r="BC6" i="10" s="1"/>
  <c r="V88" i="12"/>
  <c r="U88" i="12"/>
  <c r="W88" i="12"/>
  <c r="T88" i="12"/>
  <c r="BC33" i="10"/>
  <c r="AJ46" i="8"/>
  <c r="AN46" i="8"/>
  <c r="Q96" i="12"/>
  <c r="R96" i="12" s="1"/>
  <c r="AC96" i="12" s="1"/>
  <c r="AK47" i="8"/>
  <c r="AP48" i="8"/>
  <c r="AM49" i="8"/>
  <c r="AJ50" i="8"/>
  <c r="AO51" i="8"/>
  <c r="AK52" i="8"/>
  <c r="AO53" i="8"/>
  <c r="AK54" i="8"/>
  <c r="AO55" i="8"/>
  <c r="AK56" i="8"/>
  <c r="AO57" i="8"/>
  <c r="AK58" i="8"/>
  <c r="AO59" i="8"/>
  <c r="AK60" i="8"/>
  <c r="AO61" i="8"/>
  <c r="AK62" i="8"/>
  <c r="AO63" i="8"/>
  <c r="AK64" i="8"/>
  <c r="AO65" i="8"/>
  <c r="AK66" i="8"/>
  <c r="AO67" i="8"/>
  <c r="AK68" i="8"/>
  <c r="AO69" i="8"/>
  <c r="AK70" i="8"/>
  <c r="AH71" i="8"/>
  <c r="AP71" i="8"/>
  <c r="AJ72" i="8"/>
  <c r="AF73" i="8"/>
  <c r="BF4" i="10" a="1"/>
  <c r="BC36" i="10" a="1"/>
  <c r="BG1" i="10" a="1"/>
  <c r="BD7" i="10" a="1"/>
  <c r="BB38" i="10" a="1"/>
  <c r="BD39" i="10" a="1"/>
  <c r="BG33" i="10" a="1"/>
  <c r="BF35" i="10" a="1"/>
  <c r="BC4" i="10" a="1"/>
  <c r="BC34" i="10" a="1"/>
  <c r="CO1" i="10" a="1"/>
  <c r="S96" i="12" l="1"/>
  <c r="Z96" i="12"/>
  <c r="AA96" i="12" s="1"/>
  <c r="T96" i="12"/>
  <c r="Y96" i="12"/>
  <c r="W96" i="12"/>
  <c r="V96" i="12"/>
  <c r="BC34" i="10"/>
  <c r="BC4" i="10"/>
  <c r="BF35" i="10"/>
  <c r="BG33" i="10"/>
  <c r="BD39" i="10"/>
  <c r="BB38" i="10"/>
  <c r="BD7" i="10"/>
  <c r="BG1" i="10"/>
  <c r="BC36" i="10"/>
  <c r="BF4" i="10"/>
  <c r="X96" i="12"/>
  <c r="U96" i="12"/>
  <c r="BB33" i="10"/>
  <c r="BF6" i="10" a="1"/>
  <c r="BF6" i="10" s="1"/>
  <c r="CO1" i="10"/>
  <c r="CS1" i="10" s="1" a="1"/>
  <c r="CS1" i="10" s="1"/>
  <c r="AO73" i="8"/>
  <c r="AI74" i="8"/>
  <c r="AI75" i="8"/>
  <c r="AJ76" i="8"/>
  <c r="AK77" i="8"/>
  <c r="AL78" i="8"/>
  <c r="AD79" i="8"/>
  <c r="AM79" i="8"/>
  <c r="AE80" i="8"/>
  <c r="AN80" i="8"/>
  <c r="AE81" i="8"/>
  <c r="AO81" i="8"/>
  <c r="AF82" i="8"/>
  <c r="BD38" i="10" a="1"/>
  <c r="BF36" i="10" a="1"/>
  <c r="BB39" i="10" a="1"/>
  <c r="AB39" i="10" a="1"/>
  <c r="BC38" i="10" a="1"/>
  <c r="AQ22" i="10" a="1"/>
  <c r="AB38" i="10" a="1"/>
  <c r="AQ23" i="10" a="1"/>
  <c r="CV33" i="10" a="1"/>
  <c r="CN1" i="10" l="1"/>
  <c r="CO4" i="10" a="1"/>
  <c r="CO4" i="10" s="1"/>
  <c r="CR6" i="10" a="1"/>
  <c r="CR6" i="10" s="1"/>
  <c r="CR7" i="10" a="1"/>
  <c r="CR7" i="10" s="1"/>
  <c r="CP7" i="10" a="1"/>
  <c r="CP7" i="10" s="1"/>
  <c r="CR4" i="10" a="1"/>
  <c r="CR4" i="10" s="1"/>
  <c r="CO6" i="10" a="1"/>
  <c r="CO6" i="10" s="1"/>
  <c r="CN7" i="10" a="1"/>
  <c r="CN7" i="10" s="1"/>
  <c r="CO2" i="10" a="1"/>
  <c r="CO2" i="10" s="1"/>
  <c r="CO3" i="10" s="1" a="1"/>
  <c r="CO3" i="10" s="1"/>
  <c r="CN6" i="10" a="1"/>
  <c r="CN6" i="10" s="1"/>
  <c r="CP6" i="10" a="1"/>
  <c r="CP6" i="10" s="1"/>
  <c r="CR3" i="10" a="1"/>
  <c r="CR3" i="10" s="1"/>
  <c r="CR2" i="10" a="1"/>
  <c r="CR2" i="10" s="1"/>
  <c r="AQ23" i="10"/>
  <c r="AB38" i="10"/>
  <c r="AQ22" i="10"/>
  <c r="BC38" i="10"/>
  <c r="AB39" i="10"/>
  <c r="BB39" i="10"/>
  <c r="BF36" i="10"/>
  <c r="BD38" i="10"/>
  <c r="CV33" i="10"/>
  <c r="CY35" i="10" s="1" a="1"/>
  <c r="CY35" i="10" s="1"/>
  <c r="AO82" i="8"/>
  <c r="AP83" i="8"/>
  <c r="AH84" i="8"/>
  <c r="AI85" i="8"/>
  <c r="AJ86" i="8"/>
  <c r="AK87" i="8"/>
  <c r="AI88" i="8"/>
  <c r="AI89" i="8"/>
  <c r="AE91" i="8"/>
  <c r="AM92" i="8"/>
  <c r="AK93" i="8"/>
  <c r="AE95" i="8"/>
  <c r="AO96" i="8"/>
  <c r="AL97" i="8"/>
  <c r="AI98" i="8"/>
  <c r="AM101" i="8"/>
  <c r="AM103" i="8"/>
  <c r="AI105" i="8"/>
  <c r="AK109" i="8"/>
  <c r="AN119" i="8"/>
  <c r="AI121" i="8"/>
  <c r="AO125" i="8"/>
  <c r="AP169" i="8"/>
  <c r="AM191" i="8"/>
  <c r="AD7" i="8"/>
  <c r="AI8" i="8"/>
  <c r="BC35" i="10" a="1"/>
  <c r="C33" i="10" a="1"/>
  <c r="CV38" i="10" l="1" a="1"/>
  <c r="CV38" i="10" s="1"/>
  <c r="CY36" i="10" a="1"/>
  <c r="CY36" i="10" s="1"/>
  <c r="CU33" i="10"/>
  <c r="CY34" i="10" a="1"/>
  <c r="CY34" i="10" s="1"/>
  <c r="CV36" i="10" a="1"/>
  <c r="CV36" i="10" s="1"/>
  <c r="CY39" i="10" a="1"/>
  <c r="CY39" i="10" s="1"/>
  <c r="CW38" i="10" a="1"/>
  <c r="CW38" i="10" s="1"/>
  <c r="CU39" i="10" a="1"/>
  <c r="CU39" i="10" s="1"/>
  <c r="CW39" i="10" a="1"/>
  <c r="CW39" i="10" s="1"/>
  <c r="CZ33" i="10" a="1"/>
  <c r="CZ33" i="10" s="1"/>
  <c r="CU38" i="10" a="1"/>
  <c r="CU38" i="10" s="1"/>
  <c r="CY38" i="10" a="1"/>
  <c r="CY38" i="10" s="1"/>
  <c r="CV34" i="10" a="1"/>
  <c r="CV34" i="10" s="1"/>
  <c r="CV35" i="10" s="1" a="1"/>
  <c r="CV35" i="10" s="1"/>
  <c r="BC35" i="10"/>
  <c r="C33" i="10"/>
  <c r="B33" i="10" s="1"/>
  <c r="AN9" i="8"/>
  <c r="Q59" i="12"/>
  <c r="X59" i="12" s="1"/>
  <c r="AP11" i="8"/>
  <c r="AD15" i="8"/>
  <c r="AL15" i="8"/>
  <c r="AI16" i="8"/>
  <c r="C38" i="10" a="1"/>
  <c r="D39" i="10" a="1"/>
  <c r="F36" i="10" a="1"/>
  <c r="C34" i="10" a="1"/>
  <c r="F35" i="10" a="1"/>
  <c r="G33" i="10" a="1"/>
  <c r="C36" i="10" a="1"/>
  <c r="B38" i="10" a="1"/>
  <c r="B39" i="10" a="1"/>
  <c r="F34" i="10" a="1"/>
  <c r="D38" i="10" a="1"/>
  <c r="R17" i="10" a="1"/>
  <c r="U59" i="12" l="1"/>
  <c r="D38" i="10"/>
  <c r="F34" i="10"/>
  <c r="B39" i="10"/>
  <c r="B38" i="10"/>
  <c r="C36" i="10"/>
  <c r="G33" i="10"/>
  <c r="F35" i="10"/>
  <c r="C34" i="10"/>
  <c r="F36" i="10"/>
  <c r="D39" i="10"/>
  <c r="C38" i="10"/>
  <c r="Z59" i="12"/>
  <c r="AA59" i="12" s="1"/>
  <c r="R59" i="12"/>
  <c r="AC59" i="12" s="1"/>
  <c r="Y59" i="12"/>
  <c r="W59" i="12"/>
  <c r="S59" i="12"/>
  <c r="T59" i="12"/>
  <c r="V59" i="12"/>
  <c r="R17" i="10"/>
  <c r="Q17" i="10" s="1"/>
  <c r="AH17" i="8"/>
  <c r="AN17" i="8"/>
  <c r="Q67" i="12"/>
  <c r="V67" i="12" s="1"/>
  <c r="AP19" i="8"/>
  <c r="AD23" i="8"/>
  <c r="AL23" i="8"/>
  <c r="AI24" i="8"/>
  <c r="BF38" i="10" a="1"/>
  <c r="U18" i="10" a="1"/>
  <c r="S23" i="10" a="1"/>
  <c r="C35" i="10" a="1"/>
  <c r="BF39" i="10" a="1"/>
  <c r="S22" i="10" a="1"/>
  <c r="V17" i="10" a="1"/>
  <c r="Q23" i="10" a="1"/>
  <c r="U19" i="10" a="1"/>
  <c r="Q22" i="10" a="1"/>
  <c r="U20" i="10" a="1"/>
  <c r="R18" i="10" a="1"/>
  <c r="R22" i="10" a="1"/>
  <c r="AG1" i="10" a="1"/>
  <c r="X67" i="12" l="1"/>
  <c r="U67" i="12"/>
  <c r="W67" i="12"/>
  <c r="T67" i="12"/>
  <c r="Z67" i="12"/>
  <c r="AA67" i="12" s="1"/>
  <c r="S67" i="12"/>
  <c r="Y67" i="12"/>
  <c r="R22" i="10"/>
  <c r="R18" i="10"/>
  <c r="U20" i="10"/>
  <c r="Q22" i="10"/>
  <c r="U19" i="10"/>
  <c r="Q23" i="10"/>
  <c r="V17" i="10"/>
  <c r="S22" i="10"/>
  <c r="BF39" i="10"/>
  <c r="C35" i="10"/>
  <c r="S23" i="10"/>
  <c r="U18" i="10"/>
  <c r="BF38" i="10"/>
  <c r="R67" i="12"/>
  <c r="AC67" i="12" s="1"/>
  <c r="AG1" i="10"/>
  <c r="AH25" i="8"/>
  <c r="AA23" i="8"/>
  <c r="AN25" i="8" s="1"/>
  <c r="Q75" i="12"/>
  <c r="S75" i="12" s="1"/>
  <c r="AP27" i="8"/>
  <c r="AD31" i="8"/>
  <c r="AL31" i="8"/>
  <c r="V30" i="8"/>
  <c r="AI32" i="8" s="1"/>
  <c r="R20" i="10" a="1"/>
  <c r="AG4" i="10" a="1"/>
  <c r="AJ3" i="10" a="1"/>
  <c r="AH7" i="10" a="1"/>
  <c r="AJ4" i="10" a="1"/>
  <c r="AK1" i="10" a="1"/>
  <c r="AJ2" i="10" a="1"/>
  <c r="AG33" i="10" a="1"/>
  <c r="AJ2" i="10" l="1"/>
  <c r="AK1" i="10"/>
  <c r="AJ4" i="10"/>
  <c r="AH7" i="10"/>
  <c r="AJ3" i="10"/>
  <c r="AG4" i="10"/>
  <c r="R20" i="10"/>
  <c r="Y75" i="12"/>
  <c r="V75" i="12"/>
  <c r="AF1" i="10"/>
  <c r="Z75" i="12"/>
  <c r="AA75" i="12" s="1"/>
  <c r="W75" i="12"/>
  <c r="T75" i="12"/>
  <c r="R75" i="12"/>
  <c r="AC75" i="12" s="1"/>
  <c r="X75" i="12"/>
  <c r="U75" i="12"/>
  <c r="AG33" i="10"/>
  <c r="AF33" i="10" s="1"/>
  <c r="AN33" i="8"/>
  <c r="AH33" i="8"/>
  <c r="Q83" i="12"/>
  <c r="R83" i="12" s="1"/>
  <c r="AC83" i="12" s="1"/>
  <c r="AH35" i="8"/>
  <c r="AP35" i="8"/>
  <c r="AM36" i="8"/>
  <c r="AD39" i="8"/>
  <c r="AL39" i="8"/>
  <c r="V33" i="8"/>
  <c r="AI40" i="8" s="1"/>
  <c r="AG2" i="10" a="1"/>
  <c r="AF6" i="10" a="1"/>
  <c r="AJ35" i="10" a="1"/>
  <c r="AH39" i="10" a="1"/>
  <c r="AG34" i="10" a="1"/>
  <c r="AK33" i="10" a="1"/>
  <c r="AF39" i="10" a="1"/>
  <c r="AJ34" i="10" a="1"/>
  <c r="AH6" i="10" a="1"/>
  <c r="AH38" i="10" a="1"/>
  <c r="AG36" i="10" a="1"/>
  <c r="AF38" i="10" a="1"/>
  <c r="F39" i="10" a="1"/>
  <c r="AG38" i="10" a="1"/>
  <c r="F38" i="10" a="1"/>
  <c r="AF7" i="10" a="1"/>
  <c r="AG6" i="10" a="1"/>
  <c r="AJ36" i="10" a="1"/>
  <c r="AB41" i="8" a="1"/>
  <c r="R19" i="10" a="1"/>
  <c r="AV17" i="10" a="1"/>
  <c r="U83" i="12" l="1"/>
  <c r="Y83" i="12"/>
  <c r="V83" i="12"/>
  <c r="W83" i="12"/>
  <c r="R19" i="10"/>
  <c r="AB41" i="8"/>
  <c r="AO38" i="8" s="1"/>
  <c r="AJ36" i="10"/>
  <c r="AG6" i="10"/>
  <c r="AF7" i="10"/>
  <c r="F38" i="10"/>
  <c r="AG38" i="10"/>
  <c r="F39" i="10"/>
  <c r="AF38" i="10"/>
  <c r="AG36" i="10"/>
  <c r="AH38" i="10"/>
  <c r="AH6" i="10"/>
  <c r="AJ34" i="10"/>
  <c r="AF39" i="10"/>
  <c r="AK33" i="10"/>
  <c r="AG34" i="10"/>
  <c r="AH39" i="10"/>
  <c r="AJ35" i="10"/>
  <c r="AF6" i="10"/>
  <c r="AG2" i="10"/>
  <c r="T83" i="12"/>
  <c r="S83" i="12"/>
  <c r="Z83" i="12"/>
  <c r="AA83" i="12" s="1"/>
  <c r="X83" i="12"/>
  <c r="AV17" i="10"/>
  <c r="AU17" i="10" s="1"/>
  <c r="AH41" i="8"/>
  <c r="AA34" i="8"/>
  <c r="AN41" i="8" s="1"/>
  <c r="Q91" i="12"/>
  <c r="S91" i="12" s="1"/>
  <c r="AP43" i="8"/>
  <c r="AO46" i="8"/>
  <c r="AD47" i="8"/>
  <c r="AL47" i="8"/>
  <c r="AI48" i="8"/>
  <c r="AY19" i="10" a="1"/>
  <c r="AY20" i="10" a="1"/>
  <c r="AG3" i="10" a="1"/>
  <c r="AV18" i="10" a="1"/>
  <c r="AV22" i="10" a="1"/>
  <c r="AV20" i="10" a="1"/>
  <c r="AY18" i="10" a="1"/>
  <c r="AW22" i="10" a="1"/>
  <c r="AW23" i="10" a="1"/>
  <c r="AZ17" i="10" a="1"/>
  <c r="AU22" i="10" a="1"/>
  <c r="AU23" i="10" a="1"/>
  <c r="BK1" i="10" a="1"/>
  <c r="AU23" i="10" l="1"/>
  <c r="AU22" i="10"/>
  <c r="AZ17" i="10"/>
  <c r="AW23" i="10"/>
  <c r="AW22" i="10"/>
  <c r="AY18" i="10"/>
  <c r="AV20" i="10"/>
  <c r="AV22" i="10"/>
  <c r="AV18" i="10"/>
  <c r="AG3" i="10"/>
  <c r="AY20" i="10"/>
  <c r="AY19" i="10"/>
  <c r="Z91" i="12"/>
  <c r="AA91" i="12" s="1"/>
  <c r="Y91" i="12"/>
  <c r="X91" i="12"/>
  <c r="V91" i="12"/>
  <c r="T91" i="12"/>
  <c r="W91" i="12"/>
  <c r="U91" i="12"/>
  <c r="R91" i="12"/>
  <c r="AC91" i="12" s="1"/>
  <c r="BK1" i="10"/>
  <c r="BN2" i="10" s="1" a="1"/>
  <c r="BN2" i="10" s="1"/>
  <c r="Q99" i="12"/>
  <c r="Y99" i="12" s="1"/>
  <c r="AN49" i="8"/>
  <c r="AK50" i="8"/>
  <c r="AH51" i="8"/>
  <c r="AP51" i="8"/>
  <c r="AD52" i="8"/>
  <c r="AL52" i="8"/>
  <c r="AH53" i="8"/>
  <c r="AP53" i="8"/>
  <c r="AD54" i="8"/>
  <c r="AL54" i="8"/>
  <c r="AH55" i="8"/>
  <c r="AP55" i="8"/>
  <c r="AD56" i="8"/>
  <c r="AL56" i="8"/>
  <c r="AH57" i="8"/>
  <c r="AP57" i="8"/>
  <c r="AD58" i="8"/>
  <c r="AL58" i="8"/>
  <c r="AH59" i="8"/>
  <c r="AP59" i="8"/>
  <c r="AD60" i="8"/>
  <c r="AL60" i="8"/>
  <c r="AH61" i="8"/>
  <c r="AP61" i="8"/>
  <c r="AD62" i="8"/>
  <c r="AL62" i="8"/>
  <c r="AH63" i="8"/>
  <c r="AP63" i="8"/>
  <c r="AD64" i="8"/>
  <c r="AL64" i="8"/>
  <c r="AH65" i="8"/>
  <c r="AP65" i="8"/>
  <c r="AD66" i="8"/>
  <c r="AL66" i="8"/>
  <c r="AH67" i="8"/>
  <c r="AP67" i="8"/>
  <c r="AD68" i="8"/>
  <c r="AL68" i="8"/>
  <c r="AH69" i="8"/>
  <c r="AP69" i="8"/>
  <c r="AD70" i="8"/>
  <c r="AL70" i="8"/>
  <c r="AI71" i="8"/>
  <c r="AK72" i="8"/>
  <c r="AP73" i="8"/>
  <c r="AJ74" i="8"/>
  <c r="AK75" i="8"/>
  <c r="AK76" i="8"/>
  <c r="AL77" i="8"/>
  <c r="AD78" i="8"/>
  <c r="AM78" i="8"/>
  <c r="AE79" i="8"/>
  <c r="AN79" i="8"/>
  <c r="AF80" i="8"/>
  <c r="AG35" i="10" a="1"/>
  <c r="U23" i="10" a="1"/>
  <c r="U22" i="10" a="1"/>
  <c r="CV25" i="10" a="1"/>
  <c r="BN4" i="10" l="1" a="1"/>
  <c r="BN4" i="10" s="1"/>
  <c r="BK4" i="10" a="1"/>
  <c r="BK4" i="10" s="1"/>
  <c r="BL6" i="10" a="1"/>
  <c r="BL6" i="10" s="1"/>
  <c r="Z99" i="12"/>
  <c r="AA99" i="12" s="1"/>
  <c r="U22" i="10"/>
  <c r="U23" i="10"/>
  <c r="AG35" i="10"/>
  <c r="U99" i="12"/>
  <c r="R99" i="12"/>
  <c r="AC99" i="12" s="1"/>
  <c r="X99" i="12"/>
  <c r="BO1" i="10" a="1"/>
  <c r="BO1" i="10" s="1"/>
  <c r="BN3" i="10" a="1"/>
  <c r="BN3" i="10" s="1"/>
  <c r="W99" i="12"/>
  <c r="V99" i="12"/>
  <c r="BL7" i="10" a="1"/>
  <c r="BL7" i="10" s="1"/>
  <c r="BJ7" i="10" a="1"/>
  <c r="BJ7" i="10" s="1"/>
  <c r="BK2" i="10" a="1"/>
  <c r="BK2" i="10" s="1"/>
  <c r="BK3" i="10" s="1" a="1"/>
  <c r="BK3" i="10" s="1"/>
  <c r="T99" i="12"/>
  <c r="BJ1" i="10"/>
  <c r="S99" i="12"/>
  <c r="BK6" i="10" a="1"/>
  <c r="BK6" i="10" s="1"/>
  <c r="BJ6" i="10" a="1"/>
  <c r="BJ6" i="10" s="1"/>
  <c r="CV25" i="10"/>
  <c r="CY28" i="10" s="1" a="1"/>
  <c r="CY28" i="10" s="1"/>
  <c r="AO80" i="8"/>
  <c r="AP81" i="8"/>
  <c r="AH83" i="8"/>
  <c r="AI84" i="8"/>
  <c r="AJ85" i="8"/>
  <c r="AK86" i="8"/>
  <c r="AL87" i="8"/>
  <c r="AJ88" i="8"/>
  <c r="AJ89" i="8"/>
  <c r="AI90" i="8"/>
  <c r="AO92" i="8"/>
  <c r="AL93" i="8"/>
  <c r="AI94" i="8"/>
  <c r="AM97" i="8"/>
  <c r="AK98" i="8"/>
  <c r="AH99" i="8"/>
  <c r="AE100" i="8"/>
  <c r="AO101" i="8"/>
  <c r="AE102" i="8"/>
  <c r="AO103" i="8"/>
  <c r="AK105" i="8"/>
  <c r="AI107" i="8"/>
  <c r="AH112" i="8"/>
  <c r="AO123" i="8"/>
  <c r="AI55" i="8"/>
  <c r="AM56" i="8"/>
  <c r="AI57" i="8"/>
  <c r="AM58" i="8"/>
  <c r="AI59" i="8"/>
  <c r="AM60" i="8"/>
  <c r="AI61" i="8"/>
  <c r="AM62" i="8"/>
  <c r="AI63" i="8"/>
  <c r="AM64" i="8"/>
  <c r="AI65" i="8"/>
  <c r="AM66" i="8"/>
  <c r="AI67" i="8"/>
  <c r="AM68" i="8"/>
  <c r="AI69" i="8"/>
  <c r="AM70" i="8"/>
  <c r="AJ71" i="8"/>
  <c r="AD72" i="8"/>
  <c r="AL72" i="8"/>
  <c r="AH73" i="8"/>
  <c r="AK74" i="8"/>
  <c r="AL75" i="8"/>
  <c r="AM76" i="8"/>
  <c r="AD77" i="8"/>
  <c r="AM77" i="8"/>
  <c r="AE78" i="8"/>
  <c r="AN78" i="8"/>
  <c r="AF79" i="8"/>
  <c r="AJ6" i="10" a="1"/>
  <c r="AJ7" i="10" a="1"/>
  <c r="AV19" i="10" a="1"/>
  <c r="CO25" i="10" a="1"/>
  <c r="CY27" i="10" l="1" a="1"/>
  <c r="CY27" i="10" s="1"/>
  <c r="CU31" i="10" a="1"/>
  <c r="CU31" i="10" s="1"/>
  <c r="CW31" i="10" a="1"/>
  <c r="CW31" i="10" s="1"/>
  <c r="CU30" i="10" a="1"/>
  <c r="CU30" i="10" s="1"/>
  <c r="CU25" i="10"/>
  <c r="CZ25" i="10" a="1"/>
  <c r="CZ25" i="10" s="1"/>
  <c r="CW30" i="10" a="1"/>
  <c r="CW30" i="10" s="1"/>
  <c r="CY30" i="10" a="1"/>
  <c r="CY30" i="10" s="1"/>
  <c r="CV30" i="10" a="1"/>
  <c r="CV30" i="10" s="1"/>
  <c r="CY26" i="10" a="1"/>
  <c r="CY26" i="10" s="1"/>
  <c r="CY31" i="10" a="1"/>
  <c r="CY31" i="10" s="1"/>
  <c r="CV28" i="10" a="1"/>
  <c r="CV28" i="10" s="1"/>
  <c r="CV26" i="10" a="1"/>
  <c r="CV26" i="10" s="1"/>
  <c r="CV27" i="10" s="1" a="1"/>
  <c r="CV27" i="10" s="1"/>
  <c r="AV19" i="10"/>
  <c r="AJ7" i="10"/>
  <c r="AJ6" i="10"/>
  <c r="BN7" i="10" a="1"/>
  <c r="BN7" i="10" s="1"/>
  <c r="BN6" i="10" a="1"/>
  <c r="BN6" i="10" s="1"/>
  <c r="CO25" i="10"/>
  <c r="CS25" i="10" s="1" a="1"/>
  <c r="CS25" i="10" s="1"/>
  <c r="AO79" i="8"/>
  <c r="AP80" i="8"/>
  <c r="AH81" i="8"/>
  <c r="AI82" i="8"/>
  <c r="AI83" i="8"/>
  <c r="AJ84" i="8"/>
  <c r="AK85" i="8"/>
  <c r="AL86" i="8"/>
  <c r="AD87" i="8"/>
  <c r="AM87" i="8"/>
  <c r="AK88" i="8"/>
  <c r="AK89" i="8"/>
  <c r="AK90" i="8"/>
  <c r="AH91" i="8"/>
  <c r="AM93" i="8"/>
  <c r="AK94" i="8"/>
  <c r="AH95" i="8"/>
  <c r="AE96" i="8"/>
  <c r="AO97" i="8"/>
  <c r="AM98" i="8"/>
  <c r="AI99" i="8"/>
  <c r="AD101" i="8"/>
  <c r="AF102" i="8"/>
  <c r="AP103" i="8"/>
  <c r="AL105" i="8"/>
  <c r="AK107" i="8"/>
  <c r="AE126" i="8"/>
  <c r="AF168" i="8"/>
  <c r="AK177" i="8"/>
  <c r="AD13" i="8"/>
  <c r="V35" i="8"/>
  <c r="AI14" i="8" s="1"/>
  <c r="AJ39" i="10" a="1"/>
  <c r="AJ38" i="10" a="1"/>
  <c r="R9" i="10" a="1"/>
  <c r="CN25" i="10" l="1"/>
  <c r="CO26" i="10" a="1"/>
  <c r="CO26" i="10" s="1"/>
  <c r="CO27" i="10" s="1" a="1"/>
  <c r="CO27" i="10" s="1"/>
  <c r="CO28" i="10" a="1"/>
  <c r="CO28" i="10" s="1"/>
  <c r="CR31" i="10" a="1"/>
  <c r="CR31" i="10" s="1"/>
  <c r="CR26" i="10" a="1"/>
  <c r="CR26" i="10" s="1"/>
  <c r="CP31" i="10" a="1"/>
  <c r="CP31" i="10" s="1"/>
  <c r="AJ38" i="10"/>
  <c r="AJ39" i="10"/>
  <c r="CN31" i="10" a="1"/>
  <c r="CN31" i="10" s="1"/>
  <c r="CP30" i="10" a="1"/>
  <c r="CP30" i="10" s="1"/>
  <c r="CO30" i="10" a="1"/>
  <c r="CO30" i="10" s="1"/>
  <c r="CR30" i="10" a="1"/>
  <c r="CR30" i="10" s="1"/>
  <c r="CN30" i="10" a="1"/>
  <c r="CN30" i="10" s="1"/>
  <c r="CR27" i="10" a="1"/>
  <c r="CR27" i="10" s="1"/>
  <c r="CR28" i="10" a="1"/>
  <c r="CR28" i="10" s="1"/>
  <c r="R9" i="10"/>
  <c r="AN15" i="8"/>
  <c r="Q65" i="12"/>
  <c r="S65" i="12" s="1"/>
  <c r="AP17" i="8"/>
  <c r="AD21" i="8"/>
  <c r="AI22" i="8"/>
  <c r="AY23" i="10" a="1"/>
  <c r="AY22" i="10" a="1"/>
  <c r="U11" i="10" a="1"/>
  <c r="Q15" i="10" a="1"/>
  <c r="V9" i="10" a="1"/>
  <c r="U12" i="10" a="1"/>
  <c r="Q14" i="10" a="1"/>
  <c r="R10" i="10" a="1"/>
  <c r="R14" i="10" a="1"/>
  <c r="R12" i="10" a="1"/>
  <c r="R41" i="10" a="1"/>
  <c r="R12" i="10" l="1"/>
  <c r="R14" i="10"/>
  <c r="R10" i="10"/>
  <c r="Q14" i="10"/>
  <c r="U12" i="10"/>
  <c r="V9" i="10"/>
  <c r="Q15" i="10"/>
  <c r="U11" i="10"/>
  <c r="AY22" i="10"/>
  <c r="AY23" i="10"/>
  <c r="R65" i="12"/>
  <c r="AC65" i="12" s="1"/>
  <c r="X65" i="12"/>
  <c r="Y65" i="12"/>
  <c r="W65" i="12"/>
  <c r="T65" i="12"/>
  <c r="Z65" i="12"/>
  <c r="AA65" i="12" s="1"/>
  <c r="V65" i="12"/>
  <c r="U65" i="12"/>
  <c r="Q9" i="10"/>
  <c r="R41" i="10"/>
  <c r="Q41" i="10" s="1"/>
  <c r="AN23" i="8"/>
  <c r="Q73" i="12"/>
  <c r="S73" i="12" s="1"/>
  <c r="AP25" i="8"/>
  <c r="AD29" i="8"/>
  <c r="AI30" i="8"/>
  <c r="S14" i="10" a="1"/>
  <c r="R11" i="10" a="1"/>
  <c r="U42" i="10" a="1"/>
  <c r="R44" i="10" a="1"/>
  <c r="S15" i="10" a="1"/>
  <c r="U43" i="10" a="1"/>
  <c r="U44" i="10" a="1"/>
  <c r="U10" i="10" a="1"/>
  <c r="S46" i="10" a="1"/>
  <c r="R46" i="10" a="1"/>
  <c r="V41" i="10" a="1"/>
  <c r="S47" i="10" a="1"/>
  <c r="AG25" i="10" a="1"/>
  <c r="S47" i="10" l="1"/>
  <c r="V41" i="10"/>
  <c r="R46" i="10"/>
  <c r="S46" i="10"/>
  <c r="U10" i="10"/>
  <c r="U44" i="10"/>
  <c r="U43" i="10"/>
  <c r="S15" i="10"/>
  <c r="R44" i="10"/>
  <c r="U42" i="10"/>
  <c r="R11" i="10"/>
  <c r="S14" i="10"/>
  <c r="Y73" i="12"/>
  <c r="W73" i="12"/>
  <c r="T73" i="12"/>
  <c r="R73" i="12"/>
  <c r="AC73" i="12" s="1"/>
  <c r="Z73" i="12"/>
  <c r="AA73" i="12" s="1"/>
  <c r="U73" i="12"/>
  <c r="V73" i="12"/>
  <c r="X73" i="12"/>
  <c r="AG25" i="10"/>
  <c r="AN31" i="8"/>
  <c r="Q81" i="12"/>
  <c r="R81" i="12" s="1"/>
  <c r="AC81" i="12" s="1"/>
  <c r="AP33" i="8"/>
  <c r="AO36" i="8"/>
  <c r="AD37" i="8"/>
  <c r="AL37" i="8"/>
  <c r="V41" i="8"/>
  <c r="AI38" i="8" s="1"/>
  <c r="R42" i="10" a="1"/>
  <c r="Q46" i="10" a="1"/>
  <c r="Q47" i="10" a="1"/>
  <c r="AH31" i="10" a="1"/>
  <c r="AJ27" i="10" a="1"/>
  <c r="AJ28" i="10" a="1"/>
  <c r="AV9" i="10" a="1"/>
  <c r="AJ28" i="10" l="1"/>
  <c r="AJ27" i="10"/>
  <c r="AH31" i="10"/>
  <c r="Q47" i="10"/>
  <c r="Q46" i="10"/>
  <c r="R42" i="10"/>
  <c r="V81" i="12"/>
  <c r="X81" i="12"/>
  <c r="U81" i="12"/>
  <c r="T81" i="12"/>
  <c r="S81" i="12"/>
  <c r="Z81" i="12"/>
  <c r="AA81" i="12" s="1"/>
  <c r="AF25" i="10"/>
  <c r="Y81" i="12"/>
  <c r="W81" i="12"/>
  <c r="AV9" i="10"/>
  <c r="AU14" i="10" s="1" a="1"/>
  <c r="AU14" i="10" s="1"/>
  <c r="AA42" i="8"/>
  <c r="AN39" i="8" s="1"/>
  <c r="Q89" i="12"/>
  <c r="S89" i="12" s="1"/>
  <c r="AP41" i="8"/>
  <c r="AD45" i="8"/>
  <c r="AI46" i="8"/>
  <c r="BF34" i="10" a="1"/>
  <c r="AG26" i="10" a="1"/>
  <c r="AH30" i="10" a="1"/>
  <c r="AB44" i="8" a="1"/>
  <c r="AF31" i="10" a="1"/>
  <c r="U15" i="10" a="1"/>
  <c r="U14" i="10" a="1"/>
  <c r="AJ26" i="10" a="1"/>
  <c r="AU15" i="10" a="1"/>
  <c r="AG28" i="10" a="1"/>
  <c r="AF30" i="10" a="1"/>
  <c r="AZ9" i="10" a="1"/>
  <c r="AY12" i="10" a="1"/>
  <c r="R43" i="10" a="1"/>
  <c r="AK25" i="10" a="1"/>
  <c r="AV10" i="10" a="1"/>
  <c r="AG30" i="10" a="1"/>
  <c r="AV41" i="10" a="1"/>
  <c r="BF34" i="10" l="1"/>
  <c r="AV14" i="10" a="1"/>
  <c r="AV14" i="10" s="1"/>
  <c r="AG30" i="10"/>
  <c r="AV10" i="10"/>
  <c r="AV11" i="10" s="1" a="1"/>
  <c r="AV11" i="10" s="1"/>
  <c r="AK25" i="10"/>
  <c r="R43" i="10"/>
  <c r="AY12" i="10"/>
  <c r="AZ9" i="10"/>
  <c r="AF30" i="10"/>
  <c r="AG28" i="10"/>
  <c r="AU15" i="10"/>
  <c r="AJ26" i="10"/>
  <c r="U14" i="10"/>
  <c r="U15" i="10"/>
  <c r="AF31" i="10"/>
  <c r="AB44" i="8"/>
  <c r="AH30" i="10"/>
  <c r="AG26" i="10"/>
  <c r="X89" i="12"/>
  <c r="W89" i="12"/>
  <c r="V89" i="12"/>
  <c r="Z89" i="12"/>
  <c r="AA89" i="12" s="1"/>
  <c r="U89" i="12"/>
  <c r="Y89" i="12"/>
  <c r="R89" i="12"/>
  <c r="AC89" i="12" s="1"/>
  <c r="AY11" i="10" a="1"/>
  <c r="AY11" i="10" s="1"/>
  <c r="T89" i="12"/>
  <c r="AW14" i="10" a="1"/>
  <c r="AW14" i="10" s="1"/>
  <c r="AU9" i="10"/>
  <c r="AY10" i="10" a="1"/>
  <c r="AY10" i="10" s="1"/>
  <c r="AV41" i="10"/>
  <c r="AU41" i="10" s="1"/>
  <c r="AN47" i="8"/>
  <c r="Q97" i="12"/>
  <c r="X97" i="12" s="1"/>
  <c r="AH49" i="8"/>
  <c r="AP49" i="8"/>
  <c r="AM50" i="8"/>
  <c r="AJ51" i="8"/>
  <c r="AV44" i="10" a="1"/>
  <c r="AZ41" i="10" a="1"/>
  <c r="AY44" i="10" a="1"/>
  <c r="AV12" i="10" a="1"/>
  <c r="AU46" i="10" a="1"/>
  <c r="AU47" i="10" a="1"/>
  <c r="AV46" i="10" a="1"/>
  <c r="AW15" i="10" a="1"/>
  <c r="AW46" i="10" a="1"/>
  <c r="AG27" i="10" a="1"/>
  <c r="AV42" i="10" a="1"/>
  <c r="AY43" i="10" a="1"/>
  <c r="AW47" i="10" a="1"/>
  <c r="AY42" i="10" a="1"/>
  <c r="BR9" i="10" a="1"/>
  <c r="AO44" i="8" l="1"/>
  <c r="U44" i="8"/>
  <c r="AY15" i="10" a="1"/>
  <c r="AY15" i="10" s="1"/>
  <c r="AY14" i="10" a="1"/>
  <c r="AY14" i="10" s="1"/>
  <c r="AY42" i="10"/>
  <c r="AW47" i="10"/>
  <c r="AY43" i="10"/>
  <c r="AV42" i="10"/>
  <c r="AG27" i="10"/>
  <c r="AW46" i="10"/>
  <c r="AW15" i="10"/>
  <c r="AV46" i="10"/>
  <c r="AU47" i="10"/>
  <c r="AU46" i="10"/>
  <c r="AV12" i="10"/>
  <c r="AY44" i="10"/>
  <c r="AZ41" i="10"/>
  <c r="AV44" i="10"/>
  <c r="V97" i="12"/>
  <c r="W97" i="12"/>
  <c r="U97" i="12"/>
  <c r="T97" i="12"/>
  <c r="R97" i="12"/>
  <c r="AC97" i="12" s="1"/>
  <c r="Z97" i="12"/>
  <c r="AA97" i="12" s="1"/>
  <c r="Y97" i="12"/>
  <c r="S97" i="12"/>
  <c r="BR9" i="10"/>
  <c r="BS15" i="10" s="1" a="1"/>
  <c r="BS15" i="10" s="1"/>
  <c r="AN52" i="8"/>
  <c r="AJ53" i="8"/>
  <c r="U46" i="10" a="1"/>
  <c r="U47" i="10" a="1"/>
  <c r="AV43" i="10" a="1"/>
  <c r="BR17" i="10" a="1"/>
  <c r="AH44" i="8" l="1"/>
  <c r="V44" i="8"/>
  <c r="AI44" i="8" s="1"/>
  <c r="BS14" i="10" a="1"/>
  <c r="BS14" i="10" s="1"/>
  <c r="BQ9" i="10"/>
  <c r="BQ14" i="10" a="1"/>
  <c r="BQ14" i="10" s="1"/>
  <c r="BR10" i="10" a="1"/>
  <c r="BR10" i="10" s="1"/>
  <c r="BR11" i="10" s="1" a="1"/>
  <c r="BR11" i="10" s="1"/>
  <c r="BU15" i="10" s="1" a="1"/>
  <c r="BU15" i="10" s="1"/>
  <c r="BR14" i="10" a="1"/>
  <c r="BR14" i="10" s="1"/>
  <c r="BQ15" i="10" a="1"/>
  <c r="BQ15" i="10" s="1"/>
  <c r="BU12" i="10" a="1"/>
  <c r="BU12" i="10" s="1"/>
  <c r="BR12" i="10" a="1"/>
  <c r="BR12" i="10" s="1"/>
  <c r="BU11" i="10" a="1"/>
  <c r="BU11" i="10" s="1"/>
  <c r="BV9" i="10" a="1"/>
  <c r="BV9" i="10" s="1"/>
  <c r="BU10" i="10" a="1"/>
  <c r="BU10" i="10" s="1"/>
  <c r="AV43" i="10"/>
  <c r="U47" i="10"/>
  <c r="U46" i="10"/>
  <c r="BR17" i="10"/>
  <c r="BQ22" i="10" s="1" a="1"/>
  <c r="BQ22" i="10" s="1"/>
  <c r="AN54" i="8"/>
  <c r="AJ55" i="8"/>
  <c r="BF26" i="10" a="1"/>
  <c r="AJ31" i="10" a="1"/>
  <c r="AJ30" i="10" a="1"/>
  <c r="BR25" i="10" a="1"/>
  <c r="BF26" i="10" l="1"/>
  <c r="BU14" i="10" a="1"/>
  <c r="BU14" i="10" s="1"/>
  <c r="AJ30" i="10"/>
  <c r="AJ31" i="10"/>
  <c r="BS22" i="10" a="1"/>
  <c r="BS22" i="10" s="1"/>
  <c r="BU20" i="10" a="1"/>
  <c r="BU20" i="10" s="1"/>
  <c r="BR22" i="10" a="1"/>
  <c r="BR22" i="10" s="1"/>
  <c r="BR20" i="10" a="1"/>
  <c r="BR20" i="10" s="1"/>
  <c r="BV17" i="10" a="1"/>
  <c r="BV17" i="10" s="1"/>
  <c r="BU19" i="10" a="1"/>
  <c r="BU19" i="10" s="1"/>
  <c r="BS23" i="10" a="1"/>
  <c r="BS23" i="10" s="1"/>
  <c r="BQ23" i="10" a="1"/>
  <c r="BQ23" i="10" s="1"/>
  <c r="BU18" i="10" a="1"/>
  <c r="BU18" i="10" s="1"/>
  <c r="BQ17" i="10"/>
  <c r="BR18" i="10" a="1"/>
  <c r="BR18" i="10" s="1"/>
  <c r="BR19" i="10" s="1" a="1"/>
  <c r="BR19" i="10" s="1"/>
  <c r="BR25" i="10"/>
  <c r="BR30" i="10" s="1" a="1"/>
  <c r="BR30" i="10" s="1"/>
  <c r="AN56" i="8"/>
  <c r="AJ57" i="8"/>
  <c r="AY47" i="10" a="1"/>
  <c r="AY46" i="10" a="1"/>
  <c r="BR33" i="10" a="1"/>
  <c r="BR28" i="10" l="1" a="1"/>
  <c r="BR28" i="10" s="1"/>
  <c r="BQ31" i="10" a="1"/>
  <c r="BQ31" i="10" s="1"/>
  <c r="BU27" i="10" a="1"/>
  <c r="BU27" i="10" s="1"/>
  <c r="BS30" i="10" a="1"/>
  <c r="BS30" i="10" s="1"/>
  <c r="BS31" i="10" a="1"/>
  <c r="BS31" i="10" s="1"/>
  <c r="BU28" i="10" a="1"/>
  <c r="BU28" i="10" s="1"/>
  <c r="BQ30" i="10" a="1"/>
  <c r="BQ30" i="10" s="1"/>
  <c r="BR26" i="10" a="1"/>
  <c r="BR26" i="10" s="1"/>
  <c r="BR27" i="10" s="1" a="1"/>
  <c r="BR27" i="10" s="1"/>
  <c r="BU30" i="10" s="1" a="1"/>
  <c r="BU30" i="10" s="1"/>
  <c r="BV25" i="10" a="1"/>
  <c r="BV25" i="10" s="1"/>
  <c r="BQ25" i="10"/>
  <c r="BU26" i="10" a="1"/>
  <c r="BU26" i="10" s="1"/>
  <c r="AY46" i="10"/>
  <c r="AY47" i="10"/>
  <c r="BU22" i="10" a="1"/>
  <c r="BU22" i="10" s="1"/>
  <c r="BU23" i="10" a="1"/>
  <c r="BU23" i="10" s="1"/>
  <c r="BR33" i="10"/>
  <c r="AN58" i="8"/>
  <c r="AJ59" i="8"/>
  <c r="BR41" i="10" a="1"/>
  <c r="BU31" i="10" l="1" a="1"/>
  <c r="BU31" i="10" s="1"/>
  <c r="BR36" i="10" a="1"/>
  <c r="BR36" i="10" s="1"/>
  <c r="BS38" i="10" a="1"/>
  <c r="BS38" i="10" s="1"/>
  <c r="BR34" i="10" a="1"/>
  <c r="BR34" i="10" s="1"/>
  <c r="BR35" i="10" s="1" a="1"/>
  <c r="BR35" i="10" s="1"/>
  <c r="BU36" i="10" a="1"/>
  <c r="BU36" i="10" s="1"/>
  <c r="BQ33" i="10"/>
  <c r="BS39" i="10" a="1"/>
  <c r="BS39" i="10" s="1"/>
  <c r="BQ39" i="10" a="1"/>
  <c r="BQ39" i="10" s="1"/>
  <c r="BU35" i="10" a="1"/>
  <c r="BU35" i="10" s="1"/>
  <c r="BV33" i="10" a="1"/>
  <c r="BV33" i="10" s="1"/>
  <c r="BR38" i="10" a="1"/>
  <c r="BR38" i="10" s="1"/>
  <c r="BQ38" i="10" a="1"/>
  <c r="BQ38" i="10" s="1"/>
  <c r="BU34" i="10" a="1"/>
  <c r="BU34" i="10" s="1"/>
  <c r="BR41" i="10"/>
  <c r="BR46" i="10" s="1" a="1"/>
  <c r="BR46" i="10" s="1"/>
  <c r="AN60" i="8"/>
  <c r="AJ61" i="8"/>
  <c r="CG1" i="10" a="1"/>
  <c r="BR42" i="10" l="1" a="1"/>
  <c r="BR42" i="10" s="1"/>
  <c r="BR43" i="10" s="1" a="1"/>
  <c r="BR43" i="10" s="1"/>
  <c r="BU47" i="10" s="1" a="1"/>
  <c r="BU47" i="10" s="1"/>
  <c r="BS47" i="10" a="1"/>
  <c r="BS47" i="10" s="1"/>
  <c r="BU38" i="10" a="1"/>
  <c r="BU38" i="10" s="1"/>
  <c r="BU39" i="10" a="1"/>
  <c r="BU39" i="10" s="1"/>
  <c r="BU44" i="10" a="1"/>
  <c r="BU44" i="10" s="1"/>
  <c r="BQ46" i="10" a="1"/>
  <c r="BQ46" i="10" s="1"/>
  <c r="BV41" i="10" a="1"/>
  <c r="BV41" i="10" s="1"/>
  <c r="BS46" i="10" a="1"/>
  <c r="BS46" i="10" s="1"/>
  <c r="BR44" i="10" a="1"/>
  <c r="BR44" i="10" s="1"/>
  <c r="BU43" i="10" a="1"/>
  <c r="BU43" i="10" s="1"/>
  <c r="BU42" i="10" a="1"/>
  <c r="BU42" i="10" s="1"/>
  <c r="BQ41" i="10"/>
  <c r="BQ47" i="10" a="1"/>
  <c r="BQ47" i="10" s="1"/>
  <c r="CG1" i="10"/>
  <c r="CG6" i="10" s="1" a="1"/>
  <c r="CG6" i="10" s="1"/>
  <c r="AN62" i="8"/>
  <c r="AJ63" i="8"/>
  <c r="CG9" i="10" a="1"/>
  <c r="BU46" i="10" l="1" a="1"/>
  <c r="BU46" i="10" s="1"/>
  <c r="CF1" i="10"/>
  <c r="CF6" i="10" a="1"/>
  <c r="CF6" i="10" s="1"/>
  <c r="CJ3" i="10" a="1"/>
  <c r="CJ3" i="10" s="1"/>
  <c r="CJ2" i="10" a="1"/>
  <c r="CJ2" i="10" s="1"/>
  <c r="CG4" i="10" a="1"/>
  <c r="CG4" i="10" s="1"/>
  <c r="CK1" i="10" a="1"/>
  <c r="CK1" i="10" s="1"/>
  <c r="CF7" i="10" a="1"/>
  <c r="CF7" i="10" s="1"/>
  <c r="CJ6" i="10" a="1"/>
  <c r="CJ6" i="10" s="1"/>
  <c r="CH7" i="10" a="1"/>
  <c r="CH7" i="10" s="1"/>
  <c r="CG2" i="10" a="1"/>
  <c r="CG2" i="10" s="1"/>
  <c r="CG3" i="10" s="1" a="1"/>
  <c r="CG3" i="10" s="1"/>
  <c r="CJ7" i="10" a="1"/>
  <c r="CJ7" i="10" s="1"/>
  <c r="CJ4" i="10" a="1"/>
  <c r="CJ4" i="10" s="1"/>
  <c r="CH6" i="10" a="1"/>
  <c r="CH6" i="10" s="1"/>
  <c r="CG9" i="10"/>
  <c r="CG10" i="10" s="1" a="1"/>
  <c r="CG10" i="10" s="1"/>
  <c r="CG11" i="10" s="1" a="1"/>
  <c r="CG11" i="10" s="1"/>
  <c r="AN64" i="8"/>
  <c r="AJ65" i="8"/>
  <c r="CG17" i="10" a="1"/>
  <c r="CF9" i="10" l="1"/>
  <c r="CF14" i="10" a="1"/>
  <c r="CF14" i="10" s="1"/>
  <c r="CG14" i="10" a="1"/>
  <c r="CG14" i="10" s="1"/>
  <c r="CF15" i="10" a="1"/>
  <c r="CF15" i="10" s="1"/>
  <c r="CJ14" i="10" a="1"/>
  <c r="CJ14" i="10" s="1"/>
  <c r="CJ15" i="10" a="1"/>
  <c r="CJ15" i="10" s="1"/>
  <c r="CJ10" i="10" a="1"/>
  <c r="CJ10" i="10" s="1"/>
  <c r="CK9" i="10" a="1"/>
  <c r="CK9" i="10" s="1"/>
  <c r="CH15" i="10" a="1"/>
  <c r="CH15" i="10" s="1"/>
  <c r="CJ12" i="10" a="1"/>
  <c r="CJ12" i="10" s="1"/>
  <c r="CH14" i="10" a="1"/>
  <c r="CH14" i="10" s="1"/>
  <c r="CG12" i="10" a="1"/>
  <c r="CG12" i="10" s="1"/>
  <c r="CJ11" i="10" a="1"/>
  <c r="CJ11" i="10" s="1"/>
  <c r="CG17" i="10"/>
  <c r="CH23" i="10" s="1" a="1"/>
  <c r="CH23" i="10" s="1"/>
  <c r="AN66" i="8"/>
  <c r="AJ67" i="8"/>
  <c r="CG25" i="10" a="1"/>
  <c r="CF22" i="10" l="1" a="1"/>
  <c r="CF22" i="10" s="1"/>
  <c r="CF23" i="10" a="1"/>
  <c r="CF23" i="10" s="1"/>
  <c r="CK17" i="10" a="1"/>
  <c r="CK17" i="10" s="1"/>
  <c r="CJ22" i="10" a="1"/>
  <c r="CJ22" i="10" s="1"/>
  <c r="CJ23" i="10" a="1"/>
  <c r="CJ23" i="10" s="1"/>
  <c r="CG22" i="10" a="1"/>
  <c r="CG22" i="10" s="1"/>
  <c r="CF17" i="10"/>
  <c r="CH22" i="10" a="1"/>
  <c r="CH22" i="10" s="1"/>
  <c r="CJ20" i="10" a="1"/>
  <c r="CJ20" i="10" s="1"/>
  <c r="CG20" i="10" a="1"/>
  <c r="CG20" i="10" s="1"/>
  <c r="CJ19" i="10" a="1"/>
  <c r="CJ19" i="10" s="1"/>
  <c r="CG18" i="10" a="1"/>
  <c r="CG18" i="10" s="1"/>
  <c r="CG19" i="10" s="1" a="1"/>
  <c r="CG19" i="10" s="1"/>
  <c r="CJ18" i="10" a="1"/>
  <c r="CJ18" i="10" s="1"/>
  <c r="CG25" i="10"/>
  <c r="CG26" i="10" s="1" a="1"/>
  <c r="CG26" i="10" s="1"/>
  <c r="CG27" i="10" s="1" a="1"/>
  <c r="CG27" i="10" s="1"/>
  <c r="AN68" i="8"/>
  <c r="AJ69" i="8"/>
  <c r="CG33" i="10" a="1"/>
  <c r="CJ30" i="10" l="1" a="1"/>
  <c r="CJ30" i="10" s="1"/>
  <c r="CG28" i="10" a="1"/>
  <c r="CG28" i="10" s="1"/>
  <c r="CJ26" i="10" a="1"/>
  <c r="CJ26" i="10" s="1"/>
  <c r="CJ31" i="10" a="1"/>
  <c r="CJ31" i="10" s="1"/>
  <c r="CK25" i="10" a="1"/>
  <c r="CK25" i="10" s="1"/>
  <c r="CH30" i="10" a="1"/>
  <c r="CH30" i="10" s="1"/>
  <c r="CJ27" i="10" a="1"/>
  <c r="CJ27" i="10" s="1"/>
  <c r="CF31" i="10" a="1"/>
  <c r="CF31" i="10" s="1"/>
  <c r="CJ28" i="10" a="1"/>
  <c r="CJ28" i="10" s="1"/>
  <c r="CF30" i="10" a="1"/>
  <c r="CF30" i="10" s="1"/>
  <c r="CH31" i="10" a="1"/>
  <c r="CH31" i="10" s="1"/>
  <c r="CF25" i="10"/>
  <c r="CG30" i="10" a="1"/>
  <c r="CG30" i="10" s="1"/>
  <c r="CG33" i="10"/>
  <c r="CJ38" i="10" s="1" a="1"/>
  <c r="CJ38" i="10" s="1"/>
  <c r="AN70" i="8"/>
  <c r="AK71" i="8"/>
  <c r="AE72" i="8"/>
  <c r="AM72" i="8"/>
  <c r="AI73" i="8"/>
  <c r="AL74" i="8"/>
  <c r="AD75" i="8"/>
  <c r="AM75" i="8"/>
  <c r="AE76" i="8"/>
  <c r="AN76" i="8"/>
  <c r="AE77" i="8"/>
  <c r="AO77" i="8"/>
  <c r="AF78" i="8"/>
  <c r="CV17" i="10" a="1"/>
  <c r="CK33" i="10" l="1" a="1"/>
  <c r="CK33" i="10" s="1"/>
  <c r="CJ36" i="10" a="1"/>
  <c r="CJ36" i="10" s="1"/>
  <c r="CJ34" i="10" a="1"/>
  <c r="CJ34" i="10" s="1"/>
  <c r="CF33" i="10"/>
  <c r="CF39" i="10" a="1"/>
  <c r="CF39" i="10" s="1"/>
  <c r="CH39" i="10" a="1"/>
  <c r="CH39" i="10" s="1"/>
  <c r="CH38" i="10" a="1"/>
  <c r="CH38" i="10" s="1"/>
  <c r="CG38" i="10" a="1"/>
  <c r="CG38" i="10" s="1"/>
  <c r="CG34" i="10" a="1"/>
  <c r="CG34" i="10" s="1"/>
  <c r="CG35" i="10" s="1" a="1"/>
  <c r="CG35" i="10" s="1"/>
  <c r="CF38" i="10" a="1"/>
  <c r="CF38" i="10" s="1"/>
  <c r="CG36" i="10" a="1"/>
  <c r="CG36" i="10" s="1"/>
  <c r="CJ35" i="10" a="1"/>
  <c r="CJ35" i="10" s="1"/>
  <c r="CJ39" i="10" a="1"/>
  <c r="CJ39" i="10" s="1"/>
  <c r="CV17" i="10"/>
  <c r="CU22" i="10" s="1" a="1"/>
  <c r="CU22" i="10" s="1"/>
  <c r="AO78" i="8"/>
  <c r="AP79" i="8"/>
  <c r="AH80" i="8"/>
  <c r="AI81" i="8"/>
  <c r="AJ82" i="8"/>
  <c r="AK83" i="8"/>
  <c r="AK84" i="8"/>
  <c r="AL85" i="8"/>
  <c r="AD86" i="8"/>
  <c r="AM86" i="8"/>
  <c r="AE87" i="8"/>
  <c r="AN87" i="8"/>
  <c r="AM88" i="8"/>
  <c r="AL89" i="8"/>
  <c r="AM90" i="8"/>
  <c r="AI91" i="8"/>
  <c r="AE92" i="8"/>
  <c r="AO93" i="8"/>
  <c r="AM94" i="8"/>
  <c r="AI95" i="8"/>
  <c r="AD97" i="8"/>
  <c r="AN98" i="8"/>
  <c r="AK99" i="8"/>
  <c r="AI100" i="8"/>
  <c r="AE101" i="8"/>
  <c r="AM105" i="8"/>
  <c r="AM107" i="8"/>
  <c r="AO114" i="8"/>
  <c r="AI116" i="8"/>
  <c r="AD118" i="8"/>
  <c r="AO47" i="8"/>
  <c r="AD48" i="8"/>
  <c r="AI49" i="8"/>
  <c r="BR1" i="10" a="1"/>
  <c r="CW23" i="10" l="1" a="1"/>
  <c r="CW23" i="10" s="1"/>
  <c r="CY23" i="10" a="1"/>
  <c r="CY23" i="10" s="1"/>
  <c r="CW22" i="10" a="1"/>
  <c r="CW22" i="10" s="1"/>
  <c r="CY22" i="10" a="1"/>
  <c r="CY22" i="10" s="1"/>
  <c r="CV20" i="10" a="1"/>
  <c r="CV20" i="10" s="1"/>
  <c r="CV18" i="10" a="1"/>
  <c r="CV18" i="10" s="1"/>
  <c r="CV19" i="10" s="1" a="1"/>
  <c r="CV19" i="10" s="1"/>
  <c r="CY19" i="10" a="1"/>
  <c r="CY19" i="10" s="1"/>
  <c r="CU23" i="10" a="1"/>
  <c r="CU23" i="10" s="1"/>
  <c r="CV22" i="10" a="1"/>
  <c r="CV22" i="10" s="1"/>
  <c r="CY18" i="10" a="1"/>
  <c r="CY18" i="10" s="1"/>
  <c r="CZ17" i="10" a="1"/>
  <c r="CZ17" i="10" s="1"/>
  <c r="CY20" i="10" a="1"/>
  <c r="CY20" i="10" s="1"/>
  <c r="CU17" i="10"/>
  <c r="BR1" i="10"/>
  <c r="BR6" i="10" s="1" a="1"/>
  <c r="BR6" i="10" s="1"/>
  <c r="Q100" i="12"/>
  <c r="V100" i="12" s="1"/>
  <c r="AN50" i="8"/>
  <c r="AK51" i="8"/>
  <c r="AO52" i="8"/>
  <c r="AK53" i="8"/>
  <c r="AO54" i="8"/>
  <c r="AK55" i="8"/>
  <c r="AO56" i="8"/>
  <c r="AK57" i="8"/>
  <c r="AO58" i="8"/>
  <c r="AK59" i="8"/>
  <c r="AO60" i="8"/>
  <c r="AK61" i="8"/>
  <c r="AO62" i="8"/>
  <c r="AK63" i="8"/>
  <c r="AO64" i="8"/>
  <c r="AK65" i="8"/>
  <c r="AO66" i="8"/>
  <c r="AK67" i="8"/>
  <c r="AO68" i="8"/>
  <c r="AK69" i="8"/>
  <c r="AO70" i="8"/>
  <c r="AD71" i="8"/>
  <c r="AL71" i="8"/>
  <c r="AF72" i="8"/>
  <c r="CG41" i="10" a="1"/>
  <c r="BV1" i="10" l="1" a="1"/>
  <c r="BV1" i="10" s="1"/>
  <c r="BQ6" i="10" a="1"/>
  <c r="BQ6" i="10" s="1"/>
  <c r="BQ1" i="10"/>
  <c r="BU3" i="10" a="1"/>
  <c r="BU3" i="10" s="1"/>
  <c r="BU2" i="10" a="1"/>
  <c r="BU2" i="10" s="1"/>
  <c r="BU4" i="10" a="1"/>
  <c r="BU4" i="10" s="1"/>
  <c r="BS7" i="10" a="1"/>
  <c r="BS7" i="10" s="1"/>
  <c r="BS6" i="10" a="1"/>
  <c r="BS6" i="10" s="1"/>
  <c r="BR4" i="10" a="1"/>
  <c r="BR4" i="10" s="1"/>
  <c r="BR2" i="10" a="1"/>
  <c r="BR2" i="10" s="1"/>
  <c r="BR3" i="10" s="1" a="1"/>
  <c r="BR3" i="10" s="1"/>
  <c r="BU6" i="10" s="1" a="1"/>
  <c r="BU6" i="10" s="1"/>
  <c r="BQ7" i="10" a="1"/>
  <c r="BQ7" i="10" s="1"/>
  <c r="U100" i="12"/>
  <c r="X100" i="12"/>
  <c r="T100" i="12"/>
  <c r="R100" i="12"/>
  <c r="AC100" i="12" s="1"/>
  <c r="Z100" i="12"/>
  <c r="AA100" i="12" s="1"/>
  <c r="S100" i="12"/>
  <c r="Y100" i="12"/>
  <c r="W100" i="12"/>
  <c r="CG41" i="10"/>
  <c r="CJ43" i="10" s="1" a="1"/>
  <c r="CJ43" i="10" s="1"/>
  <c r="AN72" i="8"/>
  <c r="AJ73" i="8"/>
  <c r="AD74" i="8"/>
  <c r="AM74" i="8"/>
  <c r="AE75" i="8"/>
  <c r="AN75" i="8"/>
  <c r="AF76" i="8"/>
  <c r="CV9" i="10" a="1"/>
  <c r="CG42" i="10" l="1" a="1"/>
  <c r="CG42" i="10" s="1"/>
  <c r="CG43" i="10" s="1" a="1"/>
  <c r="CG43" i="10" s="1"/>
  <c r="CJ44" i="10" a="1"/>
  <c r="CJ44" i="10" s="1"/>
  <c r="CJ46" i="10" a="1"/>
  <c r="CJ46" i="10" s="1"/>
  <c r="CH46" i="10" a="1"/>
  <c r="CH46" i="10" s="1"/>
  <c r="CF46" i="10" a="1"/>
  <c r="CF46" i="10" s="1"/>
  <c r="CF47" i="10" a="1"/>
  <c r="CF47" i="10" s="1"/>
  <c r="CJ47" i="10" a="1"/>
  <c r="CJ47" i="10" s="1"/>
  <c r="BU7" i="10" a="1"/>
  <c r="BU7" i="10" s="1"/>
  <c r="CF41" i="10"/>
  <c r="CG44" i="10" a="1"/>
  <c r="CG44" i="10" s="1"/>
  <c r="CG46" i="10" a="1"/>
  <c r="CG46" i="10" s="1"/>
  <c r="CJ42" i="10" a="1"/>
  <c r="CJ42" i="10" s="1"/>
  <c r="CH47" i="10" a="1"/>
  <c r="CH47" i="10" s="1"/>
  <c r="CK41" i="10" a="1"/>
  <c r="CK41" i="10" s="1"/>
  <c r="CV9" i="10"/>
  <c r="CY11" i="10" s="1" a="1"/>
  <c r="CY11" i="10" s="1"/>
  <c r="AO76" i="8"/>
  <c r="AP77" i="8"/>
  <c r="AH79" i="8"/>
  <c r="AI80" i="8"/>
  <c r="AJ81" i="8"/>
  <c r="AK82" i="8"/>
  <c r="AL83" i="8"/>
  <c r="AM84" i="8"/>
  <c r="AD85" i="8"/>
  <c r="AM85" i="8"/>
  <c r="AE86" i="8"/>
  <c r="AN86" i="8"/>
  <c r="AF87" i="8"/>
  <c r="AO87" i="8"/>
  <c r="AO88" i="8"/>
  <c r="AM89" i="8"/>
  <c r="AN90" i="8"/>
  <c r="AK91" i="8"/>
  <c r="AD93" i="8"/>
  <c r="AN94" i="8"/>
  <c r="AK95" i="8"/>
  <c r="AI96" i="8"/>
  <c r="AE97" i="8"/>
  <c r="AO98" i="8"/>
  <c r="AM99" i="8"/>
  <c r="AJ100" i="8"/>
  <c r="AK102" i="8"/>
  <c r="AE103" i="8"/>
  <c r="AI104" i="8"/>
  <c r="AK120" i="8"/>
  <c r="AE122" i="8"/>
  <c r="AE113" i="8"/>
  <c r="AM114" i="8"/>
  <c r="AK115" i="8"/>
  <c r="AH116" i="8"/>
  <c r="AE117" i="8"/>
  <c r="AO118" i="8"/>
  <c r="AM119" i="8"/>
  <c r="AI120" i="8"/>
  <c r="AD122" i="8"/>
  <c r="AN123" i="8"/>
  <c r="AK124" i="8"/>
  <c r="AM125" i="8"/>
  <c r="AK127" i="8"/>
  <c r="AN128" i="8"/>
  <c r="AO130" i="8"/>
  <c r="AK138" i="8"/>
  <c r="AD140" i="8"/>
  <c r="AP141" i="8"/>
  <c r="AI143" i="8"/>
  <c r="AO165" i="8"/>
  <c r="AN167" i="8"/>
  <c r="AK170" i="8"/>
  <c r="AM184" i="8"/>
  <c r="AK194" i="8"/>
  <c r="AI112" i="8"/>
  <c r="AI113" i="8"/>
  <c r="AD114" i="8"/>
  <c r="AN115" i="8"/>
  <c r="AK116" i="8"/>
  <c r="AI117" i="8"/>
  <c r="AE118" i="8"/>
  <c r="AO119" i="8"/>
  <c r="AM120" i="8"/>
  <c r="AJ121" i="8"/>
  <c r="AE123" i="8"/>
  <c r="AO124" i="8"/>
  <c r="AE129" i="8"/>
  <c r="AI133" i="8"/>
  <c r="AN142" i="8"/>
  <c r="AN146" i="8"/>
  <c r="AI147" i="8"/>
  <c r="AF151" i="8"/>
  <c r="AF176" i="8"/>
  <c r="AD189" i="8"/>
  <c r="AD196" i="8"/>
  <c r="AD73" i="8"/>
  <c r="AL73" i="8"/>
  <c r="AH74" i="8"/>
  <c r="AP74" i="8"/>
  <c r="AJ75" i="8"/>
  <c r="AD76" i="8"/>
  <c r="AL76" i="8"/>
  <c r="AF77" i="8"/>
  <c r="CO17" i="10" a="1"/>
  <c r="CY10" i="10" l="1" a="1"/>
  <c r="CY10" i="10" s="1"/>
  <c r="CW15" i="10" a="1"/>
  <c r="CW15" i="10" s="1"/>
  <c r="CY12" i="10" a="1"/>
  <c r="CY12" i="10" s="1"/>
  <c r="CY14" i="10" a="1"/>
  <c r="CY14" i="10" s="1"/>
  <c r="CZ9" i="10" a="1"/>
  <c r="CZ9" i="10" s="1"/>
  <c r="CU15" i="10" a="1"/>
  <c r="CU15" i="10" s="1"/>
  <c r="CY15" i="10" a="1"/>
  <c r="CY15" i="10" s="1"/>
  <c r="CU9" i="10"/>
  <c r="CV10" i="10" a="1"/>
  <c r="CV10" i="10" s="1"/>
  <c r="CV11" i="10" s="1" a="1"/>
  <c r="CV11" i="10" s="1"/>
  <c r="CW14" i="10" a="1"/>
  <c r="CW14" i="10" s="1"/>
  <c r="CV12" i="10" a="1"/>
  <c r="CV12" i="10" s="1"/>
  <c r="CU14" i="10" a="1"/>
  <c r="CU14" i="10" s="1"/>
  <c r="CV14" i="10" a="1"/>
  <c r="CV14" i="10" s="1"/>
  <c r="CO17" i="10"/>
  <c r="CN17" i="10" s="1"/>
  <c r="AN77" i="8"/>
  <c r="AH78" i="8"/>
  <c r="AP78" i="8"/>
  <c r="AJ79" i="8"/>
  <c r="AD80" i="8"/>
  <c r="AL80" i="8"/>
  <c r="AF81" i="8"/>
  <c r="CO33" i="10" a="1"/>
  <c r="CS17" i="10" l="1" a="1"/>
  <c r="CS17" i="10" s="1"/>
  <c r="CO22" i="10" a="1"/>
  <c r="CO22" i="10" s="1"/>
  <c r="CR23" i="10" a="1"/>
  <c r="CR23" i="10" s="1"/>
  <c r="CR19" i="10" a="1"/>
  <c r="CR19" i="10" s="1"/>
  <c r="CP23" i="10" a="1"/>
  <c r="CP23" i="10" s="1"/>
  <c r="CR18" i="10" a="1"/>
  <c r="CR18" i="10" s="1"/>
  <c r="CN23" i="10" a="1"/>
  <c r="CN23" i="10" s="1"/>
  <c r="CN22" i="10" a="1"/>
  <c r="CN22" i="10" s="1"/>
  <c r="CO18" i="10" a="1"/>
  <c r="CO18" i="10" s="1"/>
  <c r="CO19" i="10" s="1" a="1"/>
  <c r="CO19" i="10" s="1"/>
  <c r="CP22" i="10" a="1"/>
  <c r="CP22" i="10" s="1"/>
  <c r="CR22" i="10" a="1"/>
  <c r="CR22" i="10" s="1"/>
  <c r="CR20" i="10" a="1"/>
  <c r="CR20" i="10" s="1"/>
  <c r="CO20" i="10" a="1"/>
  <c r="CO20" i="10" s="1"/>
  <c r="CO33" i="10"/>
  <c r="CP38" i="10" s="1" a="1"/>
  <c r="CP38" i="10" s="1"/>
  <c r="AN81" i="8"/>
  <c r="AH82" i="8"/>
  <c r="AP82" i="8"/>
  <c r="AJ83" i="8"/>
  <c r="AD84" i="8"/>
  <c r="AL84" i="8"/>
  <c r="AF85" i="8"/>
  <c r="AN85" i="8"/>
  <c r="AH86" i="8"/>
  <c r="AP86" i="8"/>
  <c r="AJ87" i="8"/>
  <c r="AD88" i="8"/>
  <c r="AL88" i="8"/>
  <c r="AF89" i="8"/>
  <c r="AN89" i="8"/>
  <c r="AH90" i="8"/>
  <c r="AP90" i="8"/>
  <c r="AJ91" i="8"/>
  <c r="AD92" i="8"/>
  <c r="AL92" i="8"/>
  <c r="AF93" i="8"/>
  <c r="AN93" i="8"/>
  <c r="AH94" i="8"/>
  <c r="AP94" i="8"/>
  <c r="AJ95" i="8"/>
  <c r="AD96" i="8"/>
  <c r="AL96" i="8"/>
  <c r="AF97" i="8"/>
  <c r="AN97" i="8"/>
  <c r="AH98" i="8"/>
  <c r="AP98" i="8"/>
  <c r="AJ99" i="8"/>
  <c r="AD100" i="8"/>
  <c r="AL100" i="8"/>
  <c r="AF101" i="8"/>
  <c r="AN101" i="8"/>
  <c r="AH102" i="8"/>
  <c r="AP102" i="8"/>
  <c r="AJ103" i="8"/>
  <c r="AE104" i="8"/>
  <c r="AP104" i="8"/>
  <c r="AD105" i="8"/>
  <c r="AO105" i="8"/>
  <c r="AD106" i="8"/>
  <c r="AN106" i="8"/>
  <c r="AN107" i="8"/>
  <c r="AM108" i="8"/>
  <c r="AL109" i="8"/>
  <c r="AL110" i="8"/>
  <c r="AK111" i="8"/>
  <c r="AJ112" i="8"/>
  <c r="AJ113" i="8"/>
  <c r="AE114" i="8"/>
  <c r="AO115" i="8"/>
  <c r="AM116" i="8"/>
  <c r="AJ117" i="8"/>
  <c r="AE119" i="8"/>
  <c r="AO120" i="8"/>
  <c r="AK121" i="8"/>
  <c r="AI122" i="8"/>
  <c r="AF123" i="8"/>
  <c r="AI126" i="8"/>
  <c r="AH129" i="8"/>
  <c r="AI131" i="8"/>
  <c r="AK133" i="8"/>
  <c r="AL137" i="8"/>
  <c r="AH153" i="8"/>
  <c r="AL157" i="8"/>
  <c r="AF162" i="8"/>
  <c r="AI179" i="8"/>
  <c r="AO187" i="8"/>
  <c r="AP192" i="8"/>
  <c r="AH206" i="8"/>
  <c r="AP208" i="8"/>
  <c r="AL231" i="8"/>
  <c r="AI102" i="8"/>
  <c r="AK103" i="8"/>
  <c r="AE105" i="8"/>
  <c r="AE106" i="8"/>
  <c r="AO106" i="8"/>
  <c r="AE107" i="8"/>
  <c r="AO107" i="8"/>
  <c r="AO108" i="8"/>
  <c r="AM109" i="8"/>
  <c r="AM110" i="8"/>
  <c r="AM111" i="8"/>
  <c r="AK112" i="8"/>
  <c r="AK113" i="8"/>
  <c r="AE115" i="8"/>
  <c r="AO116" i="8"/>
  <c r="AK117" i="8"/>
  <c r="AI118" i="8"/>
  <c r="AF119" i="8"/>
  <c r="AP120" i="8"/>
  <c r="AM121" i="8"/>
  <c r="AK122" i="8"/>
  <c r="AE124" i="8"/>
  <c r="AM126" i="8"/>
  <c r="AN129" i="8"/>
  <c r="AP131" i="8"/>
  <c r="AL148" i="8"/>
  <c r="AN152" i="8"/>
  <c r="AD164" i="8"/>
  <c r="AD173" i="8"/>
  <c r="AF88" i="8"/>
  <c r="AN88" i="8"/>
  <c r="AH89" i="8"/>
  <c r="AP89" i="8"/>
  <c r="AJ90" i="8"/>
  <c r="AD91" i="8"/>
  <c r="AL91" i="8"/>
  <c r="AF92" i="8"/>
  <c r="AN92" i="8"/>
  <c r="AH93" i="8"/>
  <c r="AP93" i="8"/>
  <c r="AJ94" i="8"/>
  <c r="AD95" i="8"/>
  <c r="AL95" i="8"/>
  <c r="AF96" i="8"/>
  <c r="AN96" i="8"/>
  <c r="AH97" i="8"/>
  <c r="AP97" i="8"/>
  <c r="AJ98" i="8"/>
  <c r="AD99" i="8"/>
  <c r="AL99" i="8"/>
  <c r="AF100" i="8"/>
  <c r="AN100" i="8"/>
  <c r="AH101" i="8"/>
  <c r="AP101" i="8"/>
  <c r="AJ102" i="8"/>
  <c r="AD103" i="8"/>
  <c r="AL103" i="8"/>
  <c r="AH104" i="8"/>
  <c r="AF106" i="8"/>
  <c r="AF107" i="8"/>
  <c r="AP107" i="8"/>
  <c r="AE108" i="8"/>
  <c r="AP108" i="8"/>
  <c r="AD109" i="8"/>
  <c r="AO109" i="8"/>
  <c r="AD110" i="8"/>
  <c r="AN110" i="8"/>
  <c r="AN111" i="8"/>
  <c r="AM112" i="8"/>
  <c r="AL113" i="8"/>
  <c r="AI114" i="8"/>
  <c r="AF115" i="8"/>
  <c r="AP116" i="8"/>
  <c r="AM117" i="8"/>
  <c r="AK118" i="8"/>
  <c r="AE120" i="8"/>
  <c r="AO121" i="8"/>
  <c r="AL122" i="8"/>
  <c r="AI123" i="8"/>
  <c r="AE125" i="8"/>
  <c r="AO126" i="8"/>
  <c r="AK136" i="8"/>
  <c r="AJ139" i="8"/>
  <c r="AK159" i="8"/>
  <c r="AJ166" i="8"/>
  <c r="AF171" i="8"/>
  <c r="AH182" i="8"/>
  <c r="AE109" i="8"/>
  <c r="AE110" i="8"/>
  <c r="AO110" i="8"/>
  <c r="AE111" i="8"/>
  <c r="AO111" i="8"/>
  <c r="AO112" i="8"/>
  <c r="AM113" i="8"/>
  <c r="AK114" i="8"/>
  <c r="AE116" i="8"/>
  <c r="AO117" i="8"/>
  <c r="AL118" i="8"/>
  <c r="AI119" i="8"/>
  <c r="AM122" i="8"/>
  <c r="AK123" i="8"/>
  <c r="AH124" i="8"/>
  <c r="AD128" i="8"/>
  <c r="AF130" i="8"/>
  <c r="AH132" i="8"/>
  <c r="AJ134" i="8"/>
  <c r="AK161" i="8"/>
  <c r="AD186" i="8"/>
  <c r="AP207" i="8"/>
  <c r="AD219" i="8"/>
  <c r="AL90" i="8"/>
  <c r="AF91" i="8"/>
  <c r="AN91" i="8"/>
  <c r="AH92" i="8"/>
  <c r="AP92" i="8"/>
  <c r="AJ93" i="8"/>
  <c r="AD94" i="8"/>
  <c r="AL94" i="8"/>
  <c r="AF95" i="8"/>
  <c r="AN95" i="8"/>
  <c r="AH96" i="8"/>
  <c r="AP96" i="8"/>
  <c r="AJ97" i="8"/>
  <c r="AD98" i="8"/>
  <c r="AL98" i="8"/>
  <c r="AF99" i="8"/>
  <c r="AN99" i="8"/>
  <c r="AH100" i="8"/>
  <c r="AP100" i="8"/>
  <c r="AJ101" i="8"/>
  <c r="AD102" i="8"/>
  <c r="AL102" i="8"/>
  <c r="AF103" i="8"/>
  <c r="AN103" i="8"/>
  <c r="AJ104" i="8"/>
  <c r="AJ105" i="8"/>
  <c r="AI106" i="8"/>
  <c r="AH107" i="8"/>
  <c r="AH108" i="8"/>
  <c r="AF110" i="8"/>
  <c r="AF111" i="8"/>
  <c r="AP111" i="8"/>
  <c r="AE112" i="8"/>
  <c r="AP112" i="8"/>
  <c r="AD113" i="8"/>
  <c r="AO113" i="8"/>
  <c r="AL114" i="8"/>
  <c r="AI115" i="8"/>
  <c r="AM118" i="8"/>
  <c r="AK119" i="8"/>
  <c r="AH120" i="8"/>
  <c r="AE121" i="8"/>
  <c r="AO122" i="8"/>
  <c r="AM123" i="8"/>
  <c r="AI124" i="8"/>
  <c r="AK125" i="8"/>
  <c r="AI127" i="8"/>
  <c r="AH130" i="8"/>
  <c r="AJ132" i="8"/>
  <c r="AL134" i="8"/>
  <c r="AJ135" i="8"/>
  <c r="AD141" i="8"/>
  <c r="AI172" i="8"/>
  <c r="AI180" i="8"/>
  <c r="AJ183" i="8"/>
  <c r="AL188" i="8"/>
  <c r="AO190" i="8"/>
  <c r="AO197" i="8"/>
  <c r="AF114" i="8"/>
  <c r="AN114" i="8"/>
  <c r="AH115" i="8"/>
  <c r="AP115" i="8"/>
  <c r="AJ116" i="8"/>
  <c r="AD117" i="8"/>
  <c r="AL117" i="8"/>
  <c r="AF118" i="8"/>
  <c r="AN118" i="8"/>
  <c r="AH119" i="8"/>
  <c r="AP119" i="8"/>
  <c r="AJ120" i="8"/>
  <c r="AD121" i="8"/>
  <c r="AL121" i="8"/>
  <c r="AF122" i="8"/>
  <c r="AN122" i="8"/>
  <c r="AH123" i="8"/>
  <c r="AP123" i="8"/>
  <c r="AJ124" i="8"/>
  <c r="AD125" i="8"/>
  <c r="AL125" i="8"/>
  <c r="AF126" i="8"/>
  <c r="AN126" i="8"/>
  <c r="AH127" i="8"/>
  <c r="AP127" i="8"/>
  <c r="AL128" i="8"/>
  <c r="AD129" i="8"/>
  <c r="AM129" i="8"/>
  <c r="AE130" i="8"/>
  <c r="AN130" i="8"/>
  <c r="AF131" i="8"/>
  <c r="AO131" i="8"/>
  <c r="AP132" i="8"/>
  <c r="AH133" i="8"/>
  <c r="AH134" i="8"/>
  <c r="AI135" i="8"/>
  <c r="AJ136" i="8"/>
  <c r="AK137" i="8"/>
  <c r="AJ138" i="8"/>
  <c r="AI139" i="8"/>
  <c r="AP140" i="8"/>
  <c r="AO141" i="8"/>
  <c r="AK142" i="8"/>
  <c r="AF143" i="8"/>
  <c r="AH144" i="8"/>
  <c r="AL146" i="8"/>
  <c r="AJ148" i="8"/>
  <c r="AE149" i="8"/>
  <c r="AP150" i="8"/>
  <c r="AE151" i="8"/>
  <c r="AM152" i="8"/>
  <c r="AD153" i="8"/>
  <c r="AO154" i="8"/>
  <c r="AJ155" i="8"/>
  <c r="AM156" i="8"/>
  <c r="AH157" i="8"/>
  <c r="AJ159" i="8"/>
  <c r="AP160" i="8"/>
  <c r="AI161" i="8"/>
  <c r="AD162" i="8"/>
  <c r="AO163" i="8"/>
  <c r="AM165" i="8"/>
  <c r="AH166" i="8"/>
  <c r="AM167" i="8"/>
  <c r="AE168" i="8"/>
  <c r="AL169" i="8"/>
  <c r="AE172" i="8"/>
  <c r="AP173" i="8"/>
  <c r="AE176" i="8"/>
  <c r="AI177" i="8"/>
  <c r="AD180" i="8"/>
  <c r="AO181" i="8"/>
  <c r="AE183" i="8"/>
  <c r="AH184" i="8"/>
  <c r="AP185" i="8"/>
  <c r="AN187" i="8"/>
  <c r="AJ188" i="8"/>
  <c r="AJ190" i="8"/>
  <c r="AK191" i="8"/>
  <c r="AN192" i="8"/>
  <c r="AF194" i="8"/>
  <c r="AM197" i="8"/>
  <c r="AM199" i="8"/>
  <c r="AH200" i="8"/>
  <c r="AK201" i="8"/>
  <c r="AN202" i="8"/>
  <c r="AL204" i="8"/>
  <c r="AE206" i="8"/>
  <c r="AF208" i="8"/>
  <c r="AN214" i="8"/>
  <c r="AE221" i="8"/>
  <c r="AF228" i="8"/>
  <c r="AP241" i="8"/>
  <c r="AK245" i="8"/>
  <c r="AF249" i="8"/>
  <c r="AL253" i="8"/>
  <c r="AD104" i="8"/>
  <c r="AL104" i="8"/>
  <c r="AF105" i="8"/>
  <c r="AN105" i="8"/>
  <c r="AH106" i="8"/>
  <c r="AP106" i="8"/>
  <c r="AJ107" i="8"/>
  <c r="AD108" i="8"/>
  <c r="AL108" i="8"/>
  <c r="AF109" i="8"/>
  <c r="AN109" i="8"/>
  <c r="AH110" i="8"/>
  <c r="AP110" i="8"/>
  <c r="AJ111" i="8"/>
  <c r="AD112" i="8"/>
  <c r="AL112" i="8"/>
  <c r="AF113" i="8"/>
  <c r="AN113" i="8"/>
  <c r="AH114" i="8"/>
  <c r="AP114" i="8"/>
  <c r="AJ115" i="8"/>
  <c r="AD116" i="8"/>
  <c r="AL116" i="8"/>
  <c r="AF117" i="8"/>
  <c r="AN117" i="8"/>
  <c r="AH118" i="8"/>
  <c r="AP118" i="8"/>
  <c r="AJ119" i="8"/>
  <c r="AD120" i="8"/>
  <c r="AL120" i="8"/>
  <c r="AF121" i="8"/>
  <c r="AN121" i="8"/>
  <c r="AH122" i="8"/>
  <c r="AP122" i="8"/>
  <c r="AJ123" i="8"/>
  <c r="AD124" i="8"/>
  <c r="AL124" i="8"/>
  <c r="AF125" i="8"/>
  <c r="AN125" i="8"/>
  <c r="AH126" i="8"/>
  <c r="AP126" i="8"/>
  <c r="AJ127" i="8"/>
  <c r="AF128" i="8"/>
  <c r="AO128" i="8"/>
  <c r="AF129" i="8"/>
  <c r="AP129" i="8"/>
  <c r="AP130" i="8"/>
  <c r="AH131" i="8"/>
  <c r="AI132" i="8"/>
  <c r="AJ133" i="8"/>
  <c r="AK134" i="8"/>
  <c r="AL135" i="8"/>
  <c r="AL136" i="8"/>
  <c r="AD137" i="8"/>
  <c r="AM137" i="8"/>
  <c r="AL138" i="8"/>
  <c r="AL139" i="8"/>
  <c r="AE141" i="8"/>
  <c r="AO142" i="8"/>
  <c r="AJ143" i="8"/>
  <c r="AM144" i="8"/>
  <c r="AD145" i="8"/>
  <c r="AO146" i="8"/>
  <c r="AJ147" i="8"/>
  <c r="AM148" i="8"/>
  <c r="AH149" i="8"/>
  <c r="AJ151" i="8"/>
  <c r="AP152" i="8"/>
  <c r="AI153" i="8"/>
  <c r="AD154" i="8"/>
  <c r="AO155" i="8"/>
  <c r="AM157" i="8"/>
  <c r="AH158" i="8"/>
  <c r="AM159" i="8"/>
  <c r="AE160" i="8"/>
  <c r="AL161" i="8"/>
  <c r="AE164" i="8"/>
  <c r="AP165" i="8"/>
  <c r="AK166" i="8"/>
  <c r="AH168" i="8"/>
  <c r="AL170" i="8"/>
  <c r="AJ172" i="8"/>
  <c r="AE173" i="8"/>
  <c r="AH174" i="8"/>
  <c r="AE175" i="8"/>
  <c r="AH176" i="8"/>
  <c r="AP177" i="8"/>
  <c r="AN179" i="8"/>
  <c r="AJ180" i="8"/>
  <c r="AJ182" i="8"/>
  <c r="AK183" i="8"/>
  <c r="AN184" i="8"/>
  <c r="AF186" i="8"/>
  <c r="AE189" i="8"/>
  <c r="AP190" i="8"/>
  <c r="AL194" i="8"/>
  <c r="AJ196" i="8"/>
  <c r="AP200" i="8"/>
  <c r="AO206" i="8"/>
  <c r="AE213" i="8"/>
  <c r="AP226" i="8"/>
  <c r="AO242" i="8"/>
  <c r="AI246" i="8"/>
  <c r="AE250" i="8"/>
  <c r="AD135" i="8"/>
  <c r="AM135" i="8"/>
  <c r="AD136" i="8"/>
  <c r="AN136" i="8"/>
  <c r="AE137" i="8"/>
  <c r="AN137" i="8"/>
  <c r="AM138" i="8"/>
  <c r="AM139" i="8"/>
  <c r="AH140" i="8"/>
  <c r="AP142" i="8"/>
  <c r="AK143" i="8"/>
  <c r="AN144" i="8"/>
  <c r="AH145" i="8"/>
  <c r="AN147" i="8"/>
  <c r="AL149" i="8"/>
  <c r="AK151" i="8"/>
  <c r="AK153" i="8"/>
  <c r="AF154" i="8"/>
  <c r="AD156" i="8"/>
  <c r="AO157" i="8"/>
  <c r="AJ158" i="8"/>
  <c r="AN159" i="8"/>
  <c r="AF160" i="8"/>
  <c r="AP161" i="8"/>
  <c r="AK162" i="8"/>
  <c r="AF163" i="8"/>
  <c r="AI164" i="8"/>
  <c r="AD165" i="8"/>
  <c r="AO166" i="8"/>
  <c r="AI168" i="8"/>
  <c r="AN170" i="8"/>
  <c r="AI171" i="8"/>
  <c r="AL172" i="8"/>
  <c r="AJ174" i="8"/>
  <c r="AJ175" i="8"/>
  <c r="AM176" i="8"/>
  <c r="AD178" i="8"/>
  <c r="AO179" i="8"/>
  <c r="AL180" i="8"/>
  <c r="AD181" i="8"/>
  <c r="AO182" i="8"/>
  <c r="AM183" i="8"/>
  <c r="AP184" i="8"/>
  <c r="AK186" i="8"/>
  <c r="AH193" i="8"/>
  <c r="AN194" i="8"/>
  <c r="AF195" i="8"/>
  <c r="AL196" i="8"/>
  <c r="AE205" i="8"/>
  <c r="AO224" i="8"/>
  <c r="AD229" i="8"/>
  <c r="AI235" i="8"/>
  <c r="AM252" i="8"/>
  <c r="AF104" i="8"/>
  <c r="AN104" i="8"/>
  <c r="AH105" i="8"/>
  <c r="AP105" i="8"/>
  <c r="AJ106" i="8"/>
  <c r="AD107" i="8"/>
  <c r="AL107" i="8"/>
  <c r="AF108" i="8"/>
  <c r="AN108" i="8"/>
  <c r="AH109" i="8"/>
  <c r="AP109" i="8"/>
  <c r="AJ110" i="8"/>
  <c r="AD111" i="8"/>
  <c r="AL111" i="8"/>
  <c r="AF112" i="8"/>
  <c r="AN112" i="8"/>
  <c r="AH113" i="8"/>
  <c r="AP113" i="8"/>
  <c r="AJ114" i="8"/>
  <c r="AD115" i="8"/>
  <c r="AL115" i="8"/>
  <c r="AF116" i="8"/>
  <c r="AN116" i="8"/>
  <c r="AH117" i="8"/>
  <c r="AP117" i="8"/>
  <c r="AJ118" i="8"/>
  <c r="AD119" i="8"/>
  <c r="AL119" i="8"/>
  <c r="AF120" i="8"/>
  <c r="AN120" i="8"/>
  <c r="AH121" i="8"/>
  <c r="AP121" i="8"/>
  <c r="AJ122" i="8"/>
  <c r="AD123" i="8"/>
  <c r="AL123" i="8"/>
  <c r="AF124" i="8"/>
  <c r="AN124" i="8"/>
  <c r="AH125" i="8"/>
  <c r="AP125" i="8"/>
  <c r="AJ126" i="8"/>
  <c r="AD127" i="8"/>
  <c r="AL127" i="8"/>
  <c r="AH128" i="8"/>
  <c r="AI129" i="8"/>
  <c r="AJ130" i="8"/>
  <c r="AJ131" i="8"/>
  <c r="AK132" i="8"/>
  <c r="AL133" i="8"/>
  <c r="AD134" i="8"/>
  <c r="AM134" i="8"/>
  <c r="AE135" i="8"/>
  <c r="AN135" i="8"/>
  <c r="AF136" i="8"/>
  <c r="AO136" i="8"/>
  <c r="AF137" i="8"/>
  <c r="AP137" i="8"/>
  <c r="AD138" i="8"/>
  <c r="AO138" i="8"/>
  <c r="AD139" i="8"/>
  <c r="AN139" i="8"/>
  <c r="AI140" i="8"/>
  <c r="AH141" i="8"/>
  <c r="AF142" i="8"/>
  <c r="AM143" i="8"/>
  <c r="AP144" i="8"/>
  <c r="AI145" i="8"/>
  <c r="AD146" i="8"/>
  <c r="AO147" i="8"/>
  <c r="AM149" i="8"/>
  <c r="AH150" i="8"/>
  <c r="AM151" i="8"/>
  <c r="AE152" i="8"/>
  <c r="AL153" i="8"/>
  <c r="AE156" i="8"/>
  <c r="AP157" i="8"/>
  <c r="AK158" i="8"/>
  <c r="AH160" i="8"/>
  <c r="AL162" i="8"/>
  <c r="AJ164" i="8"/>
  <c r="AE165" i="8"/>
  <c r="AP166" i="8"/>
  <c r="AE167" i="8"/>
  <c r="AM168" i="8"/>
  <c r="AD169" i="8"/>
  <c r="AO170" i="8"/>
  <c r="AJ171" i="8"/>
  <c r="AM172" i="8"/>
  <c r="AH173" i="8"/>
  <c r="AO174" i="8"/>
  <c r="AK175" i="8"/>
  <c r="AN176" i="8"/>
  <c r="AF178" i="8"/>
  <c r="AE181" i="8"/>
  <c r="AP182" i="8"/>
  <c r="AL186" i="8"/>
  <c r="AL189" i="8"/>
  <c r="AE192" i="8"/>
  <c r="AI193" i="8"/>
  <c r="AI203" i="8"/>
  <c r="AD212" i="8"/>
  <c r="AJ216" i="8"/>
  <c r="AN222" i="8"/>
  <c r="AP232" i="8"/>
  <c r="AM243" i="8"/>
  <c r="AI247" i="8"/>
  <c r="AE262" i="8"/>
  <c r="AI125" i="8"/>
  <c r="AK126" i="8"/>
  <c r="AE127" i="8"/>
  <c r="AM127" i="8"/>
  <c r="AI128" i="8"/>
  <c r="AJ129" i="8"/>
  <c r="AK130" i="8"/>
  <c r="AL131" i="8"/>
  <c r="AL132" i="8"/>
  <c r="AD133" i="8"/>
  <c r="AM133" i="8"/>
  <c r="AE134" i="8"/>
  <c r="AN134" i="8"/>
  <c r="AF135" i="8"/>
  <c r="AO135" i="8"/>
  <c r="AP136" i="8"/>
  <c r="AH137" i="8"/>
  <c r="AE138" i="8"/>
  <c r="AP138" i="8"/>
  <c r="AE139" i="8"/>
  <c r="AO139" i="8"/>
  <c r="AK140" i="8"/>
  <c r="AK141" i="8"/>
  <c r="AN143" i="8"/>
  <c r="AK145" i="8"/>
  <c r="AF146" i="8"/>
  <c r="AD148" i="8"/>
  <c r="AO149" i="8"/>
  <c r="AJ150" i="8"/>
  <c r="AN151" i="8"/>
  <c r="AF152" i="8"/>
  <c r="AP153" i="8"/>
  <c r="AK154" i="8"/>
  <c r="AF155" i="8"/>
  <c r="AI156" i="8"/>
  <c r="AD157" i="8"/>
  <c r="AO158" i="8"/>
  <c r="AI160" i="8"/>
  <c r="AN162" i="8"/>
  <c r="AI163" i="8"/>
  <c r="AL164" i="8"/>
  <c r="AF167" i="8"/>
  <c r="AN168" i="8"/>
  <c r="AH169" i="8"/>
  <c r="AN171" i="8"/>
  <c r="AL173" i="8"/>
  <c r="AP174" i="8"/>
  <c r="AM175" i="8"/>
  <c r="AP176" i="8"/>
  <c r="AK178" i="8"/>
  <c r="AH185" i="8"/>
  <c r="AN186" i="8"/>
  <c r="AF187" i="8"/>
  <c r="AM189" i="8"/>
  <c r="AF192" i="8"/>
  <c r="AK193" i="8"/>
  <c r="AI195" i="8"/>
  <c r="AH198" i="8"/>
  <c r="AD202" i="8"/>
  <c r="AO203" i="8"/>
  <c r="AM205" i="8"/>
  <c r="AM218" i="8"/>
  <c r="AM220" i="8"/>
  <c r="AK227" i="8"/>
  <c r="AM254" i="8"/>
  <c r="AJ256" i="8"/>
  <c r="AH259" i="8"/>
  <c r="AP124" i="8"/>
  <c r="AJ125" i="8"/>
  <c r="AD126" i="8"/>
  <c r="AL126" i="8"/>
  <c r="AF127" i="8"/>
  <c r="AN127" i="8"/>
  <c r="AJ128" i="8"/>
  <c r="AK129" i="8"/>
  <c r="AL130" i="8"/>
  <c r="AD131" i="8"/>
  <c r="AM131" i="8"/>
  <c r="AD132" i="8"/>
  <c r="AN132" i="8"/>
  <c r="AE133" i="8"/>
  <c r="AN133" i="8"/>
  <c r="AF134" i="8"/>
  <c r="AO134" i="8"/>
  <c r="AP135" i="8"/>
  <c r="AH136" i="8"/>
  <c r="AI137" i="8"/>
  <c r="AF139" i="8"/>
  <c r="AL140" i="8"/>
  <c r="AL141" i="8"/>
  <c r="AH142" i="8"/>
  <c r="AE144" i="8"/>
  <c r="AL145" i="8"/>
  <c r="AE148" i="8"/>
  <c r="AP149" i="8"/>
  <c r="AK150" i="8"/>
  <c r="AH152" i="8"/>
  <c r="AL154" i="8"/>
  <c r="AJ156" i="8"/>
  <c r="AE157" i="8"/>
  <c r="AP158" i="8"/>
  <c r="AE159" i="8"/>
  <c r="AM160" i="8"/>
  <c r="AD161" i="8"/>
  <c r="AO162" i="8"/>
  <c r="AJ163" i="8"/>
  <c r="AM164" i="8"/>
  <c r="AH165" i="8"/>
  <c r="AJ167" i="8"/>
  <c r="AP168" i="8"/>
  <c r="AI169" i="8"/>
  <c r="AD170" i="8"/>
  <c r="AO171" i="8"/>
  <c r="AM173" i="8"/>
  <c r="AL178" i="8"/>
  <c r="AL181" i="8"/>
  <c r="AE184" i="8"/>
  <c r="AI185" i="8"/>
  <c r="AD188" i="8"/>
  <c r="AO189" i="8"/>
  <c r="AE191" i="8"/>
  <c r="AH192" i="8"/>
  <c r="AP193" i="8"/>
  <c r="AN195" i="8"/>
  <c r="AE197" i="8"/>
  <c r="AJ198" i="8"/>
  <c r="AE199" i="8"/>
  <c r="AF202" i="8"/>
  <c r="AD204" i="8"/>
  <c r="AO205" i="8"/>
  <c r="AJ209" i="8"/>
  <c r="AL215" i="8"/>
  <c r="AJ225" i="8"/>
  <c r="AH230" i="8"/>
  <c r="AF233" i="8"/>
  <c r="AL244" i="8"/>
  <c r="AH248" i="8"/>
  <c r="AK257" i="8"/>
  <c r="AK128" i="8"/>
  <c r="AL129" i="8"/>
  <c r="AD130" i="8"/>
  <c r="AM130" i="8"/>
  <c r="AE131" i="8"/>
  <c r="AN131" i="8"/>
  <c r="AF132" i="8"/>
  <c r="AO132" i="8"/>
  <c r="AF133" i="8"/>
  <c r="AP133" i="8"/>
  <c r="AP134" i="8"/>
  <c r="AH135" i="8"/>
  <c r="AI136" i="8"/>
  <c r="AJ137" i="8"/>
  <c r="AH138" i="8"/>
  <c r="AO140" i="8"/>
  <c r="AM141" i="8"/>
  <c r="AJ142" i="8"/>
  <c r="AE143" i="8"/>
  <c r="AF144" i="8"/>
  <c r="AP145" i="8"/>
  <c r="AK146" i="8"/>
  <c r="AF147" i="8"/>
  <c r="AI148" i="8"/>
  <c r="AD149" i="8"/>
  <c r="AO150" i="8"/>
  <c r="AI152" i="8"/>
  <c r="AN154" i="8"/>
  <c r="AI155" i="8"/>
  <c r="AL156" i="8"/>
  <c r="AF159" i="8"/>
  <c r="AN160" i="8"/>
  <c r="AH161" i="8"/>
  <c r="AN163" i="8"/>
  <c r="AL165" i="8"/>
  <c r="AK167" i="8"/>
  <c r="AK169" i="8"/>
  <c r="AF170" i="8"/>
  <c r="AD172" i="8"/>
  <c r="AO173" i="8"/>
  <c r="AH177" i="8"/>
  <c r="AN178" i="8"/>
  <c r="AF179" i="8"/>
  <c r="AM181" i="8"/>
  <c r="AF184" i="8"/>
  <c r="AK185" i="8"/>
  <c r="AI187" i="8"/>
  <c r="AI188" i="8"/>
  <c r="AH190" i="8"/>
  <c r="AJ191" i="8"/>
  <c r="AM192" i="8"/>
  <c r="AD194" i="8"/>
  <c r="AO195" i="8"/>
  <c r="AP198" i="8"/>
  <c r="AK199" i="8"/>
  <c r="AF200" i="8"/>
  <c r="AI201" i="8"/>
  <c r="AL202" i="8"/>
  <c r="AJ204" i="8"/>
  <c r="AI223" i="8"/>
  <c r="AI196" i="8"/>
  <c r="AD197" i="8"/>
  <c r="AL197" i="8"/>
  <c r="AO198" i="8"/>
  <c r="AJ199" i="8"/>
  <c r="AE200" i="8"/>
  <c r="AM200" i="8"/>
  <c r="AH201" i="8"/>
  <c r="AP201" i="8"/>
  <c r="AK202" i="8"/>
  <c r="AF203" i="8"/>
  <c r="AN203" i="8"/>
  <c r="AI204" i="8"/>
  <c r="AD205" i="8"/>
  <c r="AL205" i="8"/>
  <c r="AD206" i="8"/>
  <c r="AM206" i="8"/>
  <c r="AF207" i="8"/>
  <c r="AO207" i="8"/>
  <c r="AO208" i="8"/>
  <c r="AF209" i="8"/>
  <c r="AF210" i="8"/>
  <c r="AD213" i="8"/>
  <c r="AO213" i="8"/>
  <c r="AM214" i="8"/>
  <c r="AK215" i="8"/>
  <c r="AI216" i="8"/>
  <c r="AP217" i="8"/>
  <c r="AI218" i="8"/>
  <c r="AI220" i="8"/>
  <c r="AD221" i="8"/>
  <c r="AM222" i="8"/>
  <c r="AE223" i="8"/>
  <c r="AN224" i="8"/>
  <c r="AI225" i="8"/>
  <c r="AO226" i="8"/>
  <c r="AJ227" i="8"/>
  <c r="AE228" i="8"/>
  <c r="AP228" i="8"/>
  <c r="AK231" i="8"/>
  <c r="AO232" i="8"/>
  <c r="AE233" i="8"/>
  <c r="AP234" i="8"/>
  <c r="AH235" i="8"/>
  <c r="AP240" i="8"/>
  <c r="AN241" i="8"/>
  <c r="AM242" i="8"/>
  <c r="AL243" i="8"/>
  <c r="AJ244" i="8"/>
  <c r="AI245" i="8"/>
  <c r="AH246" i="8"/>
  <c r="AF248" i="8"/>
  <c r="AE249" i="8"/>
  <c r="AO251" i="8"/>
  <c r="AK252" i="8"/>
  <c r="AJ253" i="8"/>
  <c r="AK254" i="8"/>
  <c r="AI257" i="8"/>
  <c r="AO260" i="8"/>
  <c r="AD262" i="8"/>
  <c r="AF264" i="8"/>
  <c r="AD271" i="8"/>
  <c r="AJ273" i="8"/>
  <c r="AP275" i="8"/>
  <c r="AI278" i="8"/>
  <c r="AO280" i="8"/>
  <c r="AH283" i="8"/>
  <c r="AN285" i="8"/>
  <c r="AM290" i="8"/>
  <c r="AF293" i="8"/>
  <c r="AL295" i="8"/>
  <c r="AE298" i="8"/>
  <c r="AK300" i="8"/>
  <c r="AD303" i="8"/>
  <c r="AJ305" i="8"/>
  <c r="AP307" i="8"/>
  <c r="AI310" i="8"/>
  <c r="AO312" i="8"/>
  <c r="AH315" i="8"/>
  <c r="AN317" i="8"/>
  <c r="AM322" i="8"/>
  <c r="AF325" i="8"/>
  <c r="AL327" i="8"/>
  <c r="AJ330" i="8"/>
  <c r="AJ333" i="8"/>
  <c r="AN336" i="8"/>
  <c r="AD340" i="8"/>
  <c r="AH343" i="8"/>
  <c r="AL346" i="8"/>
  <c r="AO349" i="8"/>
  <c r="AF353" i="8"/>
  <c r="AJ356" i="8"/>
  <c r="AL360" i="8"/>
  <c r="AP364" i="8"/>
  <c r="AJ370" i="8"/>
  <c r="AJ263" i="8"/>
  <c r="AM271" i="8"/>
  <c r="AF274" i="8"/>
  <c r="AL276" i="8"/>
  <c r="AE279" i="8"/>
  <c r="AK281" i="8"/>
  <c r="AD284" i="8"/>
  <c r="AJ286" i="8"/>
  <c r="AP288" i="8"/>
  <c r="AI291" i="8"/>
  <c r="AO293" i="8"/>
  <c r="AH296" i="8"/>
  <c r="AN298" i="8"/>
  <c r="AM303" i="8"/>
  <c r="AF306" i="8"/>
  <c r="AL308" i="8"/>
  <c r="AE311" i="8"/>
  <c r="AK313" i="8"/>
  <c r="AD316" i="8"/>
  <c r="AJ318" i="8"/>
  <c r="AP320" i="8"/>
  <c r="AI323" i="8"/>
  <c r="AO325" i="8"/>
  <c r="AI328" i="8"/>
  <c r="AI334" i="8"/>
  <c r="AL337" i="8"/>
  <c r="AP340" i="8"/>
  <c r="AJ347" i="8"/>
  <c r="AN350" i="8"/>
  <c r="AE354" i="8"/>
  <c r="AK357" i="8"/>
  <c r="AF362" i="8"/>
  <c r="AM366" i="8"/>
  <c r="AO371" i="8"/>
  <c r="AF138" i="8"/>
  <c r="AN138" i="8"/>
  <c r="AH139" i="8"/>
  <c r="AP139" i="8"/>
  <c r="AJ140" i="8"/>
  <c r="AF141" i="8"/>
  <c r="AN141" i="8"/>
  <c r="AI142" i="8"/>
  <c r="AD143" i="8"/>
  <c r="AL143" i="8"/>
  <c r="AO144" i="8"/>
  <c r="AJ145" i="8"/>
  <c r="AE146" i="8"/>
  <c r="AM146" i="8"/>
  <c r="AH147" i="8"/>
  <c r="AP147" i="8"/>
  <c r="AK148" i="8"/>
  <c r="AF149" i="8"/>
  <c r="AN149" i="8"/>
  <c r="AI150" i="8"/>
  <c r="AD151" i="8"/>
  <c r="AL151" i="8"/>
  <c r="AO152" i="8"/>
  <c r="AJ153" i="8"/>
  <c r="AE154" i="8"/>
  <c r="AM154" i="8"/>
  <c r="AH155" i="8"/>
  <c r="AP155" i="8"/>
  <c r="AK156" i="8"/>
  <c r="AF157" i="8"/>
  <c r="AN157" i="8"/>
  <c r="AI158" i="8"/>
  <c r="AD159" i="8"/>
  <c r="AL159" i="8"/>
  <c r="AO160" i="8"/>
  <c r="AJ161" i="8"/>
  <c r="AE162" i="8"/>
  <c r="AM162" i="8"/>
  <c r="AH163" i="8"/>
  <c r="AP163" i="8"/>
  <c r="AK164" i="8"/>
  <c r="AF165" i="8"/>
  <c r="AN165" i="8"/>
  <c r="AI166" i="8"/>
  <c r="AD167" i="8"/>
  <c r="AL167" i="8"/>
  <c r="AO168" i="8"/>
  <c r="AJ169" i="8"/>
  <c r="AE170" i="8"/>
  <c r="AM170" i="8"/>
  <c r="AH171" i="8"/>
  <c r="AP171" i="8"/>
  <c r="AK172" i="8"/>
  <c r="AF173" i="8"/>
  <c r="AN173" i="8"/>
  <c r="AI174" i="8"/>
  <c r="AD175" i="8"/>
  <c r="AL175" i="8"/>
  <c r="AO176" i="8"/>
  <c r="AJ177" i="8"/>
  <c r="AE178" i="8"/>
  <c r="AM178" i="8"/>
  <c r="AH179" i="8"/>
  <c r="AP179" i="8"/>
  <c r="AK180" i="8"/>
  <c r="AF181" i="8"/>
  <c r="AN181" i="8"/>
  <c r="AI182" i="8"/>
  <c r="AD183" i="8"/>
  <c r="AL183" i="8"/>
  <c r="AO184" i="8"/>
  <c r="AJ185" i="8"/>
  <c r="AE186" i="8"/>
  <c r="AM186" i="8"/>
  <c r="AH187" i="8"/>
  <c r="AP187" i="8"/>
  <c r="AK188" i="8"/>
  <c r="AF189" i="8"/>
  <c r="AN189" i="8"/>
  <c r="AI190" i="8"/>
  <c r="AD191" i="8"/>
  <c r="AL191" i="8"/>
  <c r="AO192" i="8"/>
  <c r="AJ193" i="8"/>
  <c r="AE194" i="8"/>
  <c r="AM194" i="8"/>
  <c r="AH195" i="8"/>
  <c r="AP195" i="8"/>
  <c r="AK196" i="8"/>
  <c r="AF197" i="8"/>
  <c r="AN197" i="8"/>
  <c r="AI198" i="8"/>
  <c r="AD199" i="8"/>
  <c r="AL199" i="8"/>
  <c r="AO200" i="8"/>
  <c r="AJ201" i="8"/>
  <c r="AE202" i="8"/>
  <c r="AM202" i="8"/>
  <c r="AH203" i="8"/>
  <c r="AP203" i="8"/>
  <c r="AK204" i="8"/>
  <c r="AF205" i="8"/>
  <c r="AN205" i="8"/>
  <c r="AP206" i="8"/>
  <c r="AH207" i="8"/>
  <c r="AK209" i="8"/>
  <c r="AH210" i="8"/>
  <c r="AH211" i="8"/>
  <c r="AE212" i="8"/>
  <c r="AF213" i="8"/>
  <c r="AD214" i="8"/>
  <c r="AO214" i="8"/>
  <c r="AM215" i="8"/>
  <c r="AK216" i="8"/>
  <c r="AN218" i="8"/>
  <c r="AE219" i="8"/>
  <c r="AN220" i="8"/>
  <c r="AI221" i="8"/>
  <c r="AO222" i="8"/>
  <c r="AJ223" i="8"/>
  <c r="AE224" i="8"/>
  <c r="AP224" i="8"/>
  <c r="AK225" i="8"/>
  <c r="AF226" i="8"/>
  <c r="AL227" i="8"/>
  <c r="AE229" i="8"/>
  <c r="AI230" i="8"/>
  <c r="AM231" i="8"/>
  <c r="AK235" i="8"/>
  <c r="AP242" i="8"/>
  <c r="AN243" i="8"/>
  <c r="AM244" i="8"/>
  <c r="AL245" i="8"/>
  <c r="AJ246" i="8"/>
  <c r="AJ247" i="8"/>
  <c r="AI248" i="8"/>
  <c r="AF250" i="8"/>
  <c r="AN254" i="8"/>
  <c r="AL256" i="8"/>
  <c r="AI259" i="8"/>
  <c r="AL263" i="8"/>
  <c r="AI264" i="8"/>
  <c r="AO271" i="8"/>
  <c r="AH274" i="8"/>
  <c r="AN276" i="8"/>
  <c r="AM281" i="8"/>
  <c r="AF284" i="8"/>
  <c r="AL286" i="8"/>
  <c r="AE289" i="8"/>
  <c r="AK291" i="8"/>
  <c r="AD294" i="8"/>
  <c r="AJ296" i="8"/>
  <c r="AP298" i="8"/>
  <c r="AI301" i="8"/>
  <c r="AO303" i="8"/>
  <c r="AH306" i="8"/>
  <c r="AN308" i="8"/>
  <c r="AM313" i="8"/>
  <c r="AF316" i="8"/>
  <c r="AL318" i="8"/>
  <c r="AE321" i="8"/>
  <c r="AK323" i="8"/>
  <c r="AD326" i="8"/>
  <c r="AL328" i="8"/>
  <c r="AI331" i="8"/>
  <c r="AK334" i="8"/>
  <c r="AO337" i="8"/>
  <c r="AF341" i="8"/>
  <c r="AI344" i="8"/>
  <c r="AM347" i="8"/>
  <c r="AD351" i="8"/>
  <c r="AE358" i="8"/>
  <c r="AP366" i="8"/>
  <c r="AJ372" i="8"/>
  <c r="AJ207" i="8"/>
  <c r="AH208" i="8"/>
  <c r="AL209" i="8"/>
  <c r="AI210" i="8"/>
  <c r="AI211" i="8"/>
  <c r="AI212" i="8"/>
  <c r="AE214" i="8"/>
  <c r="AN215" i="8"/>
  <c r="AL216" i="8"/>
  <c r="AH217" i="8"/>
  <c r="AO218" i="8"/>
  <c r="AI219" i="8"/>
  <c r="AO220" i="8"/>
  <c r="AJ221" i="8"/>
  <c r="AE222" i="8"/>
  <c r="AP222" i="8"/>
  <c r="AK223" i="8"/>
  <c r="AF224" i="8"/>
  <c r="AL225" i="8"/>
  <c r="AM227" i="8"/>
  <c r="AH228" i="8"/>
  <c r="AJ229" i="8"/>
  <c r="AN230" i="8"/>
  <c r="AF232" i="8"/>
  <c r="AM233" i="8"/>
  <c r="AE234" i="8"/>
  <c r="AP235" i="8"/>
  <c r="AI236" i="8"/>
  <c r="AH237" i="8"/>
  <c r="AE239" i="8"/>
  <c r="AD240" i="8"/>
  <c r="AP248" i="8"/>
  <c r="AN249" i="8"/>
  <c r="AM250" i="8"/>
  <c r="AD251" i="8"/>
  <c r="AM256" i="8"/>
  <c r="AD258" i="8"/>
  <c r="AK259" i="8"/>
  <c r="AI261" i="8"/>
  <c r="AO262" i="8"/>
  <c r="AN263" i="8"/>
  <c r="AD272" i="8"/>
  <c r="AJ274" i="8"/>
  <c r="AP276" i="8"/>
  <c r="AI279" i="8"/>
  <c r="AO281" i="8"/>
  <c r="AH284" i="8"/>
  <c r="AN286" i="8"/>
  <c r="AM291" i="8"/>
  <c r="AF294" i="8"/>
  <c r="AL296" i="8"/>
  <c r="AE299" i="8"/>
  <c r="AK301" i="8"/>
  <c r="AD304" i="8"/>
  <c r="AJ306" i="8"/>
  <c r="AP308" i="8"/>
  <c r="AI311" i="8"/>
  <c r="AO313" i="8"/>
  <c r="AH316" i="8"/>
  <c r="AN318" i="8"/>
  <c r="AM323" i="8"/>
  <c r="AF326" i="8"/>
  <c r="AN328" i="8"/>
  <c r="AL331" i="8"/>
  <c r="AN334" i="8"/>
  <c r="AE338" i="8"/>
  <c r="AH341" i="8"/>
  <c r="AL344" i="8"/>
  <c r="AP347" i="8"/>
  <c r="AF351" i="8"/>
  <c r="AJ354" i="8"/>
  <c r="AF358" i="8"/>
  <c r="AJ362" i="8"/>
  <c r="AK367" i="8"/>
  <c r="AL372" i="8"/>
  <c r="AK174" i="8"/>
  <c r="AF175" i="8"/>
  <c r="AN175" i="8"/>
  <c r="AI176" i="8"/>
  <c r="AD177" i="8"/>
  <c r="AL177" i="8"/>
  <c r="AO178" i="8"/>
  <c r="AJ179" i="8"/>
  <c r="AE180" i="8"/>
  <c r="AM180" i="8"/>
  <c r="AH181" i="8"/>
  <c r="AP181" i="8"/>
  <c r="AK182" i="8"/>
  <c r="AF183" i="8"/>
  <c r="AN183" i="8"/>
  <c r="AI184" i="8"/>
  <c r="AD185" i="8"/>
  <c r="AL185" i="8"/>
  <c r="AO186" i="8"/>
  <c r="AJ187" i="8"/>
  <c r="AE188" i="8"/>
  <c r="AM188" i="8"/>
  <c r="AH189" i="8"/>
  <c r="AP189" i="8"/>
  <c r="AK190" i="8"/>
  <c r="AF191" i="8"/>
  <c r="AN191" i="8"/>
  <c r="AI192" i="8"/>
  <c r="AD193" i="8"/>
  <c r="AL193" i="8"/>
  <c r="AO194" i="8"/>
  <c r="AJ195" i="8"/>
  <c r="AE196" i="8"/>
  <c r="AM196" i="8"/>
  <c r="AH197" i="8"/>
  <c r="AP197" i="8"/>
  <c r="AK198" i="8"/>
  <c r="AF199" i="8"/>
  <c r="AN199" i="8"/>
  <c r="AI200" i="8"/>
  <c r="AD201" i="8"/>
  <c r="AL201" i="8"/>
  <c r="AO202" i="8"/>
  <c r="AJ203" i="8"/>
  <c r="AE204" i="8"/>
  <c r="AM204" i="8"/>
  <c r="AH205" i="8"/>
  <c r="AP205" i="8"/>
  <c r="AI206" i="8"/>
  <c r="AK207" i="8"/>
  <c r="AI208" i="8"/>
  <c r="AM209" i="8"/>
  <c r="AM210" i="8"/>
  <c r="AJ211" i="8"/>
  <c r="AJ212" i="8"/>
  <c r="AK213" i="8"/>
  <c r="AF214" i="8"/>
  <c r="AD215" i="8"/>
  <c r="AM216" i="8"/>
  <c r="AI217" i="8"/>
  <c r="AE218" i="8"/>
  <c r="AP218" i="8"/>
  <c r="AJ219" i="8"/>
  <c r="AE220" i="8"/>
  <c r="AP220" i="8"/>
  <c r="AK221" i="8"/>
  <c r="AF222" i="8"/>
  <c r="AL223" i="8"/>
  <c r="AM225" i="8"/>
  <c r="AH226" i="8"/>
  <c r="AI228" i="8"/>
  <c r="AK229" i="8"/>
  <c r="AO230" i="8"/>
  <c r="AN233" i="8"/>
  <c r="AJ236" i="8"/>
  <c r="AI237" i="8"/>
  <c r="AH238" i="8"/>
  <c r="AF239" i="8"/>
  <c r="AE240" i="8"/>
  <c r="AD241" i="8"/>
  <c r="AO249" i="8"/>
  <c r="AN250" i="8"/>
  <c r="AE251" i="8"/>
  <c r="AE255" i="8"/>
  <c r="AO256" i="8"/>
  <c r="AL258" i="8"/>
  <c r="AM259" i="8"/>
  <c r="AK261" i="8"/>
  <c r="AO263" i="8"/>
  <c r="AM274" i="8"/>
  <c r="AF277" i="8"/>
  <c r="AL279" i="8"/>
  <c r="AE282" i="8"/>
  <c r="AK284" i="8"/>
  <c r="AD287" i="8"/>
  <c r="AJ289" i="8"/>
  <c r="AP291" i="8"/>
  <c r="AI294" i="8"/>
  <c r="AO296" i="8"/>
  <c r="AH299" i="8"/>
  <c r="AN301" i="8"/>
  <c r="AM306" i="8"/>
  <c r="AF309" i="8"/>
  <c r="AL311" i="8"/>
  <c r="AE314" i="8"/>
  <c r="AK316" i="8"/>
  <c r="AD319" i="8"/>
  <c r="AJ321" i="8"/>
  <c r="AP323" i="8"/>
  <c r="AI326" i="8"/>
  <c r="AD329" i="8"/>
  <c r="AO331" i="8"/>
  <c r="AE335" i="8"/>
  <c r="AI338" i="8"/>
  <c r="AM341" i="8"/>
  <c r="AP344" i="8"/>
  <c r="AK351" i="8"/>
  <c r="AN354" i="8"/>
  <c r="AI358" i="8"/>
  <c r="AD363" i="8"/>
  <c r="AM367" i="8"/>
  <c r="AO372" i="8"/>
  <c r="AE128" i="8"/>
  <c r="AM128" i="8"/>
  <c r="AO129" i="8"/>
  <c r="AI130" i="8"/>
  <c r="AK131" i="8"/>
  <c r="AE132" i="8"/>
  <c r="AM132" i="8"/>
  <c r="AO133" i="8"/>
  <c r="AI134" i="8"/>
  <c r="AK135" i="8"/>
  <c r="AE136" i="8"/>
  <c r="AM136" i="8"/>
  <c r="AO137" i="8"/>
  <c r="AI138" i="8"/>
  <c r="AK139" i="8"/>
  <c r="AE140" i="8"/>
  <c r="AM140" i="8"/>
  <c r="AI141" i="8"/>
  <c r="AD142" i="8"/>
  <c r="AL142" i="8"/>
  <c r="AO143" i="8"/>
  <c r="AJ144" i="8"/>
  <c r="AE145" i="8"/>
  <c r="AM145" i="8"/>
  <c r="AH146" i="8"/>
  <c r="AP146" i="8"/>
  <c r="AK147" i="8"/>
  <c r="AF148" i="8"/>
  <c r="AN148" i="8"/>
  <c r="AI149" i="8"/>
  <c r="AD150" i="8"/>
  <c r="AL150" i="8"/>
  <c r="AO151" i="8"/>
  <c r="AJ152" i="8"/>
  <c r="AE153" i="8"/>
  <c r="AM153" i="8"/>
  <c r="AH154" i="8"/>
  <c r="AP154" i="8"/>
  <c r="AK155" i="8"/>
  <c r="AF156" i="8"/>
  <c r="AN156" i="8"/>
  <c r="AI157" i="8"/>
  <c r="AD158" i="8"/>
  <c r="AL158" i="8"/>
  <c r="AO159" i="8"/>
  <c r="AJ160" i="8"/>
  <c r="AE161" i="8"/>
  <c r="AM161" i="8"/>
  <c r="AH162" i="8"/>
  <c r="AP162" i="8"/>
  <c r="AK163" i="8"/>
  <c r="AF164" i="8"/>
  <c r="AN164" i="8"/>
  <c r="AI165" i="8"/>
  <c r="AD166" i="8"/>
  <c r="AL166" i="8"/>
  <c r="AO167" i="8"/>
  <c r="AJ168" i="8"/>
  <c r="AE169" i="8"/>
  <c r="AM169" i="8"/>
  <c r="AH170" i="8"/>
  <c r="AP170" i="8"/>
  <c r="AK171" i="8"/>
  <c r="AF172" i="8"/>
  <c r="AN172" i="8"/>
  <c r="AI173" i="8"/>
  <c r="AD174" i="8"/>
  <c r="AL174" i="8"/>
  <c r="AO175" i="8"/>
  <c r="AJ176" i="8"/>
  <c r="AE177" i="8"/>
  <c r="AM177" i="8"/>
  <c r="AH178" i="8"/>
  <c r="AP178" i="8"/>
  <c r="AK179" i="8"/>
  <c r="AF180" i="8"/>
  <c r="AN180" i="8"/>
  <c r="AI181" i="8"/>
  <c r="AD182" i="8"/>
  <c r="AL182" i="8"/>
  <c r="AO183" i="8"/>
  <c r="AJ184" i="8"/>
  <c r="AE185" i="8"/>
  <c r="AM185" i="8"/>
  <c r="AH186" i="8"/>
  <c r="AP186" i="8"/>
  <c r="AK187" i="8"/>
  <c r="AF188" i="8"/>
  <c r="AN188" i="8"/>
  <c r="AI189" i="8"/>
  <c r="AD190" i="8"/>
  <c r="AL190" i="8"/>
  <c r="AO191" i="8"/>
  <c r="AJ192" i="8"/>
  <c r="AE193" i="8"/>
  <c r="AM193" i="8"/>
  <c r="AH194" i="8"/>
  <c r="AP194" i="8"/>
  <c r="AK195" i="8"/>
  <c r="AF196" i="8"/>
  <c r="AN196" i="8"/>
  <c r="AI197" i="8"/>
  <c r="AD198" i="8"/>
  <c r="AL198" i="8"/>
  <c r="AO199" i="8"/>
  <c r="AJ200" i="8"/>
  <c r="AE201" i="8"/>
  <c r="AM201" i="8"/>
  <c r="AH202" i="8"/>
  <c r="AP202" i="8"/>
  <c r="AK203" i="8"/>
  <c r="AF204" i="8"/>
  <c r="AN204" i="8"/>
  <c r="AI205" i="8"/>
  <c r="AJ206" i="8"/>
  <c r="AL207" i="8"/>
  <c r="AJ208" i="8"/>
  <c r="AN209" i="8"/>
  <c r="AN210" i="8"/>
  <c r="AK211" i="8"/>
  <c r="AK212" i="8"/>
  <c r="AL213" i="8"/>
  <c r="AE215" i="8"/>
  <c r="AJ217" i="8"/>
  <c r="AF218" i="8"/>
  <c r="AK219" i="8"/>
  <c r="AF220" i="8"/>
  <c r="AL221" i="8"/>
  <c r="AM223" i="8"/>
  <c r="AH224" i="8"/>
  <c r="AI226" i="8"/>
  <c r="AD227" i="8"/>
  <c r="AM228" i="8"/>
  <c r="AL229" i="8"/>
  <c r="AP230" i="8"/>
  <c r="AD231" i="8"/>
  <c r="AH232" i="8"/>
  <c r="AO233" i="8"/>
  <c r="AH234" i="8"/>
  <c r="AL236" i="8"/>
  <c r="AK237" i="8"/>
  <c r="AI238" i="8"/>
  <c r="AH239" i="8"/>
  <c r="AE241" i="8"/>
  <c r="AD242" i="8"/>
  <c r="AP250" i="8"/>
  <c r="AL251" i="8"/>
  <c r="AF255" i="8"/>
  <c r="AM258" i="8"/>
  <c r="AD260" i="8"/>
  <c r="AM261" i="8"/>
  <c r="AD265" i="8"/>
  <c r="AJ270" i="8"/>
  <c r="AP272" i="8"/>
  <c r="AI275" i="8"/>
  <c r="AO277" i="8"/>
  <c r="AH280" i="8"/>
  <c r="AN282" i="8"/>
  <c r="AM287" i="8"/>
  <c r="AF290" i="8"/>
  <c r="AL292" i="8"/>
  <c r="AE295" i="8"/>
  <c r="AK297" i="8"/>
  <c r="AD300" i="8"/>
  <c r="AJ302" i="8"/>
  <c r="AP304" i="8"/>
  <c r="AI307" i="8"/>
  <c r="AO309" i="8"/>
  <c r="AH312" i="8"/>
  <c r="AN314" i="8"/>
  <c r="AM319" i="8"/>
  <c r="AF322" i="8"/>
  <c r="AL324" i="8"/>
  <c r="AE327" i="8"/>
  <c r="AO329" i="8"/>
  <c r="AM332" i="8"/>
  <c r="AD336" i="8"/>
  <c r="AH339" i="8"/>
  <c r="AK342" i="8"/>
  <c r="AO345" i="8"/>
  <c r="AF349" i="8"/>
  <c r="AI352" i="8"/>
  <c r="AM355" i="8"/>
  <c r="AN359" i="8"/>
  <c r="AE364" i="8"/>
  <c r="AK369" i="8"/>
  <c r="AK374" i="8"/>
  <c r="AF140" i="8"/>
  <c r="AN140" i="8"/>
  <c r="AJ141" i="8"/>
  <c r="AE142" i="8"/>
  <c r="AM142" i="8"/>
  <c r="AH143" i="8"/>
  <c r="AP143" i="8"/>
  <c r="AK144" i="8"/>
  <c r="AF145" i="8"/>
  <c r="AN145" i="8"/>
  <c r="AI146" i="8"/>
  <c r="AD147" i="8"/>
  <c r="AL147" i="8"/>
  <c r="AO148" i="8"/>
  <c r="AJ149" i="8"/>
  <c r="AE150" i="8"/>
  <c r="AM150" i="8"/>
  <c r="AH151" i="8"/>
  <c r="AP151" i="8"/>
  <c r="AK152" i="8"/>
  <c r="AF153" i="8"/>
  <c r="AN153" i="8"/>
  <c r="AI154" i="8"/>
  <c r="AD155" i="8"/>
  <c r="AL155" i="8"/>
  <c r="AO156" i="8"/>
  <c r="AJ157" i="8"/>
  <c r="AE158" i="8"/>
  <c r="AM158" i="8"/>
  <c r="AH159" i="8"/>
  <c r="AP159" i="8"/>
  <c r="AK160" i="8"/>
  <c r="AF161" i="8"/>
  <c r="AN161" i="8"/>
  <c r="AI162" i="8"/>
  <c r="AD163" i="8"/>
  <c r="AL163" i="8"/>
  <c r="AO164" i="8"/>
  <c r="AJ165" i="8"/>
  <c r="AE166" i="8"/>
  <c r="AM166" i="8"/>
  <c r="AH167" i="8"/>
  <c r="AP167" i="8"/>
  <c r="AK168" i="8"/>
  <c r="AF169" i="8"/>
  <c r="AN169" i="8"/>
  <c r="AI170" i="8"/>
  <c r="AD171" i="8"/>
  <c r="AL171" i="8"/>
  <c r="AO172" i="8"/>
  <c r="AJ173" i="8"/>
  <c r="AE174" i="8"/>
  <c r="AM174" i="8"/>
  <c r="AH175" i="8"/>
  <c r="AP175" i="8"/>
  <c r="AK176" i="8"/>
  <c r="AF177" i="8"/>
  <c r="AN177" i="8"/>
  <c r="AI178" i="8"/>
  <c r="AD179" i="8"/>
  <c r="AL179" i="8"/>
  <c r="AO180" i="8"/>
  <c r="AJ181" i="8"/>
  <c r="AE182" i="8"/>
  <c r="AM182" i="8"/>
  <c r="AH183" i="8"/>
  <c r="AP183" i="8"/>
  <c r="AK184" i="8"/>
  <c r="AF185" i="8"/>
  <c r="AN185" i="8"/>
  <c r="AI186" i="8"/>
  <c r="AD187" i="8"/>
  <c r="AL187" i="8"/>
  <c r="AO188" i="8"/>
  <c r="AJ189" i="8"/>
  <c r="AE190" i="8"/>
  <c r="AM190" i="8"/>
  <c r="AH191" i="8"/>
  <c r="AP191" i="8"/>
  <c r="AK192" i="8"/>
  <c r="AF193" i="8"/>
  <c r="AN193" i="8"/>
  <c r="AI194" i="8"/>
  <c r="AD195" i="8"/>
  <c r="AL195" i="8"/>
  <c r="AO196" i="8"/>
  <c r="AJ197" i="8"/>
  <c r="AE198" i="8"/>
  <c r="AM198" i="8"/>
  <c r="AH199" i="8"/>
  <c r="AP199" i="8"/>
  <c r="AK200" i="8"/>
  <c r="AF201" i="8"/>
  <c r="AN201" i="8"/>
  <c r="AI202" i="8"/>
  <c r="AD203" i="8"/>
  <c r="AL203" i="8"/>
  <c r="AO204" i="8"/>
  <c r="AJ205" i="8"/>
  <c r="AK206" i="8"/>
  <c r="AD207" i="8"/>
  <c r="AM207" i="8"/>
  <c r="AK208" i="8"/>
  <c r="AD209" i="8"/>
  <c r="AO210" i="8"/>
  <c r="AO211" i="8"/>
  <c r="AL212" i="8"/>
  <c r="AM213" i="8"/>
  <c r="AK214" i="8"/>
  <c r="AF215" i="8"/>
  <c r="AD216" i="8"/>
  <c r="AK217" i="8"/>
  <c r="AL219" i="8"/>
  <c r="AM221" i="8"/>
  <c r="AH222" i="8"/>
  <c r="AI224" i="8"/>
  <c r="AD225" i="8"/>
  <c r="AM226" i="8"/>
  <c r="AE227" i="8"/>
  <c r="AN228" i="8"/>
  <c r="AM229" i="8"/>
  <c r="AE231" i="8"/>
  <c r="AI232" i="8"/>
  <c r="AP233" i="8"/>
  <c r="AI234" i="8"/>
  <c r="AM236" i="8"/>
  <c r="AL237" i="8"/>
  <c r="AJ238" i="8"/>
  <c r="AI239" i="8"/>
  <c r="AH240" i="8"/>
  <c r="AF241" i="8"/>
  <c r="AE242" i="8"/>
  <c r="AD243" i="8"/>
  <c r="AM251" i="8"/>
  <c r="AI252" i="8"/>
  <c r="AH255" i="8"/>
  <c r="AF257" i="8"/>
  <c r="AO258" i="8"/>
  <c r="AE260" i="8"/>
  <c r="AN261" i="8"/>
  <c r="AF265" i="8"/>
  <c r="AL270" i="8"/>
  <c r="AE273" i="8"/>
  <c r="AK275" i="8"/>
  <c r="AD278" i="8"/>
  <c r="AJ280" i="8"/>
  <c r="AP282" i="8"/>
  <c r="AI285" i="8"/>
  <c r="AO287" i="8"/>
  <c r="AH290" i="8"/>
  <c r="AN292" i="8"/>
  <c r="AM297" i="8"/>
  <c r="AF300" i="8"/>
  <c r="AL302" i="8"/>
  <c r="AE305" i="8"/>
  <c r="AK307" i="8"/>
  <c r="AD310" i="8"/>
  <c r="AJ312" i="8"/>
  <c r="AP314" i="8"/>
  <c r="AI317" i="8"/>
  <c r="AO319" i="8"/>
  <c r="AH322" i="8"/>
  <c r="AN324" i="8"/>
  <c r="AD330" i="8"/>
  <c r="AP332" i="8"/>
  <c r="AJ339" i="8"/>
  <c r="AN342" i="8"/>
  <c r="AE346" i="8"/>
  <c r="AH349" i="8"/>
  <c r="AL352" i="8"/>
  <c r="AP355" i="8"/>
  <c r="AD360" i="8"/>
  <c r="AL364" i="8"/>
  <c r="AL369" i="8"/>
  <c r="AN374" i="8"/>
  <c r="AD144" i="8"/>
  <c r="AL144" i="8"/>
  <c r="AO145" i="8"/>
  <c r="AJ146" i="8"/>
  <c r="AE147" i="8"/>
  <c r="AM147" i="8"/>
  <c r="AH148" i="8"/>
  <c r="AP148" i="8"/>
  <c r="AK149" i="8"/>
  <c r="AF150" i="8"/>
  <c r="AN150" i="8"/>
  <c r="AI151" i="8"/>
  <c r="AD152" i="8"/>
  <c r="AL152" i="8"/>
  <c r="AO153" i="8"/>
  <c r="AJ154" i="8"/>
  <c r="AE155" i="8"/>
  <c r="AM155" i="8"/>
  <c r="AH156" i="8"/>
  <c r="AP156" i="8"/>
  <c r="AK157" i="8"/>
  <c r="AF158" i="8"/>
  <c r="AN158" i="8"/>
  <c r="AI159" i="8"/>
  <c r="AD160" i="8"/>
  <c r="AL160" i="8"/>
  <c r="AO161" i="8"/>
  <c r="AJ162" i="8"/>
  <c r="AE163" i="8"/>
  <c r="AM163" i="8"/>
  <c r="AH164" i="8"/>
  <c r="AP164" i="8"/>
  <c r="AK165" i="8"/>
  <c r="AF166" i="8"/>
  <c r="AN166" i="8"/>
  <c r="AI167" i="8"/>
  <c r="AD168" i="8"/>
  <c r="AL168" i="8"/>
  <c r="AO169" i="8"/>
  <c r="AJ170" i="8"/>
  <c r="AE171" i="8"/>
  <c r="AM171" i="8"/>
  <c r="AH172" i="8"/>
  <c r="AP172" i="8"/>
  <c r="AK173" i="8"/>
  <c r="AF174" i="8"/>
  <c r="AN174" i="8"/>
  <c r="AI175" i="8"/>
  <c r="AD176" i="8"/>
  <c r="AL176" i="8"/>
  <c r="AO177" i="8"/>
  <c r="AJ178" i="8"/>
  <c r="AE179" i="8"/>
  <c r="AM179" i="8"/>
  <c r="AH180" i="8"/>
  <c r="AP180" i="8"/>
  <c r="AK181" i="8"/>
  <c r="AF182" i="8"/>
  <c r="AN182" i="8"/>
  <c r="AI183" i="8"/>
  <c r="AD184" i="8"/>
  <c r="AL184" i="8"/>
  <c r="AO185" i="8"/>
  <c r="AJ186" i="8"/>
  <c r="AE187" i="8"/>
  <c r="AM187" i="8"/>
  <c r="AH188" i="8"/>
  <c r="AP188" i="8"/>
  <c r="AK189" i="8"/>
  <c r="AF190" i="8"/>
  <c r="AN190" i="8"/>
  <c r="AI191" i="8"/>
  <c r="AD192" i="8"/>
  <c r="AL192" i="8"/>
  <c r="AO193" i="8"/>
  <c r="AJ194" i="8"/>
  <c r="AE195" i="8"/>
  <c r="AM195" i="8"/>
  <c r="AH196" i="8"/>
  <c r="AP196" i="8"/>
  <c r="AK197" i="8"/>
  <c r="AF198" i="8"/>
  <c r="AN198" i="8"/>
  <c r="AI199" i="8"/>
  <c r="AD200" i="8"/>
  <c r="AL200" i="8"/>
  <c r="AO201" i="8"/>
  <c r="AJ202" i="8"/>
  <c r="AE203" i="8"/>
  <c r="AM203" i="8"/>
  <c r="AH204" i="8"/>
  <c r="AP204" i="8"/>
  <c r="AK205" i="8"/>
  <c r="AL206" i="8"/>
  <c r="AE207" i="8"/>
  <c r="AN207" i="8"/>
  <c r="AN208" i="8"/>
  <c r="AE209" i="8"/>
  <c r="AE210" i="8"/>
  <c r="AP210" i="8"/>
  <c r="AP211" i="8"/>
  <c r="AM212" i="8"/>
  <c r="AN213" i="8"/>
  <c r="AL214" i="8"/>
  <c r="AJ215" i="8"/>
  <c r="AE216" i="8"/>
  <c r="AO217" i="8"/>
  <c r="AH218" i="8"/>
  <c r="AM219" i="8"/>
  <c r="AH220" i="8"/>
  <c r="AI222" i="8"/>
  <c r="AD223" i="8"/>
  <c r="AM224" i="8"/>
  <c r="AE225" i="8"/>
  <c r="AN226" i="8"/>
  <c r="AI227" i="8"/>
  <c r="AO228" i="8"/>
  <c r="AF230" i="8"/>
  <c r="AJ231" i="8"/>
  <c r="AN232" i="8"/>
  <c r="AD233" i="8"/>
  <c r="AO234" i="8"/>
  <c r="AP239" i="8"/>
  <c r="AO240" i="8"/>
  <c r="AM241" i="8"/>
  <c r="AL242" i="8"/>
  <c r="AK243" i="8"/>
  <c r="AI244" i="8"/>
  <c r="AH245" i="8"/>
  <c r="AF247" i="8"/>
  <c r="AE248" i="8"/>
  <c r="AD249" i="8"/>
  <c r="AN251" i="8"/>
  <c r="AJ252" i="8"/>
  <c r="AI253" i="8"/>
  <c r="AJ254" i="8"/>
  <c r="AI255" i="8"/>
  <c r="AH257" i="8"/>
  <c r="AM260" i="8"/>
  <c r="AD264" i="8"/>
  <c r="AH265" i="8"/>
  <c r="AN270" i="8"/>
  <c r="AM275" i="8"/>
  <c r="AF278" i="8"/>
  <c r="AL280" i="8"/>
  <c r="AE283" i="8"/>
  <c r="AK285" i="8"/>
  <c r="AD288" i="8"/>
  <c r="AJ290" i="8"/>
  <c r="AP292" i="8"/>
  <c r="AI295" i="8"/>
  <c r="AO297" i="8"/>
  <c r="AH300" i="8"/>
  <c r="AN302" i="8"/>
  <c r="AM307" i="8"/>
  <c r="AF310" i="8"/>
  <c r="AL312" i="8"/>
  <c r="AE315" i="8"/>
  <c r="AK317" i="8"/>
  <c r="AD320" i="8"/>
  <c r="AJ322" i="8"/>
  <c r="AP324" i="8"/>
  <c r="AI327" i="8"/>
  <c r="AF330" i="8"/>
  <c r="AF333" i="8"/>
  <c r="AI336" i="8"/>
  <c r="AM339" i="8"/>
  <c r="AD343" i="8"/>
  <c r="AK349" i="8"/>
  <c r="AO352" i="8"/>
  <c r="AE356" i="8"/>
  <c r="AK360" i="8"/>
  <c r="AM364" i="8"/>
  <c r="AO369" i="8"/>
  <c r="AF206" i="8"/>
  <c r="AN206" i="8"/>
  <c r="AI207" i="8"/>
  <c r="AD208" i="8"/>
  <c r="AL208" i="8"/>
  <c r="AO209" i="8"/>
  <c r="AJ210" i="8"/>
  <c r="AD211" i="8"/>
  <c r="AL211" i="8"/>
  <c r="AF212" i="8"/>
  <c r="AN212" i="8"/>
  <c r="AH213" i="8"/>
  <c r="AP213" i="8"/>
  <c r="AH214" i="8"/>
  <c r="AP214" i="8"/>
  <c r="AO215" i="8"/>
  <c r="AF216" i="8"/>
  <c r="AN216" i="8"/>
  <c r="AD217" i="8"/>
  <c r="AL217" i="8"/>
  <c r="AJ218" i="8"/>
  <c r="AF219" i="8"/>
  <c r="AN219" i="8"/>
  <c r="AJ220" i="8"/>
  <c r="AF221" i="8"/>
  <c r="AN221" i="8"/>
  <c r="AJ222" i="8"/>
  <c r="AF223" i="8"/>
  <c r="AN223" i="8"/>
  <c r="AJ224" i="8"/>
  <c r="AF225" i="8"/>
  <c r="AN225" i="8"/>
  <c r="AJ226" i="8"/>
  <c r="AF227" i="8"/>
  <c r="AN227" i="8"/>
  <c r="AJ228" i="8"/>
  <c r="AF229" i="8"/>
  <c r="AN229" i="8"/>
  <c r="AJ230" i="8"/>
  <c r="AF231" i="8"/>
  <c r="AN231" i="8"/>
  <c r="AJ232" i="8"/>
  <c r="AH233" i="8"/>
  <c r="AJ234" i="8"/>
  <c r="AL235" i="8"/>
  <c r="AD236" i="8"/>
  <c r="AO236" i="8"/>
  <c r="AM237" i="8"/>
  <c r="AL238" i="8"/>
  <c r="AK239" i="8"/>
  <c r="AI240" i="8"/>
  <c r="AH241" i="8"/>
  <c r="AE243" i="8"/>
  <c r="AP243" i="8"/>
  <c r="AD244" i="8"/>
  <c r="AO244" i="8"/>
  <c r="AM245" i="8"/>
  <c r="AL246" i="8"/>
  <c r="AL247" i="8"/>
  <c r="AJ248" i="8"/>
  <c r="AI249" i="8"/>
  <c r="AH250" i="8"/>
  <c r="AF251" i="8"/>
  <c r="AN252" i="8"/>
  <c r="AM253" i="8"/>
  <c r="AP254" i="8"/>
  <c r="AK255" i="8"/>
  <c r="AD256" i="8"/>
  <c r="AM257" i="8"/>
  <c r="AE258" i="8"/>
  <c r="AN259" i="8"/>
  <c r="AP261" i="8"/>
  <c r="AI262" i="8"/>
  <c r="AD263" i="8"/>
  <c r="AK264" i="8"/>
  <c r="AK265" i="8"/>
  <c r="AE271" i="8"/>
  <c r="AH272" i="8"/>
  <c r="AK273" i="8"/>
  <c r="AN274" i="8"/>
  <c r="AD276" i="8"/>
  <c r="AJ278" i="8"/>
  <c r="AM279" i="8"/>
  <c r="AP280" i="8"/>
  <c r="AF282" i="8"/>
  <c r="AI283" i="8"/>
  <c r="AL284" i="8"/>
  <c r="AO285" i="8"/>
  <c r="AE287" i="8"/>
  <c r="AH288" i="8"/>
  <c r="AK289" i="8"/>
  <c r="AN290" i="8"/>
  <c r="AD292" i="8"/>
  <c r="AJ294" i="8"/>
  <c r="AM295" i="8"/>
  <c r="AP296" i="8"/>
  <c r="AF298" i="8"/>
  <c r="AI299" i="8"/>
  <c r="AL300" i="8"/>
  <c r="AO301" i="8"/>
  <c r="AE303" i="8"/>
  <c r="AH304" i="8"/>
  <c r="AK305" i="8"/>
  <c r="AN306" i="8"/>
  <c r="AD308" i="8"/>
  <c r="AJ310" i="8"/>
  <c r="AM311" i="8"/>
  <c r="AP312" i="8"/>
  <c r="AF314" i="8"/>
  <c r="AI315" i="8"/>
  <c r="AL316" i="8"/>
  <c r="AO317" i="8"/>
  <c r="AE319" i="8"/>
  <c r="AH320" i="8"/>
  <c r="AK321" i="8"/>
  <c r="AN322" i="8"/>
  <c r="AD324" i="8"/>
  <c r="AJ326" i="8"/>
  <c r="AM327" i="8"/>
  <c r="AF329" i="8"/>
  <c r="AK330" i="8"/>
  <c r="AP331" i="8"/>
  <c r="AK333" i="8"/>
  <c r="AF335" i="8"/>
  <c r="AO336" i="8"/>
  <c r="AJ338" i="8"/>
  <c r="AE340" i="8"/>
  <c r="AN341" i="8"/>
  <c r="AI343" i="8"/>
  <c r="AD345" i="8"/>
  <c r="AM346" i="8"/>
  <c r="AH348" i="8"/>
  <c r="AP349" i="8"/>
  <c r="AL351" i="8"/>
  <c r="AO354" i="8"/>
  <c r="AK356" i="8"/>
  <c r="AP358" i="8"/>
  <c r="AO360" i="8"/>
  <c r="AE363" i="8"/>
  <c r="AK365" i="8"/>
  <c r="AP367" i="8"/>
  <c r="AL370" i="8"/>
  <c r="AJ373" i="8"/>
  <c r="AE208" i="8"/>
  <c r="AM208" i="8"/>
  <c r="AH209" i="8"/>
  <c r="AP209" i="8"/>
  <c r="AK210" i="8"/>
  <c r="AE211" i="8"/>
  <c r="AM211" i="8"/>
  <c r="AO212" i="8"/>
  <c r="AI213" i="8"/>
  <c r="AI214" i="8"/>
  <c r="AH215" i="8"/>
  <c r="AP215" i="8"/>
  <c r="AO216" i="8"/>
  <c r="AE217" i="8"/>
  <c r="AM217" i="8"/>
  <c r="AK218" i="8"/>
  <c r="AO219" i="8"/>
  <c r="AK220" i="8"/>
  <c r="AO221" i="8"/>
  <c r="AK222" i="8"/>
  <c r="AO223" i="8"/>
  <c r="AK224" i="8"/>
  <c r="AO225" i="8"/>
  <c r="AK226" i="8"/>
  <c r="AO227" i="8"/>
  <c r="AK228" i="8"/>
  <c r="AO229" i="8"/>
  <c r="AK230" i="8"/>
  <c r="AO231" i="8"/>
  <c r="AK232" i="8"/>
  <c r="AI233" i="8"/>
  <c r="AK234" i="8"/>
  <c r="AD235" i="8"/>
  <c r="AM235" i="8"/>
  <c r="AE236" i="8"/>
  <c r="AP236" i="8"/>
  <c r="AD237" i="8"/>
  <c r="AN237" i="8"/>
  <c r="AM238" i="8"/>
  <c r="AL239" i="8"/>
  <c r="AJ240" i="8"/>
  <c r="AI241" i="8"/>
  <c r="AH242" i="8"/>
  <c r="AF243" i="8"/>
  <c r="AE244" i="8"/>
  <c r="AP244" i="8"/>
  <c r="AD245" i="8"/>
  <c r="AN245" i="8"/>
  <c r="AM246" i="8"/>
  <c r="AM247" i="8"/>
  <c r="AK248" i="8"/>
  <c r="AJ249" i="8"/>
  <c r="AI250" i="8"/>
  <c r="AE252" i="8"/>
  <c r="AP252" i="8"/>
  <c r="AD253" i="8"/>
  <c r="AN253" i="8"/>
  <c r="AE254" i="8"/>
  <c r="AM255" i="8"/>
  <c r="AE256" i="8"/>
  <c r="AN257" i="8"/>
  <c r="AP259" i="8"/>
  <c r="AI260" i="8"/>
  <c r="AE261" i="8"/>
  <c r="AJ262" i="8"/>
  <c r="AF263" i="8"/>
  <c r="AL264" i="8"/>
  <c r="AL265" i="8"/>
  <c r="AD270" i="8"/>
  <c r="AJ272" i="8"/>
  <c r="AM273" i="8"/>
  <c r="AP274" i="8"/>
  <c r="AF276" i="8"/>
  <c r="AI277" i="8"/>
  <c r="AL278" i="8"/>
  <c r="AO279" i="8"/>
  <c r="AE281" i="8"/>
  <c r="AH282" i="8"/>
  <c r="AK283" i="8"/>
  <c r="AN284" i="8"/>
  <c r="AD286" i="8"/>
  <c r="AJ288" i="8"/>
  <c r="AM289" i="8"/>
  <c r="AP290" i="8"/>
  <c r="AF292" i="8"/>
  <c r="AI293" i="8"/>
  <c r="AL294" i="8"/>
  <c r="AO295" i="8"/>
  <c r="AE297" i="8"/>
  <c r="AH298" i="8"/>
  <c r="AK299" i="8"/>
  <c r="AN300" i="8"/>
  <c r="AD302" i="8"/>
  <c r="AJ304" i="8"/>
  <c r="AM305" i="8"/>
  <c r="AP306" i="8"/>
  <c r="AF308" i="8"/>
  <c r="AI309" i="8"/>
  <c r="AL310" i="8"/>
  <c r="AO311" i="8"/>
  <c r="AE313" i="8"/>
  <c r="AH314" i="8"/>
  <c r="AK315" i="8"/>
  <c r="AN316" i="8"/>
  <c r="AD318" i="8"/>
  <c r="AJ320" i="8"/>
  <c r="AM321" i="8"/>
  <c r="AP322" i="8"/>
  <c r="AF324" i="8"/>
  <c r="AI325" i="8"/>
  <c r="AL326" i="8"/>
  <c r="AP327" i="8"/>
  <c r="AH329" i="8"/>
  <c r="AM330" i="8"/>
  <c r="AE332" i="8"/>
  <c r="AN333" i="8"/>
  <c r="AI335" i="8"/>
  <c r="AD337" i="8"/>
  <c r="AM338" i="8"/>
  <c r="AH340" i="8"/>
  <c r="AP341" i="8"/>
  <c r="AL343" i="8"/>
  <c r="AO346" i="8"/>
  <c r="AK348" i="8"/>
  <c r="AF350" i="8"/>
  <c r="AN351" i="8"/>
  <c r="AJ353" i="8"/>
  <c r="AE355" i="8"/>
  <c r="AM356" i="8"/>
  <c r="AD359" i="8"/>
  <c r="AI361" i="8"/>
  <c r="AH363" i="8"/>
  <c r="AM365" i="8"/>
  <c r="AK368" i="8"/>
  <c r="AO370" i="8"/>
  <c r="AK373" i="8"/>
  <c r="AI209" i="8"/>
  <c r="AD210" i="8"/>
  <c r="AL210" i="8"/>
  <c r="AF211" i="8"/>
  <c r="AN211" i="8"/>
  <c r="AH212" i="8"/>
  <c r="AP212" i="8"/>
  <c r="AJ213" i="8"/>
  <c r="AJ214" i="8"/>
  <c r="AI215" i="8"/>
  <c r="AH216" i="8"/>
  <c r="AP216" i="8"/>
  <c r="AF217" i="8"/>
  <c r="AN217" i="8"/>
  <c r="AD218" i="8"/>
  <c r="AL218" i="8"/>
  <c r="AH219" i="8"/>
  <c r="AP219" i="8"/>
  <c r="AD220" i="8"/>
  <c r="AL220" i="8"/>
  <c r="AH221" i="8"/>
  <c r="AP221" i="8"/>
  <c r="AD222" i="8"/>
  <c r="AL222" i="8"/>
  <c r="AH223" i="8"/>
  <c r="AP223" i="8"/>
  <c r="AD224" i="8"/>
  <c r="AL224" i="8"/>
  <c r="AH225" i="8"/>
  <c r="AP225" i="8"/>
  <c r="AD226" i="8"/>
  <c r="AL226" i="8"/>
  <c r="AH227" i="8"/>
  <c r="AP227" i="8"/>
  <c r="AD228" i="8"/>
  <c r="AL228" i="8"/>
  <c r="AH229" i="8"/>
  <c r="AP229" i="8"/>
  <c r="AD230" i="8"/>
  <c r="AL230" i="8"/>
  <c r="AH231" i="8"/>
  <c r="AP231" i="8"/>
  <c r="AD232" i="8"/>
  <c r="AL232" i="8"/>
  <c r="AK233" i="8"/>
  <c r="AL234" i="8"/>
  <c r="AE235" i="8"/>
  <c r="AN235" i="8"/>
  <c r="AE237" i="8"/>
  <c r="AP237" i="8"/>
  <c r="AD238" i="8"/>
  <c r="AO238" i="8"/>
  <c r="AM239" i="8"/>
  <c r="AL240" i="8"/>
  <c r="AK241" i="8"/>
  <c r="AI242" i="8"/>
  <c r="AH243" i="8"/>
  <c r="AE245" i="8"/>
  <c r="AP245" i="8"/>
  <c r="AD246" i="8"/>
  <c r="AO246" i="8"/>
  <c r="AD247" i="8"/>
  <c r="AN247" i="8"/>
  <c r="AM248" i="8"/>
  <c r="AL249" i="8"/>
  <c r="AJ250" i="8"/>
  <c r="AI251" i="8"/>
  <c r="AF252" i="8"/>
  <c r="AE253" i="8"/>
  <c r="AO253" i="8"/>
  <c r="AF254" i="8"/>
  <c r="AN255" i="8"/>
  <c r="AP257" i="8"/>
  <c r="AI258" i="8"/>
  <c r="AE259" i="8"/>
  <c r="AJ260" i="8"/>
  <c r="AF261" i="8"/>
  <c r="AL262" i="8"/>
  <c r="AN264" i="8"/>
  <c r="AN265" i="8"/>
  <c r="AF270" i="8"/>
  <c r="AI271" i="8"/>
  <c r="AL272" i="8"/>
  <c r="AO273" i="8"/>
  <c r="AE275" i="8"/>
  <c r="AH276" i="8"/>
  <c r="AK277" i="8"/>
  <c r="AN278" i="8"/>
  <c r="AD280" i="8"/>
  <c r="AJ282" i="8"/>
  <c r="AM283" i="8"/>
  <c r="AP284" i="8"/>
  <c r="AF286" i="8"/>
  <c r="AI287" i="8"/>
  <c r="AL288" i="8"/>
  <c r="AO289" i="8"/>
  <c r="AE291" i="8"/>
  <c r="AH292" i="8"/>
  <c r="AK293" i="8"/>
  <c r="AN294" i="8"/>
  <c r="AD296" i="8"/>
  <c r="AJ298" i="8"/>
  <c r="AM299" i="8"/>
  <c r="AP300" i="8"/>
  <c r="AF302" i="8"/>
  <c r="AI303" i="8"/>
  <c r="AL304" i="8"/>
  <c r="AO305" i="8"/>
  <c r="AE307" i="8"/>
  <c r="AH308" i="8"/>
  <c r="AK309" i="8"/>
  <c r="AN310" i="8"/>
  <c r="AD312" i="8"/>
  <c r="AJ314" i="8"/>
  <c r="AM315" i="8"/>
  <c r="AP316" i="8"/>
  <c r="AF318" i="8"/>
  <c r="AI319" i="8"/>
  <c r="AL320" i="8"/>
  <c r="AO321" i="8"/>
  <c r="AE323" i="8"/>
  <c r="AH324" i="8"/>
  <c r="AK325" i="8"/>
  <c r="AN326" i="8"/>
  <c r="AE328" i="8"/>
  <c r="AJ329" i="8"/>
  <c r="AO330" i="8"/>
  <c r="AH332" i="8"/>
  <c r="AP333" i="8"/>
  <c r="AL335" i="8"/>
  <c r="AO338" i="8"/>
  <c r="AK340" i="8"/>
  <c r="AF342" i="8"/>
  <c r="AN343" i="8"/>
  <c r="AJ345" i="8"/>
  <c r="AE347" i="8"/>
  <c r="AM348" i="8"/>
  <c r="AI350" i="8"/>
  <c r="AD352" i="8"/>
  <c r="AL353" i="8"/>
  <c r="AH355" i="8"/>
  <c r="AF359" i="8"/>
  <c r="AJ361" i="8"/>
  <c r="AO363" i="8"/>
  <c r="AP365" i="8"/>
  <c r="AL368" i="8"/>
  <c r="AJ371" i="8"/>
  <c r="AO373" i="8"/>
  <c r="AI229" i="8"/>
  <c r="AE230" i="8"/>
  <c r="AM230" i="8"/>
  <c r="AI231" i="8"/>
  <c r="AE232" i="8"/>
  <c r="AM232" i="8"/>
  <c r="AL233" i="8"/>
  <c r="AD234" i="8"/>
  <c r="AM234" i="8"/>
  <c r="AF235" i="8"/>
  <c r="AO235" i="8"/>
  <c r="AH236" i="8"/>
  <c r="AF237" i="8"/>
  <c r="AE238" i="8"/>
  <c r="AP238" i="8"/>
  <c r="AD239" i="8"/>
  <c r="AN239" i="8"/>
  <c r="AM240" i="8"/>
  <c r="AL241" i="8"/>
  <c r="AJ242" i="8"/>
  <c r="AI243" i="8"/>
  <c r="AH244" i="8"/>
  <c r="AF245" i="8"/>
  <c r="AE246" i="8"/>
  <c r="AP246" i="8"/>
  <c r="AE247" i="8"/>
  <c r="AO247" i="8"/>
  <c r="AN248" i="8"/>
  <c r="AM249" i="8"/>
  <c r="AK250" i="8"/>
  <c r="AJ251" i="8"/>
  <c r="AH252" i="8"/>
  <c r="AF253" i="8"/>
  <c r="AH254" i="8"/>
  <c r="AP255" i="8"/>
  <c r="AI256" i="8"/>
  <c r="AE257" i="8"/>
  <c r="AJ258" i="8"/>
  <c r="AF259" i="8"/>
  <c r="AL260" i="8"/>
  <c r="AH261" i="8"/>
  <c r="AM262" i="8"/>
  <c r="AI263" i="8"/>
  <c r="AO264" i="8"/>
  <c r="AP265" i="8"/>
  <c r="AI270" i="8"/>
  <c r="AL271" i="8"/>
  <c r="AO272" i="8"/>
  <c r="AE274" i="8"/>
  <c r="AH275" i="8"/>
  <c r="AK276" i="8"/>
  <c r="AN277" i="8"/>
  <c r="AD279" i="8"/>
  <c r="AJ281" i="8"/>
  <c r="AM282" i="8"/>
  <c r="AP283" i="8"/>
  <c r="AF285" i="8"/>
  <c r="AI286" i="8"/>
  <c r="AL287" i="8"/>
  <c r="AO288" i="8"/>
  <c r="AE290" i="8"/>
  <c r="AH291" i="8"/>
  <c r="AK292" i="8"/>
  <c r="AN293" i="8"/>
  <c r="AD295" i="8"/>
  <c r="AJ297" i="8"/>
  <c r="AM298" i="8"/>
  <c r="AP299" i="8"/>
  <c r="AF301" i="8"/>
  <c r="AI302" i="8"/>
  <c r="AL303" i="8"/>
  <c r="AO304" i="8"/>
  <c r="AE306" i="8"/>
  <c r="AH307" i="8"/>
  <c r="AK308" i="8"/>
  <c r="AN309" i="8"/>
  <c r="AD311" i="8"/>
  <c r="AJ313" i="8"/>
  <c r="AM314" i="8"/>
  <c r="AP315" i="8"/>
  <c r="AF317" i="8"/>
  <c r="AI318" i="8"/>
  <c r="AL319" i="8"/>
  <c r="AO320" i="8"/>
  <c r="AE322" i="8"/>
  <c r="AH323" i="8"/>
  <c r="AK324" i="8"/>
  <c r="AN325" i="8"/>
  <c r="AD327" i="8"/>
  <c r="AH328" i="8"/>
  <c r="AN329" i="8"/>
  <c r="AF331" i="8"/>
  <c r="AL332" i="8"/>
  <c r="AH334" i="8"/>
  <c r="AP335" i="8"/>
  <c r="AK337" i="8"/>
  <c r="AO340" i="8"/>
  <c r="AJ342" i="8"/>
  <c r="AF344" i="8"/>
  <c r="AN345" i="8"/>
  <c r="AI347" i="8"/>
  <c r="AE349" i="8"/>
  <c r="AM350" i="8"/>
  <c r="AH352" i="8"/>
  <c r="AD354" i="8"/>
  <c r="AL355" i="8"/>
  <c r="AH357" i="8"/>
  <c r="AM359" i="8"/>
  <c r="AL361" i="8"/>
  <c r="AP363" i="8"/>
  <c r="AK366" i="8"/>
  <c r="AP368" i="8"/>
  <c r="AL371" i="8"/>
  <c r="AJ374" i="8"/>
  <c r="AJ233" i="8"/>
  <c r="AF234" i="8"/>
  <c r="AN234" i="8"/>
  <c r="AJ235" i="8"/>
  <c r="AF236" i="8"/>
  <c r="AN236" i="8"/>
  <c r="AJ237" i="8"/>
  <c r="AF238" i="8"/>
  <c r="AN238" i="8"/>
  <c r="AJ239" i="8"/>
  <c r="AF240" i="8"/>
  <c r="AN240" i="8"/>
  <c r="AJ241" i="8"/>
  <c r="AF242" i="8"/>
  <c r="AN242" i="8"/>
  <c r="AJ243" i="8"/>
  <c r="AF244" i="8"/>
  <c r="AN244" i="8"/>
  <c r="AJ245" i="8"/>
  <c r="AF246" i="8"/>
  <c r="AN246" i="8"/>
  <c r="AK247" i="8"/>
  <c r="AO248" i="8"/>
  <c r="AK249" i="8"/>
  <c r="AO250" i="8"/>
  <c r="AK251" i="8"/>
  <c r="AO252" i="8"/>
  <c r="AK253" i="8"/>
  <c r="AO254" i="8"/>
  <c r="AJ255" i="8"/>
  <c r="AF256" i="8"/>
  <c r="AN256" i="8"/>
  <c r="AJ257" i="8"/>
  <c r="AF258" i="8"/>
  <c r="AN258" i="8"/>
  <c r="AJ259" i="8"/>
  <c r="AF260" i="8"/>
  <c r="AN260" i="8"/>
  <c r="AJ261" i="8"/>
  <c r="AF262" i="8"/>
  <c r="AN262" i="8"/>
  <c r="AK263" i="8"/>
  <c r="AH264" i="8"/>
  <c r="AP264" i="8"/>
  <c r="AE265" i="8"/>
  <c r="AM265" i="8"/>
  <c r="AK270" i="8"/>
  <c r="AF271" i="8"/>
  <c r="AN271" i="8"/>
  <c r="AI272" i="8"/>
  <c r="AD273" i="8"/>
  <c r="AL273" i="8"/>
  <c r="AO274" i="8"/>
  <c r="AJ275" i="8"/>
  <c r="AE276" i="8"/>
  <c r="AM276" i="8"/>
  <c r="AH277" i="8"/>
  <c r="AP277" i="8"/>
  <c r="AK278" i="8"/>
  <c r="AF279" i="8"/>
  <c r="AN279" i="8"/>
  <c r="AI280" i="8"/>
  <c r="AD281" i="8"/>
  <c r="AL281" i="8"/>
  <c r="AO282" i="8"/>
  <c r="AJ283" i="8"/>
  <c r="AE284" i="8"/>
  <c r="AM284" i="8"/>
  <c r="AH285" i="8"/>
  <c r="AP285" i="8"/>
  <c r="AK286" i="8"/>
  <c r="AF287" i="8"/>
  <c r="AN287" i="8"/>
  <c r="AI288" i="8"/>
  <c r="AD289" i="8"/>
  <c r="AL289" i="8"/>
  <c r="AO290" i="8"/>
  <c r="AJ291" i="8"/>
  <c r="AE292" i="8"/>
  <c r="AM292" i="8"/>
  <c r="AH293" i="8"/>
  <c r="AP293" i="8"/>
  <c r="AK294" i="8"/>
  <c r="AF295" i="8"/>
  <c r="AN295" i="8"/>
  <c r="AI296" i="8"/>
  <c r="AD297" i="8"/>
  <c r="AL297" i="8"/>
  <c r="AO298" i="8"/>
  <c r="AJ299" i="8"/>
  <c r="AE300" i="8"/>
  <c r="AM300" i="8"/>
  <c r="AH301" i="8"/>
  <c r="AP301" i="8"/>
  <c r="AK302" i="8"/>
  <c r="AF303" i="8"/>
  <c r="AN303" i="8"/>
  <c r="AI304" i="8"/>
  <c r="AD305" i="8"/>
  <c r="AL305" i="8"/>
  <c r="AO306" i="8"/>
  <c r="AJ307" i="8"/>
  <c r="AE308" i="8"/>
  <c r="AM308" i="8"/>
  <c r="AH309" i="8"/>
  <c r="AP309" i="8"/>
  <c r="AK310" i="8"/>
  <c r="AF311" i="8"/>
  <c r="AN311" i="8"/>
  <c r="AI312" i="8"/>
  <c r="AD313" i="8"/>
  <c r="AL313" i="8"/>
  <c r="AO314" i="8"/>
  <c r="AJ315" i="8"/>
  <c r="AE316" i="8"/>
  <c r="AM316" i="8"/>
  <c r="AH317" i="8"/>
  <c r="AP317" i="8"/>
  <c r="AK318" i="8"/>
  <c r="AF319" i="8"/>
  <c r="AN319" i="8"/>
  <c r="AI320" i="8"/>
  <c r="AD321" i="8"/>
  <c r="AL321" i="8"/>
  <c r="AO322" i="8"/>
  <c r="AJ323" i="8"/>
  <c r="AE324" i="8"/>
  <c r="AM324" i="8"/>
  <c r="AH325" i="8"/>
  <c r="AP325" i="8"/>
  <c r="AK326" i="8"/>
  <c r="AF327" i="8"/>
  <c r="AN327" i="8"/>
  <c r="AK328" i="8"/>
  <c r="AP329" i="8"/>
  <c r="AL330" i="8"/>
  <c r="AH331" i="8"/>
  <c r="AD332" i="8"/>
  <c r="AO332" i="8"/>
  <c r="AM333" i="8"/>
  <c r="AJ334" i="8"/>
  <c r="AH335" i="8"/>
  <c r="AF336" i="8"/>
  <c r="AP336" i="8"/>
  <c r="AN337" i="8"/>
  <c r="AL338" i="8"/>
  <c r="AI339" i="8"/>
  <c r="AE341" i="8"/>
  <c r="AO341" i="8"/>
  <c r="AM342" i="8"/>
  <c r="AK343" i="8"/>
  <c r="AH344" i="8"/>
  <c r="AF345" i="8"/>
  <c r="AD346" i="8"/>
  <c r="AN346" i="8"/>
  <c r="AL347" i="8"/>
  <c r="AJ348" i="8"/>
  <c r="AE350" i="8"/>
  <c r="AP350" i="8"/>
  <c r="AM351" i="8"/>
  <c r="AK352" i="8"/>
  <c r="AI353" i="8"/>
  <c r="AF354" i="8"/>
  <c r="AD355" i="8"/>
  <c r="AO355" i="8"/>
  <c r="AL356" i="8"/>
  <c r="AJ357" i="8"/>
  <c r="AH358" i="8"/>
  <c r="AE359" i="8"/>
  <c r="AP359" i="8"/>
  <c r="AN360" i="8"/>
  <c r="AK361" i="8"/>
  <c r="AI362" i="8"/>
  <c r="AD364" i="8"/>
  <c r="AO364" i="8"/>
  <c r="AO365" i="8"/>
  <c r="AN366" i="8"/>
  <c r="AN367" i="8"/>
  <c r="AN368" i="8"/>
  <c r="AN369" i="8"/>
  <c r="AN370" i="8"/>
  <c r="AM371" i="8"/>
  <c r="AM372" i="8"/>
  <c r="AM373" i="8"/>
  <c r="AM374" i="8"/>
  <c r="AI254" i="8"/>
  <c r="AD255" i="8"/>
  <c r="AL255" i="8"/>
  <c r="AH256" i="8"/>
  <c r="AP256" i="8"/>
  <c r="AD257" i="8"/>
  <c r="AL257" i="8"/>
  <c r="AH258" i="8"/>
  <c r="AP258" i="8"/>
  <c r="AD259" i="8"/>
  <c r="AL259" i="8"/>
  <c r="AH260" i="8"/>
  <c r="AP260" i="8"/>
  <c r="AD261" i="8"/>
  <c r="AL261" i="8"/>
  <c r="AH262" i="8"/>
  <c r="AP262" i="8"/>
  <c r="AE263" i="8"/>
  <c r="AM263" i="8"/>
  <c r="AJ264" i="8"/>
  <c r="AO265" i="8"/>
  <c r="AE270" i="8"/>
  <c r="AM270" i="8"/>
  <c r="AH271" i="8"/>
  <c r="AP271" i="8"/>
  <c r="AK272" i="8"/>
  <c r="AF273" i="8"/>
  <c r="AN273" i="8"/>
  <c r="AI274" i="8"/>
  <c r="AD275" i="8"/>
  <c r="AL275" i="8"/>
  <c r="AO276" i="8"/>
  <c r="AJ277" i="8"/>
  <c r="AE278" i="8"/>
  <c r="AM278" i="8"/>
  <c r="AH279" i="8"/>
  <c r="AP279" i="8"/>
  <c r="AK280" i="8"/>
  <c r="AF281" i="8"/>
  <c r="AN281" i="8"/>
  <c r="AI282" i="8"/>
  <c r="AD283" i="8"/>
  <c r="AL283" i="8"/>
  <c r="AO284" i="8"/>
  <c r="AJ285" i="8"/>
  <c r="AE286" i="8"/>
  <c r="AM286" i="8"/>
  <c r="AH287" i="8"/>
  <c r="AP287" i="8"/>
  <c r="AK288" i="8"/>
  <c r="AF289" i="8"/>
  <c r="AN289" i="8"/>
  <c r="AI290" i="8"/>
  <c r="AD291" i="8"/>
  <c r="AL291" i="8"/>
  <c r="AO292" i="8"/>
  <c r="AJ293" i="8"/>
  <c r="AE294" i="8"/>
  <c r="AM294" i="8"/>
  <c r="AH295" i="8"/>
  <c r="AP295" i="8"/>
  <c r="AK296" i="8"/>
  <c r="AF297" i="8"/>
  <c r="AN297" i="8"/>
  <c r="AI298" i="8"/>
  <c r="AD299" i="8"/>
  <c r="AL299" i="8"/>
  <c r="AO300" i="8"/>
  <c r="AJ301" i="8"/>
  <c r="AE302" i="8"/>
  <c r="AM302" i="8"/>
  <c r="AH303" i="8"/>
  <c r="AP303" i="8"/>
  <c r="AK304" i="8"/>
  <c r="AF305" i="8"/>
  <c r="AN305" i="8"/>
  <c r="AI306" i="8"/>
  <c r="AD307" i="8"/>
  <c r="AL307" i="8"/>
  <c r="AO308" i="8"/>
  <c r="AJ309" i="8"/>
  <c r="AE310" i="8"/>
  <c r="AM310" i="8"/>
  <c r="AH311" i="8"/>
  <c r="AP311" i="8"/>
  <c r="AK312" i="8"/>
  <c r="AF313" i="8"/>
  <c r="AN313" i="8"/>
  <c r="AI314" i="8"/>
  <c r="AD315" i="8"/>
  <c r="AL315" i="8"/>
  <c r="AO316" i="8"/>
  <c r="AJ317" i="8"/>
  <c r="AE318" i="8"/>
  <c r="AM318" i="8"/>
  <c r="AH319" i="8"/>
  <c r="AP319" i="8"/>
  <c r="AK320" i="8"/>
  <c r="AF321" i="8"/>
  <c r="AN321" i="8"/>
  <c r="AI322" i="8"/>
  <c r="AD323" i="8"/>
  <c r="AL323" i="8"/>
  <c r="AO324" i="8"/>
  <c r="AJ325" i="8"/>
  <c r="AE326" i="8"/>
  <c r="AM326" i="8"/>
  <c r="AH327" i="8"/>
  <c r="AD328" i="8"/>
  <c r="AM328" i="8"/>
  <c r="AI329" i="8"/>
  <c r="AE330" i="8"/>
  <c r="AN330" i="8"/>
  <c r="AJ331" i="8"/>
  <c r="AE333" i="8"/>
  <c r="AO333" i="8"/>
  <c r="AM334" i="8"/>
  <c r="AK335" i="8"/>
  <c r="AH336" i="8"/>
  <c r="AF337" i="8"/>
  <c r="AD338" i="8"/>
  <c r="AN338" i="8"/>
  <c r="AL339" i="8"/>
  <c r="AJ340" i="8"/>
  <c r="AE342" i="8"/>
  <c r="AP342" i="8"/>
  <c r="AM343" i="8"/>
  <c r="AK344" i="8"/>
  <c r="AI345" i="8"/>
  <c r="AF346" i="8"/>
  <c r="AD347" i="8"/>
  <c r="AO347" i="8"/>
  <c r="AL348" i="8"/>
  <c r="AJ349" i="8"/>
  <c r="AH350" i="8"/>
  <c r="AE351" i="8"/>
  <c r="AP351" i="8"/>
  <c r="AN352" i="8"/>
  <c r="AK353" i="8"/>
  <c r="AI354" i="8"/>
  <c r="AD356" i="8"/>
  <c r="AO356" i="8"/>
  <c r="AM357" i="8"/>
  <c r="AJ358" i="8"/>
  <c r="AH359" i="8"/>
  <c r="AF360" i="8"/>
  <c r="AP360" i="8"/>
  <c r="AN361" i="8"/>
  <c r="AL362" i="8"/>
  <c r="AI363" i="8"/>
  <c r="AE365" i="8"/>
  <c r="AE366" i="8"/>
  <c r="AE367" i="8"/>
  <c r="AD368" i="8"/>
  <c r="AD369" i="8"/>
  <c r="AD370" i="8"/>
  <c r="AD371" i="8"/>
  <c r="AD372" i="8"/>
  <c r="AP372" i="8"/>
  <c r="AP373" i="8"/>
  <c r="AP374" i="8"/>
  <c r="AP356" i="8"/>
  <c r="AN357" i="8"/>
  <c r="AK358" i="8"/>
  <c r="AI359" i="8"/>
  <c r="AD361" i="8"/>
  <c r="AO361" i="8"/>
  <c r="AM362" i="8"/>
  <c r="AJ363" i="8"/>
  <c r="AH364" i="8"/>
  <c r="AF366" i="8"/>
  <c r="AF367" i="8"/>
  <c r="AF368" i="8"/>
  <c r="AF369" i="8"/>
  <c r="AF370" i="8"/>
  <c r="AE371" i="8"/>
  <c r="AE372" i="8"/>
  <c r="AE373" i="8"/>
  <c r="AE374" i="8"/>
  <c r="AI265" i="8"/>
  <c r="AO270" i="8"/>
  <c r="AJ271" i="8"/>
  <c r="AE272" i="8"/>
  <c r="AM272" i="8"/>
  <c r="AH273" i="8"/>
  <c r="AP273" i="8"/>
  <c r="AK274" i="8"/>
  <c r="AF275" i="8"/>
  <c r="AN275" i="8"/>
  <c r="AI276" i="8"/>
  <c r="AD277" i="8"/>
  <c r="AL277" i="8"/>
  <c r="AO278" i="8"/>
  <c r="AJ279" i="8"/>
  <c r="AE280" i="8"/>
  <c r="AM280" i="8"/>
  <c r="AH281" i="8"/>
  <c r="AP281" i="8"/>
  <c r="AK282" i="8"/>
  <c r="AF283" i="8"/>
  <c r="AN283" i="8"/>
  <c r="AI284" i="8"/>
  <c r="AD285" i="8"/>
  <c r="AL285" i="8"/>
  <c r="AO286" i="8"/>
  <c r="AJ287" i="8"/>
  <c r="AE288" i="8"/>
  <c r="AM288" i="8"/>
  <c r="AH289" i="8"/>
  <c r="AP289" i="8"/>
  <c r="AK290" i="8"/>
  <c r="AF291" i="8"/>
  <c r="AN291" i="8"/>
  <c r="AI292" i="8"/>
  <c r="AD293" i="8"/>
  <c r="AL293" i="8"/>
  <c r="AO294" i="8"/>
  <c r="AJ295" i="8"/>
  <c r="AE296" i="8"/>
  <c r="AM296" i="8"/>
  <c r="AH297" i="8"/>
  <c r="AP297" i="8"/>
  <c r="AK298" i="8"/>
  <c r="AF299" i="8"/>
  <c r="AN299" i="8"/>
  <c r="AI300" i="8"/>
  <c r="AD301" i="8"/>
  <c r="AL301" i="8"/>
  <c r="AO302" i="8"/>
  <c r="AJ303" i="8"/>
  <c r="AE304" i="8"/>
  <c r="AM304" i="8"/>
  <c r="AH305" i="8"/>
  <c r="AP305" i="8"/>
  <c r="AK306" i="8"/>
  <c r="AF307" i="8"/>
  <c r="AN307" i="8"/>
  <c r="AI308" i="8"/>
  <c r="AD309" i="8"/>
  <c r="AL309" i="8"/>
  <c r="AO310" i="8"/>
  <c r="AJ311" i="8"/>
  <c r="AE312" i="8"/>
  <c r="AM312" i="8"/>
  <c r="AH313" i="8"/>
  <c r="AP313" i="8"/>
  <c r="AK314" i="8"/>
  <c r="AF315" i="8"/>
  <c r="AN315" i="8"/>
  <c r="AI316" i="8"/>
  <c r="AD317" i="8"/>
  <c r="AL317" i="8"/>
  <c r="AO318" i="8"/>
  <c r="AJ319" i="8"/>
  <c r="AE320" i="8"/>
  <c r="AM320" i="8"/>
  <c r="AH321" i="8"/>
  <c r="AP321" i="8"/>
  <c r="AK322" i="8"/>
  <c r="AF323" i="8"/>
  <c r="AN323" i="8"/>
  <c r="AI324" i="8"/>
  <c r="AD325" i="8"/>
  <c r="AL325" i="8"/>
  <c r="AO326" i="8"/>
  <c r="AJ327" i="8"/>
  <c r="AF328" i="8"/>
  <c r="AO328" i="8"/>
  <c r="AK329" i="8"/>
  <c r="AD331" i="8"/>
  <c r="AM331" i="8"/>
  <c r="AJ332" i="8"/>
  <c r="AE334" i="8"/>
  <c r="AP334" i="8"/>
  <c r="AM335" i="8"/>
  <c r="AK336" i="8"/>
  <c r="AI337" i="8"/>
  <c r="AF338" i="8"/>
  <c r="AD339" i="8"/>
  <c r="AO339" i="8"/>
  <c r="AL340" i="8"/>
  <c r="AJ341" i="8"/>
  <c r="AH342" i="8"/>
  <c r="AE343" i="8"/>
  <c r="AP343" i="8"/>
  <c r="AN344" i="8"/>
  <c r="AK345" i="8"/>
  <c r="AI346" i="8"/>
  <c r="AD348" i="8"/>
  <c r="AO348" i="8"/>
  <c r="AM349" i="8"/>
  <c r="AJ350" i="8"/>
  <c r="AH351" i="8"/>
  <c r="AF352" i="8"/>
  <c r="AP352" i="8"/>
  <c r="AN353" i="8"/>
  <c r="AL354" i="8"/>
  <c r="AI355" i="8"/>
  <c r="AE357" i="8"/>
  <c r="AO357" i="8"/>
  <c r="AM358" i="8"/>
  <c r="AK359" i="8"/>
  <c r="AH360" i="8"/>
  <c r="AF361" i="8"/>
  <c r="AD362" i="8"/>
  <c r="AN362" i="8"/>
  <c r="AL363" i="8"/>
  <c r="AJ364" i="8"/>
  <c r="AH365" i="8"/>
  <c r="AH366" i="8"/>
  <c r="AH367" i="8"/>
  <c r="AH368" i="8"/>
  <c r="AF374" i="8"/>
  <c r="AK236" i="8"/>
  <c r="AO237" i="8"/>
  <c r="AK238" i="8"/>
  <c r="AO239" i="8"/>
  <c r="AK240" i="8"/>
  <c r="AO241" i="8"/>
  <c r="AK242" i="8"/>
  <c r="AO243" i="8"/>
  <c r="AK244" i="8"/>
  <c r="AO245" i="8"/>
  <c r="AK246" i="8"/>
  <c r="AH247" i="8"/>
  <c r="AP247" i="8"/>
  <c r="AD248" i="8"/>
  <c r="AL248" i="8"/>
  <c r="AH249" i="8"/>
  <c r="AP249" i="8"/>
  <c r="AD250" i="8"/>
  <c r="AL250" i="8"/>
  <c r="AH251" i="8"/>
  <c r="AP251" i="8"/>
  <c r="AD252" i="8"/>
  <c r="AL252" i="8"/>
  <c r="AH253" i="8"/>
  <c r="AP253" i="8"/>
  <c r="AD254" i="8"/>
  <c r="AL254" i="8"/>
  <c r="AO255" i="8"/>
  <c r="AK256" i="8"/>
  <c r="AO257" i="8"/>
  <c r="AK258" i="8"/>
  <c r="AO259" i="8"/>
  <c r="AK260" i="8"/>
  <c r="AO261" i="8"/>
  <c r="AK262" i="8"/>
  <c r="AH263" i="8"/>
  <c r="AP263" i="8"/>
  <c r="AE264" i="8"/>
  <c r="AM264" i="8"/>
  <c r="AJ265" i="8"/>
  <c r="AH270" i="8"/>
  <c r="AP270" i="8"/>
  <c r="AK271" i="8"/>
  <c r="AF272" i="8"/>
  <c r="AN272" i="8"/>
  <c r="AI273" i="8"/>
  <c r="AD274" i="8"/>
  <c r="AL274" i="8"/>
  <c r="AO275" i="8"/>
  <c r="AJ276" i="8"/>
  <c r="AE277" i="8"/>
  <c r="AM277" i="8"/>
  <c r="AH278" i="8"/>
  <c r="AP278" i="8"/>
  <c r="AK279" i="8"/>
  <c r="AF280" i="8"/>
  <c r="AN280" i="8"/>
  <c r="AI281" i="8"/>
  <c r="AD282" i="8"/>
  <c r="AL282" i="8"/>
  <c r="AO283" i="8"/>
  <c r="AJ284" i="8"/>
  <c r="AE285" i="8"/>
  <c r="AM285" i="8"/>
  <c r="AH286" i="8"/>
  <c r="AP286" i="8"/>
  <c r="AK287" i="8"/>
  <c r="AF288" i="8"/>
  <c r="AN288" i="8"/>
  <c r="AI289" i="8"/>
  <c r="AD290" i="8"/>
  <c r="AL290" i="8"/>
  <c r="AO291" i="8"/>
  <c r="AJ292" i="8"/>
  <c r="AE293" i="8"/>
  <c r="AM293" i="8"/>
  <c r="AH294" i="8"/>
  <c r="AP294" i="8"/>
  <c r="AK295" i="8"/>
  <c r="AF296" i="8"/>
  <c r="AN296" i="8"/>
  <c r="AI297" i="8"/>
  <c r="AD298" i="8"/>
  <c r="AL298" i="8"/>
  <c r="AO299" i="8"/>
  <c r="AJ300" i="8"/>
  <c r="AE301" i="8"/>
  <c r="AM301" i="8"/>
  <c r="AH302" i="8"/>
  <c r="AP302" i="8"/>
  <c r="AK303" i="8"/>
  <c r="AF304" i="8"/>
  <c r="AN304" i="8"/>
  <c r="AI305" i="8"/>
  <c r="AD306" i="8"/>
  <c r="AL306" i="8"/>
  <c r="AO307" i="8"/>
  <c r="AJ308" i="8"/>
  <c r="AE309" i="8"/>
  <c r="AM309" i="8"/>
  <c r="AH310" i="8"/>
  <c r="AP310" i="8"/>
  <c r="AK311" i="8"/>
  <c r="AF312" i="8"/>
  <c r="AN312" i="8"/>
  <c r="AI313" i="8"/>
  <c r="AD314" i="8"/>
  <c r="AL314" i="8"/>
  <c r="AO315" i="8"/>
  <c r="AJ316" i="8"/>
  <c r="AE317" i="8"/>
  <c r="AM317" i="8"/>
  <c r="AH318" i="8"/>
  <c r="AP318" i="8"/>
  <c r="AK319" i="8"/>
  <c r="AF320" i="8"/>
  <c r="AN320" i="8"/>
  <c r="AI321" i="8"/>
  <c r="AD322" i="8"/>
  <c r="AL322" i="8"/>
  <c r="AO323" i="8"/>
  <c r="AJ324" i="8"/>
  <c r="AE325" i="8"/>
  <c r="AM325" i="8"/>
  <c r="AH326" i="8"/>
  <c r="AP326" i="8"/>
  <c r="AK327" i="8"/>
  <c r="AP328" i="8"/>
  <c r="AL329" i="8"/>
  <c r="AI330" i="8"/>
  <c r="AE331" i="8"/>
  <c r="AN331" i="8"/>
  <c r="AK332" i="8"/>
  <c r="AH333" i="8"/>
  <c r="AF334" i="8"/>
  <c r="AD335" i="8"/>
  <c r="AN335" i="8"/>
  <c r="AL336" i="8"/>
  <c r="AJ337" i="8"/>
  <c r="AE339" i="8"/>
  <c r="AP339" i="8"/>
  <c r="AM340" i="8"/>
  <c r="AK341" i="8"/>
  <c r="AI342" i="8"/>
  <c r="AF343" i="8"/>
  <c r="AD344" i="8"/>
  <c r="AO344" i="8"/>
  <c r="AL345" i="8"/>
  <c r="AJ346" i="8"/>
  <c r="AH347" i="8"/>
  <c r="AE348" i="8"/>
  <c r="AP348" i="8"/>
  <c r="AN349" i="8"/>
  <c r="AK350" i="8"/>
  <c r="AI351" i="8"/>
  <c r="AD353" i="8"/>
  <c r="AO353" i="8"/>
  <c r="AM354" i="8"/>
  <c r="AJ355" i="8"/>
  <c r="AH356" i="8"/>
  <c r="AF357" i="8"/>
  <c r="AP357" i="8"/>
  <c r="AN358" i="8"/>
  <c r="AL359" i="8"/>
  <c r="AI360" i="8"/>
  <c r="AE362" i="8"/>
  <c r="AO362" i="8"/>
  <c r="AM363" i="8"/>
  <c r="AK364" i="8"/>
  <c r="AJ365" i="8"/>
  <c r="AJ366" i="8"/>
  <c r="AI367" i="8"/>
  <c r="AI368" i="8"/>
  <c r="AI369" i="8"/>
  <c r="AI370" i="8"/>
  <c r="AI371" i="8"/>
  <c r="AH372" i="8"/>
  <c r="AH373" i="8"/>
  <c r="AH374" i="8"/>
  <c r="AO327" i="8"/>
  <c r="AJ328" i="8"/>
  <c r="AE329" i="8"/>
  <c r="AM329" i="8"/>
  <c r="AH330" i="8"/>
  <c r="AP330" i="8"/>
  <c r="AK331" i="8"/>
  <c r="AF332" i="8"/>
  <c r="AN332" i="8"/>
  <c r="AI333" i="8"/>
  <c r="AD334" i="8"/>
  <c r="AL334" i="8"/>
  <c r="AO335" i="8"/>
  <c r="AJ336" i="8"/>
  <c r="AE337" i="8"/>
  <c r="AM337" i="8"/>
  <c r="AH338" i="8"/>
  <c r="AP338" i="8"/>
  <c r="AK339" i="8"/>
  <c r="AF340" i="8"/>
  <c r="AN340" i="8"/>
  <c r="AI341" i="8"/>
  <c r="AD342" i="8"/>
  <c r="AL342" i="8"/>
  <c r="AO343" i="8"/>
  <c r="AJ344" i="8"/>
  <c r="AE345" i="8"/>
  <c r="AM345" i="8"/>
  <c r="AH346" i="8"/>
  <c r="AP346" i="8"/>
  <c r="AK347" i="8"/>
  <c r="AF348" i="8"/>
  <c r="AN348" i="8"/>
  <c r="AI349" i="8"/>
  <c r="AD350" i="8"/>
  <c r="AL350" i="8"/>
  <c r="AO351" i="8"/>
  <c r="AJ352" i="8"/>
  <c r="AE353" i="8"/>
  <c r="AM353" i="8"/>
  <c r="AH354" i="8"/>
  <c r="AP354" i="8"/>
  <c r="AK355" i="8"/>
  <c r="AF356" i="8"/>
  <c r="AN356" i="8"/>
  <c r="AI357" i="8"/>
  <c r="AD358" i="8"/>
  <c r="AL358" i="8"/>
  <c r="AO359" i="8"/>
  <c r="AJ360" i="8"/>
  <c r="AE361" i="8"/>
  <c r="AM361" i="8"/>
  <c r="AH362" i="8"/>
  <c r="AP362" i="8"/>
  <c r="AK363" i="8"/>
  <c r="AF364" i="8"/>
  <c r="AN364" i="8"/>
  <c r="AI365" i="8"/>
  <c r="AD366" i="8"/>
  <c r="AL366" i="8"/>
  <c r="AO367" i="8"/>
  <c r="AJ368" i="8"/>
  <c r="AE369" i="8"/>
  <c r="AM369" i="8"/>
  <c r="AH370" i="8"/>
  <c r="AP370" i="8"/>
  <c r="AK371" i="8"/>
  <c r="AF372" i="8"/>
  <c r="AN372" i="8"/>
  <c r="AI373" i="8"/>
  <c r="AD374" i="8"/>
  <c r="AL374" i="8"/>
  <c r="AI332" i="8"/>
  <c r="AD333" i="8"/>
  <c r="AL333" i="8"/>
  <c r="AO334" i="8"/>
  <c r="AJ335" i="8"/>
  <c r="AE336" i="8"/>
  <c r="AM336" i="8"/>
  <c r="AH337" i="8"/>
  <c r="AP337" i="8"/>
  <c r="AK338" i="8"/>
  <c r="AF339" i="8"/>
  <c r="AN339" i="8"/>
  <c r="AI340" i="8"/>
  <c r="AD341" i="8"/>
  <c r="AL341" i="8"/>
  <c r="AO342" i="8"/>
  <c r="AJ343" i="8"/>
  <c r="AE344" i="8"/>
  <c r="AM344" i="8"/>
  <c r="AH345" i="8"/>
  <c r="AP345" i="8"/>
  <c r="AK346" i="8"/>
  <c r="AF347" i="8"/>
  <c r="AN347" i="8"/>
  <c r="AI348" i="8"/>
  <c r="AD349" i="8"/>
  <c r="AL349" i="8"/>
  <c r="AO350" i="8"/>
  <c r="AJ351" i="8"/>
  <c r="AE352" i="8"/>
  <c r="AM352" i="8"/>
  <c r="AH353" i="8"/>
  <c r="AP353" i="8"/>
  <c r="AK354" i="8"/>
  <c r="AF355" i="8"/>
  <c r="AN355" i="8"/>
  <c r="AI356" i="8"/>
  <c r="AD357" i="8"/>
  <c r="AL357" i="8"/>
  <c r="AO358" i="8"/>
  <c r="AJ359" i="8"/>
  <c r="AE360" i="8"/>
  <c r="AM360" i="8"/>
  <c r="AH361" i="8"/>
  <c r="AP361" i="8"/>
  <c r="AK362" i="8"/>
  <c r="AF363" i="8"/>
  <c r="AN363" i="8"/>
  <c r="AI364" i="8"/>
  <c r="AD365" i="8"/>
  <c r="AL365" i="8"/>
  <c r="AO366" i="8"/>
  <c r="AJ367" i="8"/>
  <c r="AE368" i="8"/>
  <c r="AM368" i="8"/>
  <c r="AH369" i="8"/>
  <c r="AP369" i="8"/>
  <c r="AK370" i="8"/>
  <c r="AF371" i="8"/>
  <c r="AN371" i="8"/>
  <c r="AI372" i="8"/>
  <c r="AD373" i="8"/>
  <c r="AL373" i="8"/>
  <c r="AO374" i="8"/>
  <c r="AF365" i="8"/>
  <c r="AN365" i="8"/>
  <c r="AI366" i="8"/>
  <c r="AD367" i="8"/>
  <c r="AL367" i="8"/>
  <c r="AO368" i="8"/>
  <c r="AJ369" i="8"/>
  <c r="AE370" i="8"/>
  <c r="AM370" i="8"/>
  <c r="AH371" i="8"/>
  <c r="AP371" i="8"/>
  <c r="AK372" i="8"/>
  <c r="AF373" i="8"/>
  <c r="AN373" i="8"/>
  <c r="AI374" i="8"/>
  <c r="T247" i="8" a="1"/>
  <c r="T247" i="8" s="1"/>
  <c r="U247" i="8" s="1"/>
  <c r="Y247" i="8" a="1"/>
  <c r="Y247" i="8" s="1"/>
  <c r="Z247" i="8"/>
  <c r="AB247" i="8" a="1"/>
  <c r="AB247" i="8" s="1"/>
  <c r="W247" i="8" a="1"/>
  <c r="W247" i="8" s="1"/>
  <c r="S247" i="8" a="1"/>
  <c r="S247" i="8" s="1"/>
  <c r="AC247" i="8" s="1"/>
  <c r="V247" i="8" a="1"/>
  <c r="V247" i="8" s="1"/>
  <c r="T246" i="8" a="1"/>
  <c r="T246" i="8" s="1"/>
  <c r="U246" i="8" s="1"/>
  <c r="Z246" i="8"/>
  <c r="V246" i="8" a="1"/>
  <c r="V246" i="8" s="1"/>
  <c r="AB246" i="8" a="1"/>
  <c r="AB246" i="8" s="1"/>
  <c r="W246" i="8" a="1"/>
  <c r="W246" i="8" s="1"/>
  <c r="Y246" i="8" a="1"/>
  <c r="Y246" i="8" s="1"/>
  <c r="S246" i="8" a="1"/>
  <c r="S246" i="8" s="1"/>
  <c r="AC246" i="8" s="1"/>
  <c r="W134" i="8" a="1"/>
  <c r="W134" i="8" s="1"/>
  <c r="Y134" i="8" a="1"/>
  <c r="Y134" i="8" s="1"/>
  <c r="Z134" i="8"/>
  <c r="V134" i="8" a="1"/>
  <c r="V134" i="8" s="1"/>
  <c r="AB134" i="8" a="1"/>
  <c r="AB134" i="8" s="1"/>
  <c r="S134" i="8" a="1"/>
  <c r="S134" i="8" s="1"/>
  <c r="AC134" i="8" s="1"/>
  <c r="T134" i="8" a="1"/>
  <c r="T134" i="8" s="1"/>
  <c r="U134" i="8" s="1"/>
  <c r="AB236" i="8" a="1"/>
  <c r="AB236" i="8" s="1"/>
  <c r="V236" i="8" a="1"/>
  <c r="V236" i="8" s="1"/>
  <c r="W236" i="8" a="1"/>
  <c r="W236" i="8" s="1"/>
  <c r="Y236" i="8" a="1"/>
  <c r="Y236" i="8" s="1"/>
  <c r="S236" i="8" a="1"/>
  <c r="S236" i="8" s="1"/>
  <c r="AC236" i="8" s="1"/>
  <c r="T236" i="8" a="1"/>
  <c r="T236" i="8" s="1"/>
  <c r="U236" i="8" s="1"/>
  <c r="Z236" i="8"/>
  <c r="T141" i="8" a="1"/>
  <c r="T141" i="8" s="1"/>
  <c r="U141" i="8" s="1"/>
  <c r="V141" i="8" a="1"/>
  <c r="V141" i="8" s="1"/>
  <c r="S141" i="8" a="1"/>
  <c r="S141" i="8" s="1"/>
  <c r="AC141" i="8" s="1"/>
  <c r="Z141" i="8"/>
  <c r="Y141" i="8" a="1"/>
  <c r="Y141" i="8" s="1"/>
  <c r="W141" i="8" a="1"/>
  <c r="W141" i="8" s="1"/>
  <c r="AB141" i="8" a="1"/>
  <c r="AB141" i="8" s="1"/>
  <c r="T123" i="8" a="1"/>
  <c r="T123" i="8" s="1"/>
  <c r="U123" i="8" s="1"/>
  <c r="Y123" i="8" a="1"/>
  <c r="Y123" i="8" s="1"/>
  <c r="S123" i="8" a="1"/>
  <c r="S123" i="8" s="1"/>
  <c r="AC123" i="8" s="1"/>
  <c r="Z123" i="8"/>
  <c r="V123" i="8" a="1"/>
  <c r="V123" i="8" s="1"/>
  <c r="W123" i="8" a="1"/>
  <c r="W123" i="8" s="1"/>
  <c r="AB123" i="8" a="1"/>
  <c r="AB123" i="8" s="1"/>
  <c r="Z100" i="8"/>
  <c r="S100" i="8" a="1"/>
  <c r="S100" i="8" s="1"/>
  <c r="AC100" i="8" s="1"/>
  <c r="T100" i="8" a="1"/>
  <c r="T100" i="8" s="1"/>
  <c r="U100" i="8" s="1"/>
  <c r="AB100" i="8" a="1"/>
  <c r="AB100" i="8" s="1"/>
  <c r="W100" i="8" a="1"/>
  <c r="W100" i="8" s="1"/>
  <c r="Y100" i="8" a="1"/>
  <c r="Y100" i="8" s="1"/>
  <c r="V100" i="8" a="1"/>
  <c r="V100" i="8" s="1"/>
  <c r="W89" i="8" a="1"/>
  <c r="W89" i="8" s="1"/>
  <c r="Y89" i="8" a="1"/>
  <c r="Y89" i="8" s="1"/>
  <c r="S89" i="8" a="1"/>
  <c r="S89" i="8" s="1"/>
  <c r="AC89" i="8" s="1"/>
  <c r="Z89" i="8"/>
  <c r="T89" i="8" a="1"/>
  <c r="T89" i="8" s="1"/>
  <c r="U89" i="8" s="1"/>
  <c r="AB89" i="8" a="1"/>
  <c r="AB89" i="8" s="1"/>
  <c r="V89" i="8" a="1"/>
  <c r="V89" i="8" s="1"/>
  <c r="AB73" i="8" a="1"/>
  <c r="AB73" i="8" s="1"/>
  <c r="W73" i="8" a="1"/>
  <c r="W73" i="8" s="1"/>
  <c r="Y73" i="8" a="1"/>
  <c r="Y73" i="8" s="1"/>
  <c r="S73" i="8" a="1"/>
  <c r="S73" i="8" s="1"/>
  <c r="AC73" i="8" s="1"/>
  <c r="T73" i="8" a="1"/>
  <c r="T73" i="8" s="1"/>
  <c r="U73" i="8" s="1"/>
  <c r="Z73" i="8"/>
  <c r="V73" i="8" a="1"/>
  <c r="V73" i="8" s="1"/>
  <c r="T184" i="8" a="1"/>
  <c r="T184" i="8" s="1"/>
  <c r="U184" i="8" s="1"/>
  <c r="V184" i="8" a="1"/>
  <c r="V184" i="8" s="1"/>
  <c r="Y184" i="8" a="1"/>
  <c r="Y184" i="8" s="1"/>
  <c r="Z184" i="8"/>
  <c r="W184" i="8" a="1"/>
  <c r="W184" i="8" s="1"/>
  <c r="AB184" i="8" a="1"/>
  <c r="AB184" i="8" s="1"/>
  <c r="S184" i="8" a="1"/>
  <c r="S184" i="8" s="1"/>
  <c r="AC184" i="8" s="1"/>
  <c r="V241" i="8" a="1"/>
  <c r="V241" i="8" s="1"/>
  <c r="S241" i="8" a="1"/>
  <c r="S241" i="8" s="1"/>
  <c r="AC241" i="8" s="1"/>
  <c r="Y241" i="8" a="1"/>
  <c r="Y241" i="8" s="1"/>
  <c r="T241" i="8" a="1"/>
  <c r="T241" i="8" s="1"/>
  <c r="U241" i="8" s="1"/>
  <c r="W241" i="8" a="1"/>
  <c r="W241" i="8" s="1"/>
  <c r="AB241" i="8" a="1"/>
  <c r="AB241" i="8" s="1"/>
  <c r="Z241" i="8"/>
  <c r="W147" i="8" a="1"/>
  <c r="W147" i="8" s="1"/>
  <c r="Y147" i="8" a="1"/>
  <c r="Y147" i="8" s="1"/>
  <c r="Z147" i="8"/>
  <c r="AB147" i="8" a="1"/>
  <c r="AB147" i="8" s="1"/>
  <c r="V147" i="8" a="1"/>
  <c r="V147" i="8" s="1"/>
  <c r="S147" i="8" a="1"/>
  <c r="S147" i="8" s="1"/>
  <c r="AC147" i="8" s="1"/>
  <c r="T147" i="8" a="1"/>
  <c r="T147" i="8" s="1"/>
  <c r="U147" i="8" s="1"/>
  <c r="T149" i="8" a="1"/>
  <c r="T149" i="8" s="1"/>
  <c r="U149" i="8" s="1"/>
  <c r="V149" i="8" a="1"/>
  <c r="V149" i="8" s="1"/>
  <c r="Z149" i="8"/>
  <c r="Y149" i="8" a="1"/>
  <c r="Y149" i="8" s="1"/>
  <c r="W149" i="8" a="1"/>
  <c r="W149" i="8" s="1"/>
  <c r="AB149" i="8" a="1"/>
  <c r="AB149" i="8" s="1"/>
  <c r="S149" i="8" a="1"/>
  <c r="S149" i="8" s="1"/>
  <c r="AC149" i="8" s="1"/>
  <c r="Y102" i="8" a="1"/>
  <c r="Y102" i="8" s="1"/>
  <c r="Z102" i="8"/>
  <c r="S102" i="8" a="1"/>
  <c r="S102" i="8" s="1"/>
  <c r="AC102" i="8" s="1"/>
  <c r="T102" i="8" a="1"/>
  <c r="T102" i="8" s="1"/>
  <c r="U102" i="8" s="1"/>
  <c r="V102" i="8" a="1"/>
  <c r="V102" i="8" s="1"/>
  <c r="W102" i="8" a="1"/>
  <c r="W102" i="8" s="1"/>
  <c r="AB102" i="8" a="1"/>
  <c r="AB102" i="8" s="1"/>
  <c r="T126" i="8" a="1"/>
  <c r="T126" i="8" s="1"/>
  <c r="U126" i="8" s="1"/>
  <c r="Z126" i="8"/>
  <c r="Y126" i="8" a="1"/>
  <c r="Y126" i="8" s="1"/>
  <c r="V126" i="8" a="1"/>
  <c r="V126" i="8" s="1"/>
  <c r="W126" i="8" a="1"/>
  <c r="W126" i="8" s="1"/>
  <c r="AB126" i="8" a="1"/>
  <c r="AB126" i="8" s="1"/>
  <c r="S126" i="8" a="1"/>
  <c r="S126" i="8" s="1"/>
  <c r="AC126" i="8" s="1"/>
  <c r="T173" i="8" a="1"/>
  <c r="T173" i="8" s="1"/>
  <c r="U173" i="8" s="1"/>
  <c r="V173" i="8" a="1"/>
  <c r="V173" i="8" s="1"/>
  <c r="Z173" i="8"/>
  <c r="Y173" i="8" a="1"/>
  <c r="Y173" i="8" s="1"/>
  <c r="W173" i="8" a="1"/>
  <c r="W173" i="8" s="1"/>
  <c r="AB173" i="8" a="1"/>
  <c r="AB173" i="8" s="1"/>
  <c r="S173" i="8" a="1"/>
  <c r="S173" i="8" s="1"/>
  <c r="AC173" i="8" s="1"/>
  <c r="S51" i="8" a="1"/>
  <c r="S51" i="8" s="1"/>
  <c r="AC51" i="8" s="1"/>
  <c r="T51" i="8" a="1"/>
  <c r="T51" i="8" s="1"/>
  <c r="Y51" i="8" a="1"/>
  <c r="Y51" i="8" s="1"/>
  <c r="Z51" i="8"/>
  <c r="W51" i="8" a="1"/>
  <c r="W51" i="8" s="1"/>
  <c r="AB51" i="8" a="1"/>
  <c r="AB51" i="8" s="1"/>
  <c r="T61" i="8" a="1"/>
  <c r="T61" i="8" s="1"/>
  <c r="U61" i="8" s="1"/>
  <c r="Y61" i="8" a="1"/>
  <c r="Y61" i="8" s="1"/>
  <c r="Z61" i="8"/>
  <c r="V61" i="8" a="1"/>
  <c r="V61" i="8" s="1"/>
  <c r="W61" i="8" a="1"/>
  <c r="W61" i="8" s="1"/>
  <c r="AB61" i="8" a="1"/>
  <c r="AB61" i="8" s="1"/>
  <c r="S61" i="8" a="1"/>
  <c r="S61" i="8" s="1"/>
  <c r="AC61" i="8" s="1"/>
  <c r="Z181" i="8"/>
  <c r="T181" i="8" a="1"/>
  <c r="T181" i="8" s="1"/>
  <c r="U181" i="8" s="1"/>
  <c r="Y181" i="8" a="1"/>
  <c r="Y181" i="8" s="1"/>
  <c r="V181" i="8" a="1"/>
  <c r="V181" i="8" s="1"/>
  <c r="W181" i="8" a="1"/>
  <c r="W181" i="8" s="1"/>
  <c r="AB181" i="8" a="1"/>
  <c r="AB181" i="8" s="1"/>
  <c r="S181" i="8" a="1"/>
  <c r="S181" i="8" s="1"/>
  <c r="AC181" i="8" s="1"/>
  <c r="V80" i="8" a="1"/>
  <c r="V80" i="8" s="1"/>
  <c r="AB80" i="8" a="1"/>
  <c r="AB80" i="8" s="1"/>
  <c r="W80" i="8" a="1"/>
  <c r="W80" i="8" s="1"/>
  <c r="Y80" i="8" a="1"/>
  <c r="Y80" i="8" s="1"/>
  <c r="S80" i="8" a="1"/>
  <c r="S80" i="8" s="1"/>
  <c r="AC80" i="8" s="1"/>
  <c r="T80" i="8" a="1"/>
  <c r="T80" i="8" s="1"/>
  <c r="U80" i="8" s="1"/>
  <c r="Z80" i="8"/>
  <c r="T119" i="8" a="1"/>
  <c r="T119" i="8" s="1"/>
  <c r="U119" i="8" s="1"/>
  <c r="S119" i="8" a="1"/>
  <c r="S119" i="8" s="1"/>
  <c r="AC119" i="8" s="1"/>
  <c r="Z119" i="8"/>
  <c r="Y119" i="8" a="1"/>
  <c r="Y119" i="8" s="1"/>
  <c r="V119" i="8" a="1"/>
  <c r="V119" i="8" s="1"/>
  <c r="W119" i="8" a="1"/>
  <c r="W119" i="8" s="1"/>
  <c r="AB119" i="8" a="1"/>
  <c r="AB119" i="8" s="1"/>
  <c r="W88" i="8" a="1"/>
  <c r="W88" i="8" s="1"/>
  <c r="Y88" i="8" a="1"/>
  <c r="Y88" i="8" s="1"/>
  <c r="S88" i="8" a="1"/>
  <c r="S88" i="8" s="1"/>
  <c r="AC88" i="8" s="1"/>
  <c r="Z88" i="8"/>
  <c r="T88" i="8" a="1"/>
  <c r="T88" i="8" s="1"/>
  <c r="U88" i="8" s="1"/>
  <c r="V88" i="8" a="1"/>
  <c r="V88" i="8" s="1"/>
  <c r="AB88" i="8" a="1"/>
  <c r="AB88" i="8" s="1"/>
  <c r="S227" i="8" a="1"/>
  <c r="S227" i="8" s="1"/>
  <c r="AC227" i="8" s="1"/>
  <c r="AB227" i="8" a="1"/>
  <c r="AB227" i="8" s="1"/>
  <c r="T227" i="8" a="1"/>
  <c r="T227" i="8" s="1"/>
  <c r="U227" i="8" s="1"/>
  <c r="W227" i="8" a="1"/>
  <c r="W227" i="8" s="1"/>
  <c r="Y227" i="8" a="1"/>
  <c r="Y227" i="8" s="1"/>
  <c r="Z227" i="8"/>
  <c r="V227" i="8" a="1"/>
  <c r="V227" i="8" s="1"/>
  <c r="T222" i="8" a="1"/>
  <c r="T222" i="8" s="1"/>
  <c r="U222" i="8" s="1"/>
  <c r="Z222" i="8"/>
  <c r="V222" i="8" a="1"/>
  <c r="V222" i="8" s="1"/>
  <c r="Y222" i="8" a="1"/>
  <c r="Y222" i="8" s="1"/>
  <c r="W222" i="8" a="1"/>
  <c r="W222" i="8" s="1"/>
  <c r="AB222" i="8" a="1"/>
  <c r="AB222" i="8" s="1"/>
  <c r="S222" i="8" a="1"/>
  <c r="S222" i="8" s="1"/>
  <c r="AC222" i="8" s="1"/>
  <c r="S169" i="8" a="1"/>
  <c r="S169" i="8" s="1"/>
  <c r="AC169" i="8" s="1"/>
  <c r="V169" i="8" a="1"/>
  <c r="V169" i="8" s="1"/>
  <c r="W169" i="8" a="1"/>
  <c r="W169" i="8" s="1"/>
  <c r="Y169" i="8" a="1"/>
  <c r="Y169" i="8" s="1"/>
  <c r="AB169" i="8" a="1"/>
  <c r="AB169" i="8" s="1"/>
  <c r="T169" i="8" a="1"/>
  <c r="T169" i="8" s="1"/>
  <c r="U169" i="8" s="1"/>
  <c r="Z169" i="8"/>
  <c r="Z120" i="8"/>
  <c r="S120" i="8" a="1"/>
  <c r="S120" i="8" s="1"/>
  <c r="AC120" i="8" s="1"/>
  <c r="T120" i="8" a="1"/>
  <c r="T120" i="8" s="1"/>
  <c r="U120" i="8" s="1"/>
  <c r="V120" i="8" a="1"/>
  <c r="V120" i="8" s="1"/>
  <c r="W120" i="8" a="1"/>
  <c r="W120" i="8" s="1"/>
  <c r="Y120" i="8" a="1"/>
  <c r="Y120" i="8" s="1"/>
  <c r="AB120" i="8" a="1"/>
  <c r="AB120" i="8" s="1"/>
  <c r="S254" i="8" a="1"/>
  <c r="S254" i="8" s="1"/>
  <c r="AC254" i="8" s="1"/>
  <c r="T254" i="8" a="1"/>
  <c r="T254" i="8" s="1"/>
  <c r="U254" i="8" s="1"/>
  <c r="Y254" i="8" a="1"/>
  <c r="Y254" i="8" s="1"/>
  <c r="AB254" i="8" a="1"/>
  <c r="AB254" i="8" s="1"/>
  <c r="V254" i="8" a="1"/>
  <c r="V254" i="8" s="1"/>
  <c r="W254" i="8" a="1"/>
  <c r="W254" i="8" s="1"/>
  <c r="Z254" i="8"/>
  <c r="V211" i="8" a="1"/>
  <c r="V211" i="8" s="1"/>
  <c r="W211" i="8" a="1"/>
  <c r="W211" i="8" s="1"/>
  <c r="Y211" i="8" a="1"/>
  <c r="Y211" i="8" s="1"/>
  <c r="Z211" i="8"/>
  <c r="S211" i="8" a="1"/>
  <c r="S211" i="8" s="1"/>
  <c r="AC211" i="8" s="1"/>
  <c r="AB211" i="8" a="1"/>
  <c r="AB211" i="8" s="1"/>
  <c r="T211" i="8" a="1"/>
  <c r="T211" i="8" s="1"/>
  <c r="U211" i="8" s="1"/>
  <c r="W159" i="8" a="1"/>
  <c r="W159" i="8" s="1"/>
  <c r="Y159" i="8" a="1"/>
  <c r="Y159" i="8" s="1"/>
  <c r="AB159" i="8" a="1"/>
  <c r="AB159" i="8" s="1"/>
  <c r="S159" i="8" a="1"/>
  <c r="S159" i="8" s="1"/>
  <c r="AC159" i="8" s="1"/>
  <c r="T159" i="8" a="1"/>
  <c r="T159" i="8" s="1"/>
  <c r="U159" i="8" s="1"/>
  <c r="Z159" i="8"/>
  <c r="V159" i="8" a="1"/>
  <c r="V159" i="8" s="1"/>
  <c r="V140" i="8" a="1"/>
  <c r="V140" i="8" s="1"/>
  <c r="Z140" i="8"/>
  <c r="S140" i="8" a="1"/>
  <c r="S140" i="8" s="1"/>
  <c r="AC140" i="8" s="1"/>
  <c r="W140" i="8" a="1"/>
  <c r="W140" i="8" s="1"/>
  <c r="Y140" i="8" a="1"/>
  <c r="Y140" i="8" s="1"/>
  <c r="AB140" i="8" a="1"/>
  <c r="AB140" i="8" s="1"/>
  <c r="T140" i="8" a="1"/>
  <c r="T140" i="8" s="1"/>
  <c r="U140" i="8" s="1"/>
  <c r="T245" i="8" a="1"/>
  <c r="T245" i="8" s="1"/>
  <c r="U245" i="8" s="1"/>
  <c r="Y245" i="8" a="1"/>
  <c r="Y245" i="8" s="1"/>
  <c r="S245" i="8" a="1"/>
  <c r="S245" i="8" s="1"/>
  <c r="AC245" i="8" s="1"/>
  <c r="V245" i="8" a="1"/>
  <c r="V245" i="8" s="1"/>
  <c r="W245" i="8" a="1"/>
  <c r="W245" i="8" s="1"/>
  <c r="AB245" i="8" a="1"/>
  <c r="AB245" i="8" s="1"/>
  <c r="Z245" i="8"/>
  <c r="Z195" i="8"/>
  <c r="Y195" i="8" a="1"/>
  <c r="Y195" i="8" s="1"/>
  <c r="V195" i="8" a="1"/>
  <c r="V195" i="8" s="1"/>
  <c r="W195" i="8" a="1"/>
  <c r="W195" i="8" s="1"/>
  <c r="AB195" i="8" a="1"/>
  <c r="AB195" i="8" s="1"/>
  <c r="S195" i="8" a="1"/>
  <c r="S195" i="8" s="1"/>
  <c r="AC195" i="8" s="1"/>
  <c r="T195" i="8" a="1"/>
  <c r="T195" i="8" s="1"/>
  <c r="U195" i="8" s="1"/>
  <c r="T59" i="8" a="1"/>
  <c r="T59" i="8" s="1"/>
  <c r="U59" i="8" s="1"/>
  <c r="Y59" i="8" a="1"/>
  <c r="Y59" i="8" s="1"/>
  <c r="Z59" i="8"/>
  <c r="V59" i="8" a="1"/>
  <c r="V59" i="8" s="1"/>
  <c r="W59" i="8" a="1"/>
  <c r="W59" i="8" s="1"/>
  <c r="AB59" i="8" a="1"/>
  <c r="AB59" i="8" s="1"/>
  <c r="S59" i="8" a="1"/>
  <c r="S59" i="8" s="1"/>
  <c r="AC59" i="8" s="1"/>
  <c r="Z220" i="8"/>
  <c r="Y220" i="8" a="1"/>
  <c r="Y220" i="8" s="1"/>
  <c r="T220" i="8" a="1"/>
  <c r="T220" i="8" s="1"/>
  <c r="U220" i="8" s="1"/>
  <c r="V220" i="8" a="1"/>
  <c r="V220" i="8" s="1"/>
  <c r="W220" i="8" a="1"/>
  <c r="W220" i="8" s="1"/>
  <c r="AB220" i="8" a="1"/>
  <c r="AB220" i="8" s="1"/>
  <c r="S220" i="8" a="1"/>
  <c r="S220" i="8" s="1"/>
  <c r="AC220" i="8" s="1"/>
  <c r="T67" i="8" a="1"/>
  <c r="T67" i="8" s="1"/>
  <c r="U67" i="8" s="1"/>
  <c r="Y67" i="8" a="1"/>
  <c r="Y67" i="8" s="1"/>
  <c r="Z67" i="8"/>
  <c r="V67" i="8" a="1"/>
  <c r="V67" i="8" s="1"/>
  <c r="W67" i="8" a="1"/>
  <c r="W67" i="8" s="1"/>
  <c r="AB67" i="8" a="1"/>
  <c r="AB67" i="8" s="1"/>
  <c r="S67" i="8" a="1"/>
  <c r="S67" i="8" s="1"/>
  <c r="AC67" i="8" s="1"/>
  <c r="Y146" i="8" a="1"/>
  <c r="Y146" i="8" s="1"/>
  <c r="Z146" i="8"/>
  <c r="S146" i="8" a="1"/>
  <c r="S146" i="8" s="1"/>
  <c r="AC146" i="8" s="1"/>
  <c r="T146" i="8" a="1"/>
  <c r="T146" i="8" s="1"/>
  <c r="U146" i="8" s="1"/>
  <c r="V146" i="8" a="1"/>
  <c r="V146" i="8" s="1"/>
  <c r="W146" i="8" a="1"/>
  <c r="W146" i="8" s="1"/>
  <c r="AB146" i="8" a="1"/>
  <c r="AB146" i="8" s="1"/>
  <c r="T69" i="8" a="1"/>
  <c r="T69" i="8" s="1"/>
  <c r="U69" i="8" s="1"/>
  <c r="Y69" i="8" a="1"/>
  <c r="Y69" i="8" s="1"/>
  <c r="Z69" i="8"/>
  <c r="V69" i="8" a="1"/>
  <c r="V69" i="8" s="1"/>
  <c r="W69" i="8" a="1"/>
  <c r="W69" i="8" s="1"/>
  <c r="AB69" i="8" a="1"/>
  <c r="AB69" i="8" s="1"/>
  <c r="S69" i="8" a="1"/>
  <c r="S69" i="8" s="1"/>
  <c r="AC69" i="8" s="1"/>
  <c r="S124" i="8" a="1"/>
  <c r="S124" i="8" s="1"/>
  <c r="AC124" i="8" s="1"/>
  <c r="Z124" i="8"/>
  <c r="T124" i="8" a="1"/>
  <c r="T124" i="8" s="1"/>
  <c r="U124" i="8" s="1"/>
  <c r="V124" i="8" a="1"/>
  <c r="V124" i="8" s="1"/>
  <c r="W124" i="8" a="1"/>
  <c r="W124" i="8" s="1"/>
  <c r="Y124" i="8" a="1"/>
  <c r="Y124" i="8" s="1"/>
  <c r="AB124" i="8" a="1"/>
  <c r="AB124" i="8" s="1"/>
  <c r="Y162" i="8" a="1"/>
  <c r="Y162" i="8" s="1"/>
  <c r="Z162" i="8"/>
  <c r="S162" i="8" a="1"/>
  <c r="S162" i="8" s="1"/>
  <c r="AC162" i="8" s="1"/>
  <c r="T162" i="8" a="1"/>
  <c r="T162" i="8" s="1"/>
  <c r="U162" i="8" s="1"/>
  <c r="V162" i="8" a="1"/>
  <c r="V162" i="8" s="1"/>
  <c r="W162" i="8" a="1"/>
  <c r="W162" i="8" s="1"/>
  <c r="AB162" i="8" a="1"/>
  <c r="AB162" i="8" s="1"/>
  <c r="S185" i="8" a="1"/>
  <c r="S185" i="8" s="1"/>
  <c r="AC185" i="8" s="1"/>
  <c r="V185" i="8" a="1"/>
  <c r="V185" i="8" s="1"/>
  <c r="W185" i="8" a="1"/>
  <c r="W185" i="8" s="1"/>
  <c r="Y185" i="8" a="1"/>
  <c r="Y185" i="8" s="1"/>
  <c r="AB185" i="8" a="1"/>
  <c r="AB185" i="8" s="1"/>
  <c r="T185" i="8" a="1"/>
  <c r="T185" i="8" s="1"/>
  <c r="U185" i="8" s="1"/>
  <c r="Z185" i="8"/>
  <c r="S158" i="8" a="1"/>
  <c r="S158" i="8" s="1"/>
  <c r="AC158" i="8" s="1"/>
  <c r="V158" i="8" a="1"/>
  <c r="V158" i="8" s="1"/>
  <c r="W158" i="8" a="1"/>
  <c r="W158" i="8" s="1"/>
  <c r="Y158" i="8" a="1"/>
  <c r="Y158" i="8" s="1"/>
  <c r="Z158" i="8"/>
  <c r="AB158" i="8" a="1"/>
  <c r="AB158" i="8" s="1"/>
  <c r="T158" i="8" a="1"/>
  <c r="T158" i="8" s="1"/>
  <c r="U158" i="8" s="1"/>
  <c r="S216" i="8" a="1"/>
  <c r="S216" i="8" s="1"/>
  <c r="AC216" i="8" s="1"/>
  <c r="AB216" i="8" a="1"/>
  <c r="AB216" i="8" s="1"/>
  <c r="T216" i="8" a="1"/>
  <c r="T216" i="8" s="1"/>
  <c r="U216" i="8" s="1"/>
  <c r="W216" i="8" a="1"/>
  <c r="W216" i="8" s="1"/>
  <c r="Y216" i="8" a="1"/>
  <c r="Y216" i="8" s="1"/>
  <c r="Z216" i="8"/>
  <c r="V216" i="8" a="1"/>
  <c r="V216" i="8" s="1"/>
  <c r="W249" i="8" a="1"/>
  <c r="W249" i="8" s="1"/>
  <c r="Y249" i="8" a="1"/>
  <c r="Y249" i="8" s="1"/>
  <c r="T249" i="8" a="1"/>
  <c r="T249" i="8" s="1"/>
  <c r="U249" i="8" s="1"/>
  <c r="Z249" i="8"/>
  <c r="AB249" i="8" a="1"/>
  <c r="AB249" i="8" s="1"/>
  <c r="S249" i="8" a="1"/>
  <c r="S249" i="8" s="1"/>
  <c r="AC249" i="8" s="1"/>
  <c r="V249" i="8" a="1"/>
  <c r="V249" i="8" s="1"/>
  <c r="S112" i="8" a="1"/>
  <c r="S112" i="8" s="1"/>
  <c r="AC112" i="8" s="1"/>
  <c r="Z112" i="8"/>
  <c r="T112" i="8" a="1"/>
  <c r="T112" i="8" s="1"/>
  <c r="U112" i="8" s="1"/>
  <c r="V112" i="8" a="1"/>
  <c r="V112" i="8" s="1"/>
  <c r="AB112" i="8" a="1"/>
  <c r="AB112" i="8" s="1"/>
  <c r="W112" i="8" a="1"/>
  <c r="W112" i="8" s="1"/>
  <c r="Y112" i="8" a="1"/>
  <c r="Y112" i="8" s="1"/>
  <c r="W117" i="8" a="1"/>
  <c r="W117" i="8" s="1"/>
  <c r="Y117" i="8" a="1"/>
  <c r="Y117" i="8" s="1"/>
  <c r="Z117" i="8"/>
  <c r="S117" i="8" a="1"/>
  <c r="S117" i="8" s="1"/>
  <c r="AC117" i="8" s="1"/>
  <c r="T117" i="8" a="1"/>
  <c r="T117" i="8" s="1"/>
  <c r="U117" i="8" s="1"/>
  <c r="AB117" i="8" a="1"/>
  <c r="AB117" i="8" s="1"/>
  <c r="V117" i="8" a="1"/>
  <c r="V117" i="8" s="1"/>
  <c r="V198" i="8" a="1"/>
  <c r="V198" i="8" s="1"/>
  <c r="W198" i="8" a="1"/>
  <c r="W198" i="8" s="1"/>
  <c r="Y198" i="8" a="1"/>
  <c r="Y198" i="8" s="1"/>
  <c r="AB198" i="8" a="1"/>
  <c r="AB198" i="8" s="1"/>
  <c r="Z198" i="8"/>
  <c r="S198" i="8" a="1"/>
  <c r="S198" i="8" s="1"/>
  <c r="AC198" i="8" s="1"/>
  <c r="T198" i="8" a="1"/>
  <c r="T198" i="8" s="1"/>
  <c r="U198" i="8" s="1"/>
  <c r="AB171" i="8" a="1"/>
  <c r="AB171" i="8" s="1"/>
  <c r="W171" i="8" a="1"/>
  <c r="W171" i="8" s="1"/>
  <c r="Y171" i="8" a="1"/>
  <c r="Y171" i="8" s="1"/>
  <c r="Z171" i="8"/>
  <c r="V171" i="8" a="1"/>
  <c r="V171" i="8" s="1"/>
  <c r="S171" i="8" a="1"/>
  <c r="S171" i="8" s="1"/>
  <c r="AC171" i="8" s="1"/>
  <c r="T171" i="8" a="1"/>
  <c r="T171" i="8" s="1"/>
  <c r="U171" i="8" s="1"/>
  <c r="V243" i="8" a="1"/>
  <c r="V243" i="8" s="1"/>
  <c r="T243" i="8" a="1"/>
  <c r="T243" i="8" s="1"/>
  <c r="U243" i="8" s="1"/>
  <c r="S243" i="8" a="1"/>
  <c r="S243" i="8" s="1"/>
  <c r="AC243" i="8" s="1"/>
  <c r="Y243" i="8" a="1"/>
  <c r="Y243" i="8" s="1"/>
  <c r="W243" i="8" a="1"/>
  <c r="W243" i="8" s="1"/>
  <c r="AB243" i="8" a="1"/>
  <c r="AB243" i="8" s="1"/>
  <c r="Z243" i="8"/>
  <c r="Y187" i="8" a="1"/>
  <c r="Y187" i="8" s="1"/>
  <c r="Z187" i="8"/>
  <c r="V187" i="8" a="1"/>
  <c r="V187" i="8" s="1"/>
  <c r="W187" i="8" a="1"/>
  <c r="W187" i="8" s="1"/>
  <c r="AB187" i="8" a="1"/>
  <c r="AB187" i="8" s="1"/>
  <c r="S187" i="8" a="1"/>
  <c r="S187" i="8" s="1"/>
  <c r="AC187" i="8" s="1"/>
  <c r="T187" i="8" a="1"/>
  <c r="T187" i="8" s="1"/>
  <c r="U187" i="8" s="1"/>
  <c r="T224" i="8" a="1"/>
  <c r="T224" i="8" s="1"/>
  <c r="U224" i="8" s="1"/>
  <c r="V224" i="8" a="1"/>
  <c r="V224" i="8" s="1"/>
  <c r="Y224" i="8" a="1"/>
  <c r="Y224" i="8" s="1"/>
  <c r="Z224" i="8"/>
  <c r="W224" i="8" a="1"/>
  <c r="W224" i="8" s="1"/>
  <c r="AB224" i="8" a="1"/>
  <c r="AB224" i="8" s="1"/>
  <c r="S224" i="8" a="1"/>
  <c r="S224" i="8" s="1"/>
  <c r="AC224" i="8" s="1"/>
  <c r="Z127" i="8"/>
  <c r="S127" i="8" a="1"/>
  <c r="S127" i="8" s="1"/>
  <c r="AC127" i="8" s="1"/>
  <c r="V127" i="8" a="1"/>
  <c r="V127" i="8" s="1"/>
  <c r="W127" i="8" a="1"/>
  <c r="W127" i="8" s="1"/>
  <c r="Y127" i="8" a="1"/>
  <c r="Y127" i="8" s="1"/>
  <c r="AB127" i="8" a="1"/>
  <c r="AB127" i="8" s="1"/>
  <c r="T127" i="8" a="1"/>
  <c r="T127" i="8" s="1"/>
  <c r="U127" i="8" s="1"/>
  <c r="V58" i="8" a="1"/>
  <c r="V58" i="8" s="1"/>
  <c r="W58" i="8" a="1"/>
  <c r="W58" i="8" s="1"/>
  <c r="Y58" i="8" a="1"/>
  <c r="Y58" i="8" s="1"/>
  <c r="AB58" i="8" a="1"/>
  <c r="AB58" i="8" s="1"/>
  <c r="S58" i="8" a="1"/>
  <c r="S58" i="8" s="1"/>
  <c r="AC58" i="8" s="1"/>
  <c r="T58" i="8" a="1"/>
  <c r="T58" i="8" s="1"/>
  <c r="U58" i="8" s="1"/>
  <c r="Z58" i="8"/>
  <c r="CO41" i="10" a="1"/>
  <c r="U51" i="8" l="1"/>
  <c r="V51" i="8" s="1"/>
  <c r="AA247" i="8"/>
  <c r="AA173" i="8"/>
  <c r="CS33" i="10" a="1"/>
  <c r="CS33" i="10" s="1"/>
  <c r="CN38" i="10" a="1"/>
  <c r="CN38" i="10" s="1"/>
  <c r="CO36" i="10" a="1"/>
  <c r="CO36" i="10" s="1"/>
  <c r="CO34" i="10" a="1"/>
  <c r="CO34" i="10" s="1"/>
  <c r="CO35" i="10" s="1" a="1"/>
  <c r="CO35" i="10" s="1"/>
  <c r="CN33" i="10"/>
  <c r="AA141" i="8"/>
  <c r="CP39" i="10" a="1"/>
  <c r="CP39" i="10" s="1"/>
  <c r="CR39" i="10" a="1"/>
  <c r="CR39" i="10" s="1"/>
  <c r="CR35" i="10" a="1"/>
  <c r="CR35" i="10" s="1"/>
  <c r="AA123" i="8"/>
  <c r="AA211" i="8"/>
  <c r="AA58" i="8"/>
  <c r="CO38" i="10" a="1"/>
  <c r="CO38" i="10" s="1"/>
  <c r="AA187" i="8"/>
  <c r="AA120" i="8"/>
  <c r="CR36" i="10" a="1"/>
  <c r="CR36" i="10" s="1"/>
  <c r="AA149" i="8"/>
  <c r="AA216" i="8"/>
  <c r="AA124" i="8"/>
  <c r="AA220" i="8"/>
  <c r="AA158" i="8"/>
  <c r="AA195" i="8"/>
  <c r="AA140" i="8"/>
  <c r="AA222" i="8"/>
  <c r="AA88" i="8"/>
  <c r="AA181" i="8"/>
  <c r="AA246" i="8"/>
  <c r="AA224" i="8"/>
  <c r="AA198" i="8"/>
  <c r="AA249" i="8"/>
  <c r="AA185" i="8"/>
  <c r="AA227" i="8"/>
  <c r="AA119" i="8"/>
  <c r="AA100" i="8"/>
  <c r="AA169" i="8"/>
  <c r="AA89" i="8"/>
  <c r="AA117" i="8"/>
  <c r="AA102" i="8"/>
  <c r="AA147" i="8"/>
  <c r="AA134" i="8"/>
  <c r="CR38" i="10" a="1"/>
  <c r="CR38" i="10" s="1"/>
  <c r="AA171" i="8"/>
  <c r="AA236" i="8"/>
  <c r="AA159" i="8"/>
  <c r="AA126" i="8"/>
  <c r="AA184" i="8"/>
  <c r="CN39" i="10" a="1"/>
  <c r="CN39" i="10" s="1"/>
  <c r="CR34" i="10" a="1"/>
  <c r="CR34" i="10" s="1"/>
  <c r="AA61" i="8"/>
  <c r="AA162" i="8"/>
  <c r="AA146" i="8"/>
  <c r="AA59" i="8"/>
  <c r="AA245" i="8"/>
  <c r="AA254" i="8"/>
  <c r="AA51" i="8"/>
  <c r="AA67" i="8"/>
  <c r="AA127" i="8"/>
  <c r="AA243" i="8"/>
  <c r="AA112" i="8"/>
  <c r="AA69" i="8"/>
  <c r="AA80" i="8"/>
  <c r="AA241" i="8"/>
  <c r="AA73" i="8"/>
  <c r="CO41" i="10"/>
  <c r="CR47" i="10" s="1" a="1"/>
  <c r="CR47" i="10" s="1"/>
  <c r="CV41" i="10" a="1"/>
  <c r="CO44" i="10" l="1" a="1"/>
  <c r="CO44" i="10" s="1"/>
  <c r="CS41" i="10" a="1"/>
  <c r="CS41" i="10" s="1"/>
  <c r="CO42" i="10" a="1"/>
  <c r="CO42" i="10" s="1"/>
  <c r="CO43" i="10" s="1" a="1"/>
  <c r="CO43" i="10" s="1"/>
  <c r="CN41" i="10"/>
  <c r="CR43" i="10" a="1"/>
  <c r="CR43" i="10" s="1"/>
  <c r="CN46" i="10" a="1"/>
  <c r="CN46" i="10" s="1"/>
  <c r="CR42" i="10" a="1"/>
  <c r="CR42" i="10" s="1"/>
  <c r="CP46" i="10" a="1"/>
  <c r="CP46" i="10" s="1"/>
  <c r="CO46" i="10" a="1"/>
  <c r="CO46" i="10" s="1"/>
  <c r="CN47" i="10" a="1"/>
  <c r="CN47" i="10" s="1"/>
  <c r="CR44" i="10" a="1"/>
  <c r="CR44" i="10" s="1"/>
  <c r="CR46" i="10" a="1"/>
  <c r="CR46" i="10" s="1"/>
  <c r="CP47" i="10" a="1"/>
  <c r="CP47" i="10" s="1"/>
  <c r="CV41" i="10"/>
  <c r="CV42" i="10" s="1" a="1"/>
  <c r="CV42" i="10" s="1"/>
  <c r="DD1" i="10" a="1"/>
  <c r="CV44" i="10" l="1" a="1"/>
  <c r="CV44" i="10" s="1"/>
  <c r="CU46" i="10" a="1"/>
  <c r="CU46" i="10" s="1"/>
  <c r="CV46" i="10" a="1"/>
  <c r="CV46" i="10" s="1"/>
  <c r="CY44" i="10" a="1"/>
  <c r="CY44" i="10" s="1"/>
  <c r="CY46" i="10" a="1"/>
  <c r="CY46" i="10" s="1"/>
  <c r="CU41" i="10"/>
  <c r="CW46" i="10" a="1"/>
  <c r="CW46" i="10" s="1"/>
  <c r="CZ41" i="10" a="1"/>
  <c r="CZ41" i="10" s="1"/>
  <c r="CU47" i="10" a="1"/>
  <c r="CU47" i="10" s="1"/>
  <c r="CV43" i="10" a="1"/>
  <c r="CV43" i="10" s="1"/>
  <c r="CY43" i="10" a="1"/>
  <c r="CY43" i="10" s="1"/>
  <c r="CW47" i="10" a="1"/>
  <c r="CW47" i="10" s="1"/>
  <c r="CY42" i="10" a="1"/>
  <c r="CY42" i="10" s="1"/>
  <c r="CY47" i="10" a="1"/>
  <c r="CY47" i="10" s="1"/>
  <c r="DD1" i="10"/>
  <c r="DE6" i="10" s="1" a="1"/>
  <c r="DE6" i="10" s="1"/>
  <c r="DK1" i="10" a="1"/>
  <c r="DG2" i="10" l="1" a="1"/>
  <c r="DG2" i="10" s="1"/>
  <c r="DC6" i="10" a="1"/>
  <c r="DC6" i="10" s="1"/>
  <c r="DH1" i="10" a="1"/>
  <c r="DH1" i="10" s="1"/>
  <c r="DG6" i="10" a="1"/>
  <c r="DG6" i="10" s="1"/>
  <c r="DC7" i="10" a="1"/>
  <c r="DC7" i="10" s="1"/>
  <c r="DG7" i="10" a="1"/>
  <c r="DG7" i="10" s="1"/>
  <c r="DC1" i="10"/>
  <c r="DD4" i="10" a="1"/>
  <c r="DD4" i="10" s="1"/>
  <c r="DD6" i="10" a="1"/>
  <c r="DD6" i="10" s="1"/>
  <c r="DD2" i="10" a="1"/>
  <c r="DD2" i="10" s="1"/>
  <c r="DD3" i="10" s="1" a="1"/>
  <c r="DD3" i="10" s="1"/>
  <c r="DE7" i="10" a="1"/>
  <c r="DE7" i="10" s="1"/>
  <c r="DG4" i="10" a="1"/>
  <c r="DG4" i="10" s="1"/>
  <c r="DG3" i="10" a="1"/>
  <c r="DG3" i="10" s="1"/>
  <c r="DK1" i="10"/>
  <c r="DJ1" i="10" s="1"/>
  <c r="DD9" i="10" a="1"/>
  <c r="DN7" i="10" l="1" a="1"/>
  <c r="DN7" i="10" s="1"/>
  <c r="DK4" i="10" a="1"/>
  <c r="DK4" i="10" s="1"/>
  <c r="DK2" i="10" a="1"/>
  <c r="DK2" i="10" s="1"/>
  <c r="DK3" i="10" s="1" a="1"/>
  <c r="DK3" i="10" s="1"/>
  <c r="DK6" i="10" a="1"/>
  <c r="DK6" i="10" s="1"/>
  <c r="DJ7" i="10" a="1"/>
  <c r="DJ7" i="10" s="1"/>
  <c r="DJ6" i="10" a="1"/>
  <c r="DJ6" i="10" s="1"/>
  <c r="DN4" i="10" a="1"/>
  <c r="DN4" i="10" s="1"/>
  <c r="DN3" i="10" a="1"/>
  <c r="DN3" i="10" s="1"/>
  <c r="DN2" i="10" a="1"/>
  <c r="DN2" i="10" s="1"/>
  <c r="DO1" i="10" a="1"/>
  <c r="DO1" i="10" s="1"/>
  <c r="DL6" i="10" a="1"/>
  <c r="DL6" i="10" s="1"/>
  <c r="DN6" i="10" a="1"/>
  <c r="DN6" i="10" s="1"/>
  <c r="DL7" i="10" a="1"/>
  <c r="DL7" i="10" s="1"/>
  <c r="DD9" i="10"/>
  <c r="DD12" i="10" s="1" a="1"/>
  <c r="DD12" i="10" s="1"/>
  <c r="DK9" i="10" a="1"/>
  <c r="DE14" i="10" l="1" a="1"/>
  <c r="DE14" i="10" s="1"/>
  <c r="DD10" i="10" a="1"/>
  <c r="DD10" i="10" s="1"/>
  <c r="DD11" i="10" s="1" a="1"/>
  <c r="DD11" i="10" s="1"/>
  <c r="DC15" i="10" a="1"/>
  <c r="DC15" i="10" s="1"/>
  <c r="DG14" i="10" a="1"/>
  <c r="DG14" i="10" s="1"/>
  <c r="DH9" i="10" a="1"/>
  <c r="DH9" i="10" s="1"/>
  <c r="DC9" i="10"/>
  <c r="DD14" i="10" a="1"/>
  <c r="DD14" i="10" s="1"/>
  <c r="DG10" i="10" a="1"/>
  <c r="DG10" i="10" s="1"/>
  <c r="DG15" i="10" a="1"/>
  <c r="DG15" i="10" s="1"/>
  <c r="DE15" i="10" a="1"/>
  <c r="DE15" i="10" s="1"/>
  <c r="DC14" i="10" a="1"/>
  <c r="DC14" i="10" s="1"/>
  <c r="DG12" i="10" a="1"/>
  <c r="DG12" i="10" s="1"/>
  <c r="DG11" i="10" a="1"/>
  <c r="DG11" i="10" s="1"/>
  <c r="DK9" i="10"/>
  <c r="DL14" i="10" s="1" a="1"/>
  <c r="DL14" i="10" s="1"/>
  <c r="DD17" i="10" a="1"/>
  <c r="DN12" i="10" l="1" a="1"/>
  <c r="DN12" i="10" s="1"/>
  <c r="DO9" i="10" a="1"/>
  <c r="DO9" i="10" s="1"/>
  <c r="DK10" i="10" a="1"/>
  <c r="DK10" i="10" s="1"/>
  <c r="DK11" i="10" s="1" a="1"/>
  <c r="DK11" i="10" s="1"/>
  <c r="DJ15" i="10" a="1"/>
  <c r="DJ15" i="10" s="1"/>
  <c r="DN11" i="10" a="1"/>
  <c r="DN11" i="10" s="1"/>
  <c r="DK12" i="10" a="1"/>
  <c r="DK12" i="10" s="1"/>
  <c r="DN15" i="10" a="1"/>
  <c r="DN15" i="10" s="1"/>
  <c r="DK14" i="10" a="1"/>
  <c r="DK14" i="10" s="1"/>
  <c r="DN14" i="10" a="1"/>
  <c r="DN14" i="10" s="1"/>
  <c r="DJ9" i="10"/>
  <c r="DN10" i="10" a="1"/>
  <c r="DN10" i="10" s="1"/>
  <c r="DJ14" i="10" a="1"/>
  <c r="DJ14" i="10" s="1"/>
  <c r="DL15" i="10" a="1"/>
  <c r="DL15" i="10" s="1"/>
  <c r="DD17" i="10"/>
  <c r="DC23" i="10" s="1" a="1"/>
  <c r="DC23" i="10" s="1"/>
  <c r="DK17" i="10" a="1"/>
  <c r="DE22" i="10" l="1" a="1"/>
  <c r="DE22" i="10" s="1"/>
  <c r="DC22" i="10" a="1"/>
  <c r="DC22" i="10" s="1"/>
  <c r="DD18" i="10" a="1"/>
  <c r="DD18" i="10" s="1"/>
  <c r="DD19" i="10" s="1" a="1"/>
  <c r="DD19" i="10" s="1"/>
  <c r="DG22" i="10" a="1"/>
  <c r="DG22" i="10" s="1"/>
  <c r="DH17" i="10" a="1"/>
  <c r="DH17" i="10" s="1"/>
  <c r="DC17" i="10"/>
  <c r="DE23" i="10" a="1"/>
  <c r="DE23" i="10" s="1"/>
  <c r="DD22" i="10" a="1"/>
  <c r="DD22" i="10" s="1"/>
  <c r="DG18" i="10" a="1"/>
  <c r="DG18" i="10" s="1"/>
  <c r="DD20" i="10" a="1"/>
  <c r="DD20" i="10" s="1"/>
  <c r="DG20" i="10" a="1"/>
  <c r="DG20" i="10" s="1"/>
  <c r="DG19" i="10" a="1"/>
  <c r="DG19" i="10" s="1"/>
  <c r="DG23" i="10" a="1"/>
  <c r="DG23" i="10" s="1"/>
  <c r="DK17" i="10"/>
  <c r="DK18" i="10" s="1" a="1"/>
  <c r="DK18" i="10" s="1"/>
  <c r="DK19" i="10" s="1" a="1"/>
  <c r="DK19" i="10" s="1"/>
  <c r="DD25" i="10" a="1"/>
  <c r="DN23" i="10" l="1" a="1"/>
  <c r="DN23" i="10" s="1"/>
  <c r="DL23" i="10" a="1"/>
  <c r="DL23" i="10" s="1"/>
  <c r="DJ22" i="10" a="1"/>
  <c r="DJ22" i="10" s="1"/>
  <c r="DJ17" i="10"/>
  <c r="DJ23" i="10" a="1"/>
  <c r="DJ23" i="10" s="1"/>
  <c r="DN22" i="10" a="1"/>
  <c r="DN22" i="10" s="1"/>
  <c r="DN20" i="10" a="1"/>
  <c r="DN20" i="10" s="1"/>
  <c r="DN19" i="10" a="1"/>
  <c r="DN19" i="10" s="1"/>
  <c r="DN18" i="10" a="1"/>
  <c r="DN18" i="10" s="1"/>
  <c r="DK20" i="10" a="1"/>
  <c r="DK20" i="10" s="1"/>
  <c r="DO17" i="10" a="1"/>
  <c r="DO17" i="10" s="1"/>
  <c r="DK22" i="10" a="1"/>
  <c r="DK22" i="10" s="1"/>
  <c r="DL22" i="10" a="1"/>
  <c r="DL22" i="10" s="1"/>
  <c r="DD25" i="10"/>
  <c r="DC25" i="10" s="1"/>
  <c r="DK25" i="10" a="1"/>
  <c r="DG27" i="10" l="1" a="1"/>
  <c r="DG27" i="10" s="1"/>
  <c r="DE30" i="10" a="1"/>
  <c r="DE30" i="10" s="1"/>
  <c r="DG28" i="10" a="1"/>
  <c r="DG28" i="10" s="1"/>
  <c r="DE31" i="10" a="1"/>
  <c r="DE31" i="10" s="1"/>
  <c r="DH25" i="10" a="1"/>
  <c r="DH25" i="10" s="1"/>
  <c r="DG31" i="10" a="1"/>
  <c r="DG31" i="10" s="1"/>
  <c r="DD26" i="10" a="1"/>
  <c r="DD26" i="10" s="1"/>
  <c r="DD27" i="10" s="1" a="1"/>
  <c r="DD27" i="10" s="1"/>
  <c r="DG30" i="10" a="1"/>
  <c r="DG30" i="10" s="1"/>
  <c r="DD30" i="10" a="1"/>
  <c r="DD30" i="10" s="1"/>
  <c r="DC31" i="10" a="1"/>
  <c r="DC31" i="10" s="1"/>
  <c r="DC30" i="10" a="1"/>
  <c r="DC30" i="10" s="1"/>
  <c r="DD28" i="10" a="1"/>
  <c r="DD28" i="10" s="1"/>
  <c r="DG26" i="10" a="1"/>
  <c r="DG26" i="10" s="1"/>
  <c r="DK25" i="10"/>
  <c r="DK26" i="10" s="1" a="1"/>
  <c r="DK26" i="10" s="1"/>
  <c r="DK27" i="10" s="1" a="1"/>
  <c r="DK27" i="10" s="1"/>
  <c r="DJ31" i="10" a="1"/>
  <c r="DJ31" i="10" s="1"/>
  <c r="DD33" i="10" a="1"/>
  <c r="DN30" i="10" l="1" a="1"/>
  <c r="DN30" i="10" s="1"/>
  <c r="DK30" i="10" a="1"/>
  <c r="DK30" i="10" s="1"/>
  <c r="DN27" i="10" a="1"/>
  <c r="DN27" i="10" s="1"/>
  <c r="DK28" i="10" a="1"/>
  <c r="DK28" i="10" s="1"/>
  <c r="DL31" i="10" a="1"/>
  <c r="DL31" i="10" s="1"/>
  <c r="DO25" i="10" a="1"/>
  <c r="DO25" i="10" s="1"/>
  <c r="DJ30" i="10" a="1"/>
  <c r="DJ30" i="10" s="1"/>
  <c r="DJ25" i="10"/>
  <c r="DN26" i="10" a="1"/>
  <c r="DN26" i="10" s="1"/>
  <c r="DN31" i="10" a="1"/>
  <c r="DN31" i="10" s="1"/>
  <c r="DN28" i="10" a="1"/>
  <c r="DN28" i="10" s="1"/>
  <c r="DL30" i="10" a="1"/>
  <c r="DL30" i="10" s="1"/>
  <c r="DD33" i="10"/>
  <c r="DG38" i="10" s="1" a="1"/>
  <c r="DG38" i="10" s="1"/>
  <c r="DK33" i="10" a="1"/>
  <c r="DC38" i="10" l="1" a="1"/>
  <c r="DC38" i="10" s="1"/>
  <c r="DD38" i="10" a="1"/>
  <c r="DD38" i="10" s="1"/>
  <c r="DD36" i="10" a="1"/>
  <c r="DD36" i="10" s="1"/>
  <c r="DD34" i="10" a="1"/>
  <c r="DD34" i="10" s="1"/>
  <c r="DD35" i="10" s="1" a="1"/>
  <c r="DD35" i="10" s="1"/>
  <c r="DC33" i="10"/>
  <c r="DG35" i="10" a="1"/>
  <c r="DG35" i="10" s="1"/>
  <c r="DG36" i="10" a="1"/>
  <c r="DG36" i="10" s="1"/>
  <c r="DE39" i="10" a="1"/>
  <c r="DE39" i="10" s="1"/>
  <c r="DH33" i="10" a="1"/>
  <c r="DH33" i="10" s="1"/>
  <c r="DG34" i="10" a="1"/>
  <c r="DG34" i="10" s="1"/>
  <c r="DC39" i="10" a="1"/>
  <c r="DC39" i="10" s="1"/>
  <c r="DG39" i="10" a="1"/>
  <c r="DG39" i="10" s="1"/>
  <c r="DE38" i="10" a="1"/>
  <c r="DE38" i="10" s="1"/>
  <c r="DK33" i="10"/>
  <c r="DK38" i="10" s="1" a="1"/>
  <c r="DK38" i="10" s="1"/>
  <c r="DD41" i="10" a="1"/>
  <c r="DO33" i="10" l="1" a="1"/>
  <c r="DO33" i="10" s="1"/>
  <c r="DN36" i="10" a="1"/>
  <c r="DN36" i="10" s="1"/>
  <c r="DN35" i="10" a="1"/>
  <c r="DN35" i="10" s="1"/>
  <c r="DN38" i="10" a="1"/>
  <c r="DN38" i="10" s="1"/>
  <c r="DJ39" i="10" a="1"/>
  <c r="DJ39" i="10" s="1"/>
  <c r="DK36" i="10" a="1"/>
  <c r="DK36" i="10" s="1"/>
  <c r="DJ38" i="10" a="1"/>
  <c r="DJ38" i="10" s="1"/>
  <c r="DK34" i="10" a="1"/>
  <c r="DK34" i="10" s="1"/>
  <c r="DK35" i="10" s="1" a="1"/>
  <c r="DK35" i="10" s="1"/>
  <c r="DL38" i="10" a="1"/>
  <c r="DL38" i="10" s="1"/>
  <c r="DL39" i="10" a="1"/>
  <c r="DL39" i="10" s="1"/>
  <c r="DN39" i="10" a="1"/>
  <c r="DN39" i="10" s="1"/>
  <c r="DJ33" i="10"/>
  <c r="DN34" i="10" a="1"/>
  <c r="DN34" i="10" s="1"/>
  <c r="DD41" i="10"/>
  <c r="DG43" i="10" s="1" a="1"/>
  <c r="DG43" i="10" s="1"/>
  <c r="DK41" i="10" a="1"/>
  <c r="DD44" i="10" l="1" a="1"/>
  <c r="DD44" i="10" s="1"/>
  <c r="DD42" i="10" a="1"/>
  <c r="DD42" i="10" s="1"/>
  <c r="DD43" i="10" s="1" a="1"/>
  <c r="DD43" i="10" s="1"/>
  <c r="DH41" i="10" a="1"/>
  <c r="DH41" i="10" s="1"/>
  <c r="DC47" i="10" a="1"/>
  <c r="DC47" i="10" s="1"/>
  <c r="DC41" i="10"/>
  <c r="DG44" i="10" a="1"/>
  <c r="DG44" i="10" s="1"/>
  <c r="DE47" i="10" a="1"/>
  <c r="DE47" i="10" s="1"/>
  <c r="DD46" i="10" a="1"/>
  <c r="DD46" i="10" s="1"/>
  <c r="DG42" i="10" a="1"/>
  <c r="DG42" i="10" s="1"/>
  <c r="DG46" i="10" a="1"/>
  <c r="DG46" i="10" s="1"/>
  <c r="DG47" i="10" a="1"/>
  <c r="DG47" i="10" s="1"/>
  <c r="DC46" i="10" a="1"/>
  <c r="DC46" i="10" s="1"/>
  <c r="DE46" i="10" a="1"/>
  <c r="DE46" i="10" s="1"/>
  <c r="DK41" i="10"/>
  <c r="DK42" i="10" s="1" a="1"/>
  <c r="DK42" i="10" s="1"/>
  <c r="DK43" i="10" s="1" a="1"/>
  <c r="DK43" i="10" s="1"/>
  <c r="DS1" i="10" a="1"/>
  <c r="DJ47" i="10" l="1" a="1"/>
  <c r="DJ47" i="10" s="1"/>
  <c r="DN46" i="10" a="1"/>
  <c r="DN46" i="10" s="1"/>
  <c r="DJ46" i="10" a="1"/>
  <c r="DJ46" i="10" s="1"/>
  <c r="DN47" i="10" a="1"/>
  <c r="DN47" i="10" s="1"/>
  <c r="DN42" i="10" a="1"/>
  <c r="DN42" i="10" s="1"/>
  <c r="DK46" i="10" a="1"/>
  <c r="DK46" i="10" s="1"/>
  <c r="DN43" i="10" a="1"/>
  <c r="DN43" i="10" s="1"/>
  <c r="DK44" i="10" a="1"/>
  <c r="DK44" i="10" s="1"/>
  <c r="DL47" i="10" a="1"/>
  <c r="DL47" i="10" s="1"/>
  <c r="DJ41" i="10"/>
  <c r="DL46" i="10" a="1"/>
  <c r="DL46" i="10" s="1"/>
  <c r="DN44" i="10" a="1"/>
  <c r="DN44" i="10" s="1"/>
  <c r="DO41" i="10" a="1"/>
  <c r="DO41" i="10" s="1"/>
  <c r="DS1" i="10"/>
  <c r="DR7" i="10" s="1" a="1"/>
  <c r="DR7" i="10" s="1"/>
  <c r="DZ1" i="10" a="1"/>
  <c r="DR6" i="10" l="1" a="1"/>
  <c r="DR6" i="10" s="1"/>
  <c r="DW1" i="10" a="1"/>
  <c r="DW1" i="10" s="1"/>
  <c r="DS4" i="10" a="1"/>
  <c r="DS4" i="10" s="1"/>
  <c r="DT6" i="10" a="1"/>
  <c r="DT6" i="10" s="1"/>
  <c r="DS2" i="10" a="1"/>
  <c r="DS2" i="10" s="1"/>
  <c r="DS3" i="10" s="1" a="1"/>
  <c r="DS3" i="10" s="1"/>
  <c r="DT7" i="10" a="1"/>
  <c r="DT7" i="10" s="1"/>
  <c r="DS6" i="10" a="1"/>
  <c r="DS6" i="10" s="1"/>
  <c r="DR1" i="10"/>
  <c r="DV4" i="10" a="1"/>
  <c r="DV4" i="10" s="1"/>
  <c r="DV6" i="10" a="1"/>
  <c r="DV6" i="10" s="1"/>
  <c r="DV3" i="10" a="1"/>
  <c r="DV3" i="10" s="1"/>
  <c r="DV7" i="10" a="1"/>
  <c r="DV7" i="10" s="1"/>
  <c r="DV2" i="10" a="1"/>
  <c r="DV2" i="10" s="1"/>
  <c r="DZ1" i="10"/>
  <c r="ED1" i="10" s="1" a="1"/>
  <c r="ED1" i="10" s="1"/>
  <c r="DS9" i="10" a="1"/>
  <c r="EA6" i="10" l="1" a="1"/>
  <c r="EA6" i="10" s="1"/>
  <c r="DZ4" i="10" a="1"/>
  <c r="DZ4" i="10" s="1"/>
  <c r="DZ2" i="10" a="1"/>
  <c r="DZ2" i="10" s="1"/>
  <c r="DZ3" i="10" s="1" a="1"/>
  <c r="DZ3" i="10" s="1"/>
  <c r="DZ6" i="10" a="1"/>
  <c r="DZ6" i="10" s="1"/>
  <c r="EA7" i="10" a="1"/>
  <c r="EA7" i="10" s="1"/>
  <c r="DY7" i="10" a="1"/>
  <c r="DY7" i="10" s="1"/>
  <c r="EC6" i="10" a="1"/>
  <c r="EC6" i="10" s="1"/>
  <c r="EC7" i="10" a="1"/>
  <c r="EC7" i="10" s="1"/>
  <c r="EC4" i="10" a="1"/>
  <c r="EC4" i="10" s="1"/>
  <c r="EC3" i="10" a="1"/>
  <c r="EC3" i="10" s="1"/>
  <c r="EC2" i="10" a="1"/>
  <c r="EC2" i="10" s="1"/>
  <c r="DY6" i="10" a="1"/>
  <c r="DY6" i="10" s="1"/>
  <c r="DY1" i="10"/>
  <c r="DS9" i="10"/>
  <c r="DR9" i="10" s="1"/>
  <c r="DZ9" i="10" a="1"/>
  <c r="DR14" i="10" l="1" a="1"/>
  <c r="DR14" i="10" s="1"/>
  <c r="DS12" i="10" a="1"/>
  <c r="DS12" i="10" s="1"/>
  <c r="DR15" i="10" a="1"/>
  <c r="DR15" i="10" s="1"/>
  <c r="DS10" i="10" a="1"/>
  <c r="DS10" i="10" s="1"/>
  <c r="DS11" i="10" s="1" a="1"/>
  <c r="DS11" i="10" s="1"/>
  <c r="DV14" i="10" a="1"/>
  <c r="DV14" i="10" s="1"/>
  <c r="DT14" i="10" a="1"/>
  <c r="DT14" i="10" s="1"/>
  <c r="DT15" i="10" a="1"/>
  <c r="DT15" i="10" s="1"/>
  <c r="DS14" i="10" a="1"/>
  <c r="DS14" i="10" s="1"/>
  <c r="DV12" i="10" a="1"/>
  <c r="DV12" i="10" s="1"/>
  <c r="DV15" i="10" a="1"/>
  <c r="DV15" i="10" s="1"/>
  <c r="DV11" i="10" a="1"/>
  <c r="DV11" i="10" s="1"/>
  <c r="DV10" i="10" a="1"/>
  <c r="DV10" i="10" s="1"/>
  <c r="DW9" i="10" a="1"/>
  <c r="DW9" i="10" s="1"/>
  <c r="DZ9" i="10"/>
  <c r="DZ14" i="10" s="1" a="1"/>
  <c r="DZ14" i="10" s="1"/>
  <c r="DS17" i="10" a="1"/>
  <c r="DY14" i="10" l="1" a="1"/>
  <c r="DY14" i="10" s="1"/>
  <c r="EC11" i="10" a="1"/>
  <c r="EC11" i="10" s="1"/>
  <c r="EC10" i="10" a="1"/>
  <c r="EC10" i="10" s="1"/>
  <c r="EA14" i="10" a="1"/>
  <c r="EA14" i="10" s="1"/>
  <c r="DY9" i="10"/>
  <c r="ED9" i="10" a="1"/>
  <c r="ED9" i="10" s="1"/>
  <c r="EA15" i="10" a="1"/>
  <c r="EA15" i="10" s="1"/>
  <c r="DZ12" i="10" a="1"/>
  <c r="DZ12" i="10" s="1"/>
  <c r="DY15" i="10" a="1"/>
  <c r="DY15" i="10" s="1"/>
  <c r="DZ10" i="10" a="1"/>
  <c r="DZ10" i="10" s="1"/>
  <c r="DZ11" i="10" s="1" a="1"/>
  <c r="DZ11" i="10" s="1"/>
  <c r="EC14" i="10" a="1"/>
  <c r="EC14" i="10" s="1"/>
  <c r="EC15" i="10" a="1"/>
  <c r="EC15" i="10" s="1"/>
  <c r="EC12" i="10" a="1"/>
  <c r="EC12" i="10" s="1"/>
  <c r="DS17" i="10"/>
  <c r="DS18" i="10" s="1" a="1"/>
  <c r="DS18" i="10" s="1"/>
  <c r="DS19" i="10" s="1" a="1"/>
  <c r="DS19" i="10" s="1"/>
  <c r="DZ17" i="10" a="1"/>
  <c r="DV20" i="10" l="1" a="1"/>
  <c r="DV20" i="10" s="1"/>
  <c r="DR17" i="10"/>
  <c r="DS22" i="10" a="1"/>
  <c r="DS22" i="10" s="1"/>
  <c r="DR23" i="10" a="1"/>
  <c r="DR23" i="10" s="1"/>
  <c r="DV18" i="10" a="1"/>
  <c r="DV18" i="10" s="1"/>
  <c r="DT23" i="10" a="1"/>
  <c r="DT23" i="10" s="1"/>
  <c r="DR22" i="10" a="1"/>
  <c r="DR22" i="10" s="1"/>
  <c r="DS20" i="10" a="1"/>
  <c r="DS20" i="10" s="1"/>
  <c r="DV19" i="10" a="1"/>
  <c r="DV19" i="10" s="1"/>
  <c r="DV23" i="10" a="1"/>
  <c r="DV23" i="10" s="1"/>
  <c r="DV22" i="10" a="1"/>
  <c r="DV22" i="10" s="1"/>
  <c r="DT22" i="10" a="1"/>
  <c r="DT22" i="10" s="1"/>
  <c r="DW17" i="10" a="1"/>
  <c r="DW17" i="10" s="1"/>
  <c r="DZ17" i="10"/>
  <c r="DZ20" i="10" s="1" a="1"/>
  <c r="DZ20" i="10" s="1"/>
  <c r="ED17" i="10" a="1"/>
  <c r="ED17" i="10" s="1"/>
  <c r="DZ22" i="10" a="1"/>
  <c r="DZ22" i="10" s="1"/>
  <c r="DS25" i="10" a="1"/>
  <c r="EA23" i="10" l="1" a="1"/>
  <c r="EA23" i="10" s="1"/>
  <c r="EC23" i="10" a="1"/>
  <c r="EC23" i="10" s="1"/>
  <c r="DY23" i="10" a="1"/>
  <c r="DY23" i="10" s="1"/>
  <c r="DY22" i="10" a="1"/>
  <c r="DY22" i="10" s="1"/>
  <c r="EC22" i="10" a="1"/>
  <c r="EC22" i="10" s="1"/>
  <c r="EC20" i="10" a="1"/>
  <c r="EC20" i="10" s="1"/>
  <c r="EC19" i="10" a="1"/>
  <c r="EC19" i="10" s="1"/>
  <c r="DY17" i="10"/>
  <c r="EC18" i="10" a="1"/>
  <c r="EC18" i="10" s="1"/>
  <c r="EA22" i="10" a="1"/>
  <c r="EA22" i="10" s="1"/>
  <c r="DZ18" i="10" a="1"/>
  <c r="DZ18" i="10" s="1"/>
  <c r="DZ19" i="10" s="1" a="1"/>
  <c r="DZ19" i="10" s="1"/>
  <c r="DS25" i="10"/>
  <c r="DW25" i="10" s="1" a="1"/>
  <c r="DW25" i="10" s="1"/>
  <c r="DZ25" i="10" a="1"/>
  <c r="DR25" i="10" l="1"/>
  <c r="DV31" i="10" a="1"/>
  <c r="DV31" i="10" s="1"/>
  <c r="DR30" i="10" a="1"/>
  <c r="DR30" i="10" s="1"/>
  <c r="DS28" i="10" a="1"/>
  <c r="DS28" i="10" s="1"/>
  <c r="DT31" i="10" a="1"/>
  <c r="DT31" i="10" s="1"/>
  <c r="DS30" i="10" a="1"/>
  <c r="DS30" i="10" s="1"/>
  <c r="DV30" i="10" a="1"/>
  <c r="DV30" i="10" s="1"/>
  <c r="DV27" i="10" a="1"/>
  <c r="DV27" i="10" s="1"/>
  <c r="DV26" i="10" a="1"/>
  <c r="DV26" i="10" s="1"/>
  <c r="DV28" i="10" a="1"/>
  <c r="DV28" i="10" s="1"/>
  <c r="DS26" i="10" a="1"/>
  <c r="DS26" i="10" s="1"/>
  <c r="DS27" i="10" s="1" a="1"/>
  <c r="DS27" i="10" s="1"/>
  <c r="DT30" i="10" a="1"/>
  <c r="DT30" i="10" s="1"/>
  <c r="DR31" i="10" a="1"/>
  <c r="DR31" i="10" s="1"/>
  <c r="DZ25" i="10"/>
  <c r="EC27" i="10" s="1" a="1"/>
  <c r="EC27" i="10" s="1"/>
  <c r="DS33" i="10" a="1"/>
  <c r="EA31" i="10" l="1" a="1"/>
  <c r="EA31" i="10" s="1"/>
  <c r="EA30" i="10" a="1"/>
  <c r="EA30" i="10" s="1"/>
  <c r="EC26" i="10" a="1"/>
  <c r="EC26" i="10" s="1"/>
  <c r="DY25" i="10"/>
  <c r="DZ30" i="10" a="1"/>
  <c r="DZ30" i="10" s="1"/>
  <c r="DZ26" i="10" a="1"/>
  <c r="DZ26" i="10" s="1"/>
  <c r="DZ27" i="10" s="1" a="1"/>
  <c r="DZ27" i="10" s="1"/>
  <c r="DY30" i="10" a="1"/>
  <c r="DY30" i="10" s="1"/>
  <c r="EC28" i="10" a="1"/>
  <c r="EC28" i="10" s="1"/>
  <c r="ED25" i="10" a="1"/>
  <c r="ED25" i="10" s="1"/>
  <c r="EC31" i="10" a="1"/>
  <c r="EC31" i="10" s="1"/>
  <c r="DY31" i="10" a="1"/>
  <c r="DY31" i="10" s="1"/>
  <c r="EC30" i="10" a="1"/>
  <c r="EC30" i="10" s="1"/>
  <c r="DZ28" i="10" a="1"/>
  <c r="DZ28" i="10" s="1"/>
  <c r="DS33" i="10"/>
  <c r="DV35" i="10" s="1" a="1"/>
  <c r="DV35" i="10" s="1"/>
  <c r="DZ33" i="10" a="1"/>
  <c r="DV39" i="10" l="1" a="1"/>
  <c r="DV39" i="10" s="1"/>
  <c r="DV34" i="10" a="1"/>
  <c r="DV34" i="10" s="1"/>
  <c r="DW33" i="10" a="1"/>
  <c r="DW33" i="10" s="1"/>
  <c r="DS36" i="10" a="1"/>
  <c r="DS36" i="10" s="1"/>
  <c r="DT38" i="10" a="1"/>
  <c r="DT38" i="10" s="1"/>
  <c r="DV36" i="10" a="1"/>
  <c r="DV36" i="10" s="1"/>
  <c r="DS34" i="10" a="1"/>
  <c r="DS34" i="10" s="1"/>
  <c r="DS35" i="10" s="1" a="1"/>
  <c r="DS35" i="10" s="1"/>
  <c r="DR33" i="10"/>
  <c r="DT39" i="10" a="1"/>
  <c r="DT39" i="10" s="1"/>
  <c r="DS38" i="10" a="1"/>
  <c r="DS38" i="10" s="1"/>
  <c r="DV38" i="10" a="1"/>
  <c r="DV38" i="10" s="1"/>
  <c r="DR39" i="10" a="1"/>
  <c r="DR39" i="10" s="1"/>
  <c r="DR38" i="10" a="1"/>
  <c r="DR38" i="10" s="1"/>
  <c r="DZ33" i="10"/>
  <c r="DY33" i="10" s="1"/>
  <c r="DS41" i="10" a="1"/>
  <c r="EC34" i="10" l="1" a="1"/>
  <c r="EC34" i="10" s="1"/>
  <c r="EA39" i="10" a="1"/>
  <c r="EA39" i="10" s="1"/>
  <c r="DY38" i="10" a="1"/>
  <c r="DY38" i="10" s="1"/>
  <c r="EC38" i="10" a="1"/>
  <c r="EC38" i="10" s="1"/>
  <c r="DY39" i="10" a="1"/>
  <c r="DY39" i="10" s="1"/>
  <c r="EC39" i="10" a="1"/>
  <c r="EC39" i="10" s="1"/>
  <c r="DZ36" i="10" a="1"/>
  <c r="DZ36" i="10" s="1"/>
  <c r="DZ38" i="10" a="1"/>
  <c r="DZ38" i="10" s="1"/>
  <c r="EC36" i="10" a="1"/>
  <c r="EC36" i="10" s="1"/>
  <c r="EA38" i="10" a="1"/>
  <c r="EA38" i="10" s="1"/>
  <c r="DZ34" i="10" a="1"/>
  <c r="DZ34" i="10" s="1"/>
  <c r="DZ35" i="10" s="1" a="1"/>
  <c r="DZ35" i="10" s="1"/>
  <c r="EC35" i="10" a="1"/>
  <c r="EC35" i="10" s="1"/>
  <c r="ED33" i="10" a="1"/>
  <c r="ED33" i="10" s="1"/>
  <c r="DS41" i="10"/>
  <c r="DV47" i="10" s="1" a="1"/>
  <c r="DV47" i="10" s="1"/>
  <c r="DZ41" i="10" a="1"/>
  <c r="DV42" i="10" l="1" a="1"/>
  <c r="DV42" i="10" s="1"/>
  <c r="DV44" i="10" a="1"/>
  <c r="DV44" i="10" s="1"/>
  <c r="DR41" i="10"/>
  <c r="DT47" i="10" a="1"/>
  <c r="DT47" i="10" s="1"/>
  <c r="DS46" i="10" a="1"/>
  <c r="DS46" i="10" s="1"/>
  <c r="DT46" i="10" a="1"/>
  <c r="DT46" i="10" s="1"/>
  <c r="DS42" i="10" a="1"/>
  <c r="DS42" i="10" s="1"/>
  <c r="DS43" i="10" s="1" a="1"/>
  <c r="DS43" i="10" s="1"/>
  <c r="DV46" i="10" a="1"/>
  <c r="DV46" i="10" s="1"/>
  <c r="DR47" i="10" a="1"/>
  <c r="DR47" i="10" s="1"/>
  <c r="DR46" i="10" a="1"/>
  <c r="DR46" i="10" s="1"/>
  <c r="DV43" i="10" a="1"/>
  <c r="DV43" i="10" s="1"/>
  <c r="DW41" i="10" a="1"/>
  <c r="DW41" i="10" s="1"/>
  <c r="DS44" i="10" a="1"/>
  <c r="DS44" i="10" s="1"/>
  <c r="DZ41" i="10"/>
  <c r="DY41" i="10" s="1"/>
  <c r="EH1" i="10" a="1"/>
  <c r="EA47" i="10" l="1" a="1"/>
  <c r="EA47" i="10" s="1"/>
  <c r="DY46" i="10" a="1"/>
  <c r="DY46" i="10" s="1"/>
  <c r="DZ42" i="10" a="1"/>
  <c r="DZ42" i="10" s="1"/>
  <c r="DZ43" i="10" s="1" a="1"/>
  <c r="DZ43" i="10" s="1"/>
  <c r="EC47" i="10" a="1"/>
  <c r="EC47" i="10" s="1"/>
  <c r="EC43" i="10" a="1"/>
  <c r="EC43" i="10" s="1"/>
  <c r="EA46" i="10" a="1"/>
  <c r="EA46" i="10" s="1"/>
  <c r="EC42" i="10" a="1"/>
  <c r="EC42" i="10" s="1"/>
  <c r="DZ46" i="10" a="1"/>
  <c r="DZ46" i="10" s="1"/>
  <c r="EC44" i="10" a="1"/>
  <c r="EC44" i="10" s="1"/>
  <c r="ED41" i="10" a="1"/>
  <c r="ED41" i="10" s="1"/>
  <c r="DY47" i="10" a="1"/>
  <c r="DY47" i="10" s="1"/>
  <c r="DZ44" i="10" a="1"/>
  <c r="DZ44" i="10" s="1"/>
  <c r="EC46" i="10" a="1"/>
  <c r="EC46" i="10" s="1"/>
  <c r="EH1" i="10"/>
  <c r="EH2" i="10" s="1" a="1"/>
  <c r="EH2" i="10" s="1"/>
  <c r="EH3" i="10" s="1" a="1"/>
  <c r="EH3" i="10" s="1"/>
  <c r="EO1" i="10" a="1"/>
  <c r="EK4" i="10" l="1" a="1"/>
  <c r="EK4" i="10" s="1"/>
  <c r="EH6" i="10" a="1"/>
  <c r="EH6" i="10" s="1"/>
  <c r="EL1" i="10" a="1"/>
  <c r="EL1" i="10" s="1"/>
  <c r="EI7" i="10" a="1"/>
  <c r="EI7" i="10" s="1"/>
  <c r="EK3" i="10" a="1"/>
  <c r="EK3" i="10" s="1"/>
  <c r="EK6" i="10" a="1"/>
  <c r="EK6" i="10" s="1"/>
  <c r="EK2" i="10" a="1"/>
  <c r="EK2" i="10" s="1"/>
  <c r="EK7" i="10" a="1"/>
  <c r="EK7" i="10" s="1"/>
  <c r="EG6" i="10" a="1"/>
  <c r="EG6" i="10" s="1"/>
  <c r="EG7" i="10" a="1"/>
  <c r="EG7" i="10" s="1"/>
  <c r="EI6" i="10" a="1"/>
  <c r="EI6" i="10" s="1"/>
  <c r="EH4" i="10" a="1"/>
  <c r="EH4" i="10" s="1"/>
  <c r="EG1" i="10"/>
  <c r="EO1" i="10"/>
  <c r="EO2" i="10" s="1" a="1"/>
  <c r="EO2" i="10" s="1"/>
  <c r="EO3" i="10" s="1" a="1"/>
  <c r="EO3" i="10" s="1"/>
  <c r="EH9" i="10" a="1"/>
  <c r="EN6" i="10" l="1" a="1"/>
  <c r="EN6" i="10" s="1"/>
  <c r="EN1" i="10"/>
  <c r="EO6" i="10" a="1"/>
  <c r="EO6" i="10" s="1"/>
  <c r="ER4" i="10" a="1"/>
  <c r="ER4" i="10" s="1"/>
  <c r="ER3" i="10" a="1"/>
  <c r="ER3" i="10" s="1"/>
  <c r="ER2" i="10" a="1"/>
  <c r="ER2" i="10" s="1"/>
  <c r="ES1" i="10" a="1"/>
  <c r="ES1" i="10" s="1"/>
  <c r="EP7" i="10" a="1"/>
  <c r="EP7" i="10" s="1"/>
  <c r="EO4" i="10" a="1"/>
  <c r="EO4" i="10" s="1"/>
  <c r="EP6" i="10" a="1"/>
  <c r="EP6" i="10" s="1"/>
  <c r="ER7" i="10" a="1"/>
  <c r="ER7" i="10" s="1"/>
  <c r="EN7" i="10" a="1"/>
  <c r="EN7" i="10" s="1"/>
  <c r="ER6" i="10" a="1"/>
  <c r="ER6" i="10" s="1"/>
  <c r="EH9" i="10"/>
  <c r="EH10" i="10" s="1" a="1"/>
  <c r="EH10" i="10" s="1"/>
  <c r="EH11" i="10" s="1" a="1"/>
  <c r="EH11" i="10" s="1"/>
  <c r="EO9" i="10" a="1"/>
  <c r="EH14" i="10" l="1" a="1"/>
  <c r="EH14" i="10" s="1"/>
  <c r="EK12" i="10" a="1"/>
  <c r="EK12" i="10" s="1"/>
  <c r="EK11" i="10" a="1"/>
  <c r="EK11" i="10" s="1"/>
  <c r="EL9" i="10" a="1"/>
  <c r="EL9" i="10" s="1"/>
  <c r="EK15" i="10" a="1"/>
  <c r="EK15" i="10" s="1"/>
  <c r="EK10" i="10" a="1"/>
  <c r="EK10" i="10" s="1"/>
  <c r="EI15" i="10" a="1"/>
  <c r="EI15" i="10" s="1"/>
  <c r="EK14" i="10" a="1"/>
  <c r="EK14" i="10" s="1"/>
  <c r="EG15" i="10" a="1"/>
  <c r="EG15" i="10" s="1"/>
  <c r="EG14" i="10" a="1"/>
  <c r="EG14" i="10" s="1"/>
  <c r="EI14" i="10" a="1"/>
  <c r="EI14" i="10" s="1"/>
  <c r="EH12" i="10" a="1"/>
  <c r="EH12" i="10" s="1"/>
  <c r="EG9" i="10"/>
  <c r="EO9" i="10"/>
  <c r="EP14" i="10" s="1" a="1"/>
  <c r="EP14" i="10" s="1"/>
  <c r="EO10" i="10" a="1"/>
  <c r="EO10" i="10" s="1"/>
  <c r="EO11" i="10" s="1" a="1"/>
  <c r="EO11" i="10" s="1"/>
  <c r="EH17" i="10" a="1"/>
  <c r="EN15" i="10" l="1" a="1"/>
  <c r="EN15" i="10" s="1"/>
  <c r="EO14" i="10" a="1"/>
  <c r="EO14" i="10" s="1"/>
  <c r="EN9" i="10"/>
  <c r="EN14" i="10" a="1"/>
  <c r="EN14" i="10" s="1"/>
  <c r="ER15" i="10" a="1"/>
  <c r="ER15" i="10" s="1"/>
  <c r="ER14" i="10" a="1"/>
  <c r="ER14" i="10" s="1"/>
  <c r="ER12" i="10" a="1"/>
  <c r="ER12" i="10" s="1"/>
  <c r="ER11" i="10" a="1"/>
  <c r="ER11" i="10" s="1"/>
  <c r="ER10" i="10" a="1"/>
  <c r="ER10" i="10" s="1"/>
  <c r="ES9" i="10" a="1"/>
  <c r="ES9" i="10" s="1"/>
  <c r="EO12" i="10" a="1"/>
  <c r="EO12" i="10" s="1"/>
  <c r="EP15" i="10" a="1"/>
  <c r="EP15" i="10" s="1"/>
  <c r="EH17" i="10"/>
  <c r="EK23" i="10" s="1" a="1"/>
  <c r="EK23" i="10" s="1"/>
  <c r="EO17" i="10" a="1"/>
  <c r="EK22" i="10" l="1" a="1"/>
  <c r="EK22" i="10" s="1"/>
  <c r="EG22" i="10" a="1"/>
  <c r="EG22" i="10" s="1"/>
  <c r="EH20" i="10" a="1"/>
  <c r="EH20" i="10" s="1"/>
  <c r="EG23" i="10" a="1"/>
  <c r="EG23" i="10" s="1"/>
  <c r="EI22" i="10" a="1"/>
  <c r="EI22" i="10" s="1"/>
  <c r="EH18" i="10" a="1"/>
  <c r="EH18" i="10" s="1"/>
  <c r="EH19" i="10" s="1" a="1"/>
  <c r="EH19" i="10" s="1"/>
  <c r="EL17" i="10" a="1"/>
  <c r="EL17" i="10" s="1"/>
  <c r="EI23" i="10" a="1"/>
  <c r="EI23" i="10" s="1"/>
  <c r="EG17" i="10"/>
  <c r="EH22" i="10" a="1"/>
  <c r="EH22" i="10" s="1"/>
  <c r="EK20" i="10" a="1"/>
  <c r="EK20" i="10" s="1"/>
  <c r="EK19" i="10" a="1"/>
  <c r="EK19" i="10" s="1"/>
  <c r="EK18" i="10" a="1"/>
  <c r="EK18" i="10" s="1"/>
  <c r="EO17" i="10"/>
  <c r="EO20" i="10" s="1" a="1"/>
  <c r="EO20" i="10" s="1"/>
  <c r="EN22" i="10" a="1"/>
  <c r="EN22" i="10" s="1"/>
  <c r="EN17" i="10"/>
  <c r="EH25" i="10" a="1"/>
  <c r="EO22" i="10" l="1" a="1"/>
  <c r="EO22" i="10" s="1"/>
  <c r="EO18" i="10" a="1"/>
  <c r="EO18" i="10" s="1"/>
  <c r="EO19" i="10" s="1" a="1"/>
  <c r="EO19" i="10" s="1"/>
  <c r="ER22" i="10" a="1"/>
  <c r="ER22" i="10" s="1"/>
  <c r="ER20" i="10" a="1"/>
  <c r="ER20" i="10" s="1"/>
  <c r="ER19" i="10" a="1"/>
  <c r="ER19" i="10" s="1"/>
  <c r="ER18" i="10" a="1"/>
  <c r="ER18" i="10" s="1"/>
  <c r="ES17" i="10" a="1"/>
  <c r="ES17" i="10" s="1"/>
  <c r="EP23" i="10" a="1"/>
  <c r="EP23" i="10" s="1"/>
  <c r="EN23" i="10" a="1"/>
  <c r="EN23" i="10" s="1"/>
  <c r="EP22" i="10" a="1"/>
  <c r="EP22" i="10" s="1"/>
  <c r="ER23" i="10" a="1"/>
  <c r="ER23" i="10" s="1"/>
  <c r="EH25" i="10"/>
  <c r="EK30" i="10" s="1" a="1"/>
  <c r="EK30" i="10" s="1"/>
  <c r="EO25" i="10" a="1"/>
  <c r="EH30" i="10" l="1" a="1"/>
  <c r="EH30" i="10" s="1"/>
  <c r="EK26" i="10" a="1"/>
  <c r="EK26" i="10" s="1"/>
  <c r="EH26" i="10" a="1"/>
  <c r="EH26" i="10" s="1"/>
  <c r="EH27" i="10" s="1" a="1"/>
  <c r="EH27" i="10" s="1"/>
  <c r="EK27" i="10" a="1"/>
  <c r="EK27" i="10" s="1"/>
  <c r="EI30" i="10" a="1"/>
  <c r="EI30" i="10" s="1"/>
  <c r="EG25" i="10"/>
  <c r="EG30" i="10" a="1"/>
  <c r="EG30" i="10" s="1"/>
  <c r="EH28" i="10" a="1"/>
  <c r="EH28" i="10" s="1"/>
  <c r="EL25" i="10" a="1"/>
  <c r="EL25" i="10" s="1"/>
  <c r="EK31" i="10" a="1"/>
  <c r="EK31" i="10" s="1"/>
  <c r="EI31" i="10" a="1"/>
  <c r="EI31" i="10" s="1"/>
  <c r="EK28" i="10" a="1"/>
  <c r="EK28" i="10" s="1"/>
  <c r="EG31" i="10" a="1"/>
  <c r="EG31" i="10" s="1"/>
  <c r="EO25" i="10"/>
  <c r="EN31" i="10" s="1" a="1"/>
  <c r="EN31" i="10" s="1"/>
  <c r="EH33" i="10" a="1"/>
  <c r="EP31" i="10" l="1" a="1"/>
  <c r="EP31" i="10" s="1"/>
  <c r="EP30" i="10" a="1"/>
  <c r="EP30" i="10" s="1"/>
  <c r="EN30" i="10" a="1"/>
  <c r="EN30" i="10" s="1"/>
  <c r="ER26" i="10" a="1"/>
  <c r="ER26" i="10" s="1"/>
  <c r="ER27" i="10" a="1"/>
  <c r="ER27" i="10" s="1"/>
  <c r="EO26" i="10" a="1"/>
  <c r="EO26" i="10" s="1"/>
  <c r="EO27" i="10" s="1" a="1"/>
  <c r="EO27" i="10" s="1"/>
  <c r="EN25" i="10"/>
  <c r="ER30" i="10" a="1"/>
  <c r="ER30" i="10" s="1"/>
  <c r="EO30" i="10" a="1"/>
  <c r="EO30" i="10" s="1"/>
  <c r="ES25" i="10" a="1"/>
  <c r="ES25" i="10" s="1"/>
  <c r="ER31" i="10" a="1"/>
  <c r="ER31" i="10" s="1"/>
  <c r="EO28" i="10" a="1"/>
  <c r="EO28" i="10" s="1"/>
  <c r="ER28" i="10" a="1"/>
  <c r="ER28" i="10" s="1"/>
  <c r="EH33" i="10"/>
  <c r="EK36" i="10" s="1" a="1"/>
  <c r="EK36" i="10" s="1"/>
  <c r="EK35" i="10" a="1"/>
  <c r="EK35" i="10" s="1"/>
  <c r="EK34" i="10" a="1"/>
  <c r="EK34" i="10" s="1"/>
  <c r="EO33" i="10" a="1"/>
  <c r="EH38" i="10" l="1" a="1"/>
  <c r="EH38" i="10" s="1"/>
  <c r="EG33" i="10"/>
  <c r="EK39" i="10" a="1"/>
  <c r="EK39" i="10" s="1"/>
  <c r="EH34" i="10" a="1"/>
  <c r="EH34" i="10" s="1"/>
  <c r="EH35" i="10" s="1" a="1"/>
  <c r="EH35" i="10" s="1"/>
  <c r="EL33" i="10" a="1"/>
  <c r="EL33" i="10" s="1"/>
  <c r="EI38" i="10" a="1"/>
  <c r="EI38" i="10" s="1"/>
  <c r="EI39" i="10" a="1"/>
  <c r="EI39" i="10" s="1"/>
  <c r="EG39" i="10" a="1"/>
  <c r="EG39" i="10" s="1"/>
  <c r="EG38" i="10" a="1"/>
  <c r="EG38" i="10" s="1"/>
  <c r="EH36" i="10" a="1"/>
  <c r="EH36" i="10" s="1"/>
  <c r="EK38" i="10" a="1"/>
  <c r="EK38" i="10" s="1"/>
  <c r="EO33" i="10"/>
  <c r="EO34" i="10" s="1" a="1"/>
  <c r="EO34" i="10" s="1"/>
  <c r="EO35" i="10" s="1" a="1"/>
  <c r="EO35" i="10" s="1"/>
  <c r="ER39" i="10" a="1"/>
  <c r="ER39" i="10" s="1"/>
  <c r="EH41" i="10" a="1"/>
  <c r="ER35" i="10" l="1" a="1"/>
  <c r="ER35" i="10" s="1"/>
  <c r="ER34" i="10" a="1"/>
  <c r="ER34" i="10" s="1"/>
  <c r="EO38" i="10" a="1"/>
  <c r="EO38" i="10" s="1"/>
  <c r="EN33" i="10"/>
  <c r="EN39" i="10" a="1"/>
  <c r="EN39" i="10" s="1"/>
  <c r="ES33" i="10" a="1"/>
  <c r="ES33" i="10" s="1"/>
  <c r="ER38" i="10" a="1"/>
  <c r="ER38" i="10" s="1"/>
  <c r="EN38" i="10" a="1"/>
  <c r="EN38" i="10" s="1"/>
  <c r="EP39" i="10" a="1"/>
  <c r="EP39" i="10" s="1"/>
  <c r="EP38" i="10" a="1"/>
  <c r="EP38" i="10" s="1"/>
  <c r="EO36" i="10" a="1"/>
  <c r="EO36" i="10" s="1"/>
  <c r="ER36" i="10" a="1"/>
  <c r="ER36" i="10" s="1"/>
  <c r="EH41" i="10"/>
  <c r="EH46" i="10" s="1" a="1"/>
  <c r="EH46" i="10" s="1"/>
  <c r="EO41" i="10" a="1"/>
  <c r="EI46" i="10" l="1" a="1"/>
  <c r="EI46" i="10" s="1"/>
  <c r="EK43" i="10" a="1"/>
  <c r="EK43" i="10" s="1"/>
  <c r="EK44" i="10" a="1"/>
  <c r="EK44" i="10" s="1"/>
  <c r="EI47" i="10" a="1"/>
  <c r="EI47" i="10" s="1"/>
  <c r="EK47" i="10" a="1"/>
  <c r="EK47" i="10" s="1"/>
  <c r="EG41" i="10"/>
  <c r="EG46" i="10" a="1"/>
  <c r="EG46" i="10" s="1"/>
  <c r="EH44" i="10" a="1"/>
  <c r="EH44" i="10" s="1"/>
  <c r="EK42" i="10" a="1"/>
  <c r="EK42" i="10" s="1"/>
  <c r="EH42" i="10" a="1"/>
  <c r="EH42" i="10" s="1"/>
  <c r="EH43" i="10" s="1" a="1"/>
  <c r="EH43" i="10" s="1"/>
  <c r="EG47" i="10" a="1"/>
  <c r="EG47" i="10" s="1"/>
  <c r="EL41" i="10" a="1"/>
  <c r="EL41" i="10" s="1"/>
  <c r="EK46" i="10" a="1"/>
  <c r="EK46" i="10" s="1"/>
  <c r="EO41" i="10"/>
  <c r="ER42" i="10" s="1" a="1"/>
  <c r="ER42" i="10" s="1"/>
  <c r="AD116" i="12" a="1"/>
  <c r="AD116" i="12" s="1"/>
  <c r="AD133" i="12" a="1"/>
  <c r="AD133" i="12" s="1"/>
  <c r="AD1" i="12" a="1"/>
  <c r="AD1" i="12" s="1"/>
  <c r="AD122" i="12" a="1"/>
  <c r="AD122" i="12" s="1"/>
  <c r="AD102" i="12" a="1"/>
  <c r="AD102" i="12" s="1"/>
  <c r="AD138" i="12" a="1"/>
  <c r="AD138" i="12" s="1"/>
  <c r="AD135" i="12" a="1"/>
  <c r="AD135" i="12" s="1"/>
  <c r="AD121" i="12" a="1"/>
  <c r="AD121" i="12" s="1"/>
  <c r="AD117" i="12" a="1"/>
  <c r="AD117" i="12" s="1"/>
  <c r="AD114" i="12" a="1"/>
  <c r="AD114" i="12" s="1"/>
  <c r="AD125" i="12" a="1"/>
  <c r="AD125" i="12" s="1"/>
  <c r="AD131" i="12" a="1"/>
  <c r="AD131" i="12" s="1"/>
  <c r="AD136" i="12" a="1"/>
  <c r="AD136" i="12" s="1"/>
  <c r="AD119" i="12" a="1"/>
  <c r="AD119" i="12" s="1"/>
  <c r="AD115" i="12" a="1"/>
  <c r="AD115" i="12" s="1"/>
  <c r="AD103" i="12" a="1"/>
  <c r="AD103" i="12" s="1"/>
  <c r="AD127" i="12" a="1"/>
  <c r="AD127" i="12" s="1"/>
  <c r="AD132" i="12" a="1"/>
  <c r="AD132" i="12" s="1"/>
  <c r="AD129" i="12" a="1"/>
  <c r="AD129" i="12" s="1"/>
  <c r="AD106" i="12" a="1"/>
  <c r="AD106" i="12" s="1"/>
  <c r="AD109" i="12" a="1"/>
  <c r="AD109" i="12" s="1"/>
  <c r="AD123" i="12" a="1"/>
  <c r="AD123" i="12" s="1"/>
  <c r="AD130" i="12" a="1"/>
  <c r="AD130" i="12" s="1"/>
  <c r="AD110" i="12" a="1"/>
  <c r="AD110" i="12" s="1"/>
  <c r="AD104" i="12" a="1"/>
  <c r="AD104" i="12" s="1"/>
  <c r="AD126" i="12" a="1"/>
  <c r="AD126" i="12" s="1"/>
  <c r="AD113" i="12" a="1"/>
  <c r="AD113" i="12" s="1"/>
  <c r="AD101" i="12" a="1"/>
  <c r="AD101" i="12" s="1"/>
  <c r="AD107" i="12" a="1"/>
  <c r="AD107" i="12" s="1"/>
  <c r="AD108" i="12" a="1"/>
  <c r="AD108" i="12" s="1"/>
  <c r="AD112" i="12" a="1"/>
  <c r="AD112" i="12" s="1"/>
  <c r="AD118" i="12" a="1"/>
  <c r="AD118" i="12" s="1"/>
  <c r="AD120" i="12" a="1"/>
  <c r="AD120" i="12" s="1"/>
  <c r="AD124" i="12" a="1"/>
  <c r="AD124" i="12" s="1"/>
  <c r="AD128" i="12" a="1"/>
  <c r="AD128" i="12" s="1"/>
  <c r="AD134" i="12" a="1"/>
  <c r="AD134" i="12" s="1"/>
  <c r="AD137" i="12" a="1"/>
  <c r="AD137" i="12" s="1"/>
  <c r="AD111" i="12" a="1"/>
  <c r="AD111" i="12" s="1"/>
  <c r="AD105" i="12" a="1"/>
  <c r="AD105" i="12" s="1"/>
  <c r="AK1" i="12" a="1"/>
  <c r="AN1" i="12" a="1"/>
  <c r="AJ1" i="12" a="1"/>
  <c r="EO42" i="10" l="1" a="1"/>
  <c r="EO42" i="10" s="1"/>
  <c r="EO43" i="10" s="1" a="1"/>
  <c r="EO43" i="10" s="1"/>
  <c r="ER44" i="10" a="1"/>
  <c r="ER44" i="10" s="1"/>
  <c r="EN41" i="10"/>
  <c r="EO44" i="10" a="1"/>
  <c r="EO44" i="10" s="1"/>
  <c r="ES41" i="10" a="1"/>
  <c r="ES41" i="10" s="1"/>
  <c r="ER46" i="10" a="1"/>
  <c r="ER46" i="10" s="1"/>
  <c r="ER47" i="10" a="1"/>
  <c r="ER47" i="10" s="1"/>
  <c r="EN47" i="10" a="1"/>
  <c r="EN47" i="10" s="1"/>
  <c r="EP46" i="10" a="1"/>
  <c r="EP46" i="10" s="1"/>
  <c r="EN46" i="10" a="1"/>
  <c r="EN46" i="10" s="1"/>
  <c r="EO46" i="10" a="1"/>
  <c r="EO46" i="10" s="1"/>
  <c r="EP47" i="10" a="1"/>
  <c r="EP47" i="10" s="1"/>
  <c r="ER43" i="10" a="1"/>
  <c r="ER43" i="10" s="1"/>
  <c r="AJ1" i="12"/>
  <c r="AN1" i="12"/>
  <c r="AK1" i="12"/>
  <c r="B2" i="13"/>
  <c r="AF1" i="12" a="1"/>
  <c r="AE1" i="12" a="1"/>
  <c r="AE1" i="12" l="1"/>
  <c r="AF1" i="12"/>
  <c r="AO1" i="12"/>
  <c r="AP1" i="12"/>
  <c r="AH1" i="12" a="1"/>
  <c r="AI1" i="12" a="1"/>
  <c r="AD2" i="12" a="1"/>
  <c r="AD2" i="12" l="1"/>
  <c r="AI1" i="12"/>
  <c r="AH1" i="12"/>
  <c r="AR1" i="12"/>
  <c r="AS1" i="12"/>
  <c r="AQ1" i="12"/>
  <c r="C1" i="13"/>
  <c r="AG1" i="12" a="1"/>
  <c r="AG1" i="12" l="1"/>
  <c r="AL1" i="12" s="1"/>
  <c r="B6" i="13"/>
  <c r="G1" i="13"/>
  <c r="C2" i="13"/>
  <c r="C6" i="13"/>
  <c r="B1" i="13"/>
  <c r="D6" i="13"/>
  <c r="F3" i="13"/>
  <c r="F4" i="13"/>
  <c r="C3" i="13"/>
  <c r="F7" i="13" s="1"/>
  <c r="H1" i="13"/>
  <c r="AN2" i="12" a="1"/>
  <c r="AJ2" i="12" a="1"/>
  <c r="AF2" i="12" a="1"/>
  <c r="AK2" i="12" a="1"/>
  <c r="AE2" i="12" a="1"/>
  <c r="C4" i="13" l="1"/>
  <c r="B7" i="13" s="1"/>
  <c r="AE2" i="12"/>
  <c r="AK2" i="12"/>
  <c r="AF2" i="12"/>
  <c r="AJ2" i="12"/>
  <c r="AN2" i="12"/>
  <c r="F6" i="13"/>
  <c r="F2" i="13"/>
  <c r="AM1" i="12"/>
  <c r="AI2" i="12" a="1"/>
  <c r="AH2" i="12" a="1"/>
  <c r="AD3" i="12" a="1"/>
  <c r="D7" i="13" l="1"/>
  <c r="AD3" i="12"/>
  <c r="I2" i="13" s="1"/>
  <c r="AH2" i="12"/>
  <c r="AI2" i="12"/>
  <c r="AO2" i="12"/>
  <c r="AP2" i="12"/>
  <c r="J1" i="13" l="1"/>
  <c r="J3" i="13" s="1"/>
  <c r="AR2" i="12"/>
  <c r="AS2" i="12"/>
  <c r="AQ2" i="12"/>
  <c r="AF3" i="12" a="1"/>
  <c r="AJ3" i="12" a="1"/>
  <c r="AN3" i="12" a="1"/>
  <c r="AG2" i="12" a="1"/>
  <c r="AK3" i="12" a="1"/>
  <c r="AE3" i="12" a="1"/>
  <c r="M6" i="13" l="1"/>
  <c r="M7" i="13"/>
  <c r="J6" i="13"/>
  <c r="J2" i="13"/>
  <c r="N1" i="13"/>
  <c r="K6" i="13"/>
  <c r="I6" i="13"/>
  <c r="I1" i="13"/>
  <c r="M3" i="13"/>
  <c r="M4" i="13"/>
  <c r="AE3" i="12"/>
  <c r="AK3" i="12"/>
  <c r="AG2" i="12"/>
  <c r="AN3" i="12"/>
  <c r="AJ3" i="12"/>
  <c r="AF3" i="12"/>
  <c r="AI3" i="12" a="1"/>
  <c r="AH3" i="12" a="1"/>
  <c r="AD4" i="12" a="1"/>
  <c r="AD4" i="12" l="1"/>
  <c r="A9" i="13" s="1"/>
  <c r="AH3" i="12"/>
  <c r="AI3" i="12"/>
  <c r="AO3" i="12"/>
  <c r="AP3" i="12"/>
  <c r="AL2" i="12"/>
  <c r="J4" i="13"/>
  <c r="AL3" i="12"/>
  <c r="K7" i="13" l="1"/>
  <c r="I7" i="13"/>
  <c r="AM2" i="12"/>
  <c r="M2" i="13" s="1"/>
  <c r="AS3" i="12"/>
  <c r="AR3" i="12"/>
  <c r="AQ3" i="12"/>
  <c r="AM3" i="12"/>
  <c r="AF4" i="12" a="1"/>
  <c r="AN4" i="12" a="1"/>
  <c r="AE4" i="12" a="1"/>
  <c r="AJ4" i="12" a="1"/>
  <c r="AK4" i="12" a="1"/>
  <c r="AG3" i="12" a="1"/>
  <c r="AG3" i="12" l="1"/>
  <c r="AK4" i="12"/>
  <c r="AJ4" i="12"/>
  <c r="AE4" i="12"/>
  <c r="AN4" i="12"/>
  <c r="AF4" i="12"/>
  <c r="AI4" i="12" a="1"/>
  <c r="AH4" i="12" a="1"/>
  <c r="AD5" i="12" a="1"/>
  <c r="AD5" i="12" l="1"/>
  <c r="AH4" i="12"/>
  <c r="AI4" i="12"/>
  <c r="AO4" i="12"/>
  <c r="AP4" i="12"/>
  <c r="AG4" i="12" a="1"/>
  <c r="C9" i="13" l="1"/>
  <c r="B10" i="13"/>
  <c r="AG4" i="12"/>
  <c r="AQ4" i="12"/>
  <c r="AR4" i="12"/>
  <c r="AS4" i="12"/>
  <c r="AK5" i="12" a="1"/>
  <c r="AN5" i="12" a="1"/>
  <c r="AJ5" i="12" a="1"/>
  <c r="AF5" i="12" a="1"/>
  <c r="AE5" i="12" a="1"/>
  <c r="C11" i="13" l="1"/>
  <c r="F14" i="13" s="1"/>
  <c r="F12" i="13"/>
  <c r="F11" i="13"/>
  <c r="G9" i="13"/>
  <c r="B9" i="13"/>
  <c r="B14" i="13"/>
  <c r="D14" i="13"/>
  <c r="C14" i="13"/>
  <c r="C10" i="13"/>
  <c r="C12" i="13"/>
  <c r="B15" i="13"/>
  <c r="D15" i="13"/>
  <c r="AE5" i="12"/>
  <c r="AF5" i="12"/>
  <c r="AJ5" i="12"/>
  <c r="AN5" i="12"/>
  <c r="AK5" i="12"/>
  <c r="AL4" i="12"/>
  <c r="AH5" i="12" a="1"/>
  <c r="AI5" i="12" a="1"/>
  <c r="AD6" i="12" a="1"/>
  <c r="F15" i="13" l="1"/>
  <c r="AD6" i="12"/>
  <c r="H9" i="13" s="1"/>
  <c r="AI5" i="12"/>
  <c r="AH5" i="12"/>
  <c r="AM4" i="12"/>
  <c r="AO5" i="12"/>
  <c r="AP5" i="12"/>
  <c r="AG5" i="12" a="1"/>
  <c r="AG5" i="12" l="1"/>
  <c r="AS5" i="12"/>
  <c r="AR5" i="12"/>
  <c r="AQ5" i="12"/>
  <c r="AE6" i="12" a="1"/>
  <c r="AE6" i="12" s="1"/>
  <c r="AI6" i="12" s="1" a="1"/>
  <c r="AI6" i="12" s="1"/>
  <c r="AF6" i="12" a="1"/>
  <c r="AF6" i="12" s="1"/>
  <c r="AN6" i="12" a="1"/>
  <c r="AN6" i="12" s="1"/>
  <c r="AL6" i="12"/>
  <c r="AM6" i="12" s="1"/>
  <c r="AK6" i="12" a="1"/>
  <c r="AK6" i="12" s="1"/>
  <c r="AJ6" i="12" a="1"/>
  <c r="AJ6" i="12" s="1"/>
  <c r="AD7" i="12" a="1"/>
  <c r="AH6" i="12" l="1" a="1"/>
  <c r="AH6" i="12" s="1"/>
  <c r="AD7" i="12"/>
  <c r="AO6" i="12"/>
  <c r="AG6" i="12" s="1" a="1"/>
  <c r="AG6" i="12" s="1"/>
  <c r="AP6" i="12"/>
  <c r="AL5" i="12"/>
  <c r="F10" i="13" s="1"/>
  <c r="J9" i="13" l="1"/>
  <c r="I10" i="13"/>
  <c r="AS6" i="12"/>
  <c r="AR6" i="12"/>
  <c r="AQ6" i="12"/>
  <c r="AM5" i="12"/>
  <c r="AL7" i="12"/>
  <c r="M10" i="13" s="1"/>
  <c r="AE7" i="12" a="1"/>
  <c r="AE7" i="12" s="1"/>
  <c r="AH7" i="12" s="1" a="1"/>
  <c r="AH7" i="12" s="1"/>
  <c r="AJ7" i="12" a="1"/>
  <c r="AJ7" i="12" s="1"/>
  <c r="AK7" i="12" a="1"/>
  <c r="AK7" i="12" s="1"/>
  <c r="AN7" i="12" a="1"/>
  <c r="AN7" i="12" s="1"/>
  <c r="AF7" i="12" a="1"/>
  <c r="AF7" i="12" s="1"/>
  <c r="AD8" i="12" a="1"/>
  <c r="M11" i="13" l="1"/>
  <c r="J11" i="13"/>
  <c r="M15" i="13" s="1"/>
  <c r="M12" i="13"/>
  <c r="K14" i="13"/>
  <c r="J14" i="13"/>
  <c r="J10" i="13"/>
  <c r="I9" i="13"/>
  <c r="N9" i="13"/>
  <c r="I14" i="13"/>
  <c r="J12" i="13"/>
  <c r="K15" i="13"/>
  <c r="I15" i="13"/>
  <c r="AD8" i="12"/>
  <c r="A17" i="13" s="1"/>
  <c r="AP7" i="12"/>
  <c r="AO7" i="12"/>
  <c r="AG7" i="12" s="1" a="1"/>
  <c r="AG7" i="12" s="1"/>
  <c r="AM7" i="12"/>
  <c r="AI7" i="12" a="1"/>
  <c r="AI7" i="12" s="1"/>
  <c r="M14" i="13" l="1"/>
  <c r="AS7" i="12"/>
  <c r="AQ7" i="12"/>
  <c r="AR7" i="12"/>
  <c r="AE8" i="12" a="1"/>
  <c r="AE8" i="12" s="1"/>
  <c r="AH8" i="12" s="1" a="1"/>
  <c r="AH8" i="12" s="1"/>
  <c r="AK8" i="12" a="1"/>
  <c r="AK8" i="12" s="1"/>
  <c r="AF8" i="12" a="1"/>
  <c r="AF8" i="12" s="1"/>
  <c r="AL8" i="12"/>
  <c r="AM8" i="12" s="1"/>
  <c r="AJ8" i="12" a="1"/>
  <c r="AJ8" i="12" s="1"/>
  <c r="AN8" i="12" a="1"/>
  <c r="AN8" i="12" s="1"/>
  <c r="AD9" i="12" a="1"/>
  <c r="AI8" i="12" l="1" a="1"/>
  <c r="AI8" i="12" s="1"/>
  <c r="AD9" i="12"/>
  <c r="AO8" i="12"/>
  <c r="AG8" i="12" s="1" a="1"/>
  <c r="AG8" i="12" s="1"/>
  <c r="AP8" i="12"/>
  <c r="B18" i="13" l="1"/>
  <c r="C17" i="13"/>
  <c r="AS8" i="12"/>
  <c r="AQ8" i="12"/>
  <c r="AR8" i="12"/>
  <c r="AL9" i="12"/>
  <c r="F18" i="13" s="1"/>
  <c r="AJ9" i="12" a="1"/>
  <c r="AJ9" i="12" s="1"/>
  <c r="AE9" i="12" a="1"/>
  <c r="AE9" i="12" s="1"/>
  <c r="AH9" i="12" s="1" a="1"/>
  <c r="AH9" i="12" s="1"/>
  <c r="AK9" i="12" a="1"/>
  <c r="AK9" i="12" s="1"/>
  <c r="AF9" i="12" a="1"/>
  <c r="AF9" i="12" s="1"/>
  <c r="AN9" i="12" a="1"/>
  <c r="AN9" i="12" s="1"/>
  <c r="AD10" i="12" a="1"/>
  <c r="C18" i="13" l="1"/>
  <c r="G17" i="13"/>
  <c r="C22" i="13"/>
  <c r="B22" i="13"/>
  <c r="D22" i="13"/>
  <c r="B17" i="13"/>
  <c r="C20" i="13"/>
  <c r="B23" i="13"/>
  <c r="D23" i="13"/>
  <c r="F19" i="13"/>
  <c r="C19" i="13"/>
  <c r="F23" i="13" s="1"/>
  <c r="F20" i="13"/>
  <c r="AI9" i="12" a="1"/>
  <c r="AI9" i="12" s="1"/>
  <c r="AD10" i="12"/>
  <c r="H17" i="13" s="1"/>
  <c r="AM9" i="12"/>
  <c r="AP9" i="12"/>
  <c r="AO9" i="12"/>
  <c r="AG9" i="12" s="1" a="1"/>
  <c r="AG9" i="12" s="1"/>
  <c r="F22" i="13" l="1"/>
  <c r="AS9" i="12"/>
  <c r="AQ9" i="12"/>
  <c r="AR9" i="12"/>
  <c r="AE10" i="12" a="1"/>
  <c r="AE10" i="12" s="1"/>
  <c r="AI10" i="12" s="1" a="1"/>
  <c r="AI10" i="12" s="1"/>
  <c r="AF10" i="12" a="1"/>
  <c r="AF10" i="12" s="1"/>
  <c r="AL10" i="12"/>
  <c r="AM10" i="12" s="1"/>
  <c r="AK10" i="12" a="1"/>
  <c r="AK10" i="12" s="1"/>
  <c r="AJ10" i="12" a="1"/>
  <c r="AJ10" i="12" s="1"/>
  <c r="AN10" i="12" a="1"/>
  <c r="AN10" i="12" s="1"/>
  <c r="AD11" i="12" a="1"/>
  <c r="AH10" i="12" l="1" a="1"/>
  <c r="AH10" i="12" s="1"/>
  <c r="AD11" i="12"/>
  <c r="AO10" i="12"/>
  <c r="AG10" i="12" s="1" a="1"/>
  <c r="AG10" i="12" s="1"/>
  <c r="AP10" i="12"/>
  <c r="I18" i="13" l="1"/>
  <c r="J17" i="13"/>
  <c r="AQ10" i="12"/>
  <c r="AS10" i="12"/>
  <c r="AR10" i="12"/>
  <c r="AN11" i="12" a="1"/>
  <c r="AN11" i="12" s="1"/>
  <c r="AE11" i="12" a="1"/>
  <c r="AE11" i="12" s="1"/>
  <c r="AI11" i="12" s="1" a="1"/>
  <c r="AI11" i="12" s="1"/>
  <c r="AK11" i="12" a="1"/>
  <c r="AK11" i="12" s="1"/>
  <c r="AF11" i="12" a="1"/>
  <c r="AF11" i="12" s="1"/>
  <c r="AJ11" i="12" a="1"/>
  <c r="AJ11" i="12" s="1"/>
  <c r="AL11" i="12"/>
  <c r="M18" i="13" s="1"/>
  <c r="AD12" i="12" a="1"/>
  <c r="J20" i="13" l="1"/>
  <c r="I17" i="13"/>
  <c r="J22" i="13"/>
  <c r="K22" i="13"/>
  <c r="K23" i="13"/>
  <c r="I23" i="13"/>
  <c r="N17" i="13"/>
  <c r="J18" i="13"/>
  <c r="I22" i="13"/>
  <c r="J19" i="13"/>
  <c r="M22" i="13" s="1"/>
  <c r="M20" i="13"/>
  <c r="M19" i="13"/>
  <c r="AD12" i="12"/>
  <c r="A25" i="13" s="1"/>
  <c r="AP11" i="12"/>
  <c r="AO11" i="12"/>
  <c r="AG11" i="12" s="1" a="1"/>
  <c r="AG11" i="12" s="1"/>
  <c r="AH11" i="12" a="1"/>
  <c r="AH11" i="12" s="1"/>
  <c r="AM11" i="12"/>
  <c r="M23" i="13" l="1"/>
  <c r="AS11" i="12"/>
  <c r="AQ11" i="12"/>
  <c r="AR11" i="12"/>
  <c r="AE12" i="12" a="1"/>
  <c r="AE12" i="12" s="1"/>
  <c r="AH12" i="12" s="1" a="1"/>
  <c r="AH12" i="12" s="1"/>
  <c r="AK12" i="12" a="1"/>
  <c r="AK12" i="12" s="1"/>
  <c r="AI12" i="12" a="1"/>
  <c r="AI12" i="12" s="1"/>
  <c r="AF12" i="12" a="1"/>
  <c r="AF12" i="12" s="1"/>
  <c r="AL12" i="12"/>
  <c r="AM12" i="12" s="1"/>
  <c r="AN12" i="12" a="1"/>
  <c r="AN12" i="12" s="1"/>
  <c r="AJ12" i="12" a="1"/>
  <c r="AJ12" i="12" s="1"/>
  <c r="AD13" i="12" a="1"/>
  <c r="AD13" i="12" l="1"/>
  <c r="AP12" i="12"/>
  <c r="AO12" i="12"/>
  <c r="AG12" i="12" s="1" a="1"/>
  <c r="AG12" i="12" s="1"/>
  <c r="C25" i="13" l="1"/>
  <c r="B26" i="13"/>
  <c r="AQ12" i="12"/>
  <c r="AS12" i="12"/>
  <c r="AR12" i="12"/>
  <c r="AL13" i="12"/>
  <c r="F26" i="13" s="1"/>
  <c r="AF13" i="12" a="1"/>
  <c r="AF13" i="12" s="1"/>
  <c r="AK13" i="12" a="1"/>
  <c r="AK13" i="12" s="1"/>
  <c r="AE13" i="12" a="1"/>
  <c r="AE13" i="12" s="1"/>
  <c r="AI13" i="12" s="1" a="1"/>
  <c r="AI13" i="12" s="1"/>
  <c r="AJ13" i="12" a="1"/>
  <c r="AJ13" i="12" s="1"/>
  <c r="AN13" i="12" a="1"/>
  <c r="AN13" i="12" s="1"/>
  <c r="AD14" i="12" a="1"/>
  <c r="F27" i="13" l="1"/>
  <c r="F28" i="13"/>
  <c r="C27" i="13"/>
  <c r="F31" i="13" s="1"/>
  <c r="C28" i="13"/>
  <c r="C30" i="13"/>
  <c r="C26" i="13"/>
  <c r="D30" i="13"/>
  <c r="D31" i="13"/>
  <c r="G25" i="13"/>
  <c r="B25" i="13"/>
  <c r="B31" i="13"/>
  <c r="B30" i="13"/>
  <c r="AH13" i="12" a="1"/>
  <c r="AH13" i="12" s="1"/>
  <c r="AD14" i="12"/>
  <c r="H25" i="13" s="1"/>
  <c r="AM13" i="12"/>
  <c r="AO13" i="12"/>
  <c r="AG13" i="12" s="1" a="1"/>
  <c r="AG13" i="12" s="1"/>
  <c r="AP13" i="12"/>
  <c r="F30" i="13" l="1"/>
  <c r="AR13" i="12"/>
  <c r="AS13" i="12"/>
  <c r="AQ13" i="12"/>
  <c r="AE14" i="12" a="1"/>
  <c r="AE14" i="12" s="1"/>
  <c r="AI14" i="12" s="1" a="1"/>
  <c r="AI14" i="12" s="1"/>
  <c r="AJ14" i="12" a="1"/>
  <c r="AJ14" i="12" s="1"/>
  <c r="AH14" i="12" a="1"/>
  <c r="AH14" i="12" s="1"/>
  <c r="AF14" i="12" a="1"/>
  <c r="AF14" i="12" s="1"/>
  <c r="AL14" i="12"/>
  <c r="AM14" i="12" s="1"/>
  <c r="AK14" i="12" a="1"/>
  <c r="AK14" i="12" s="1"/>
  <c r="AN14" i="12" a="1"/>
  <c r="AN14" i="12" s="1"/>
  <c r="AD15" i="12" a="1"/>
  <c r="AD15" i="12" l="1"/>
  <c r="AO14" i="12"/>
  <c r="AG14" i="12" s="1" a="1"/>
  <c r="AG14" i="12" s="1"/>
  <c r="AP14" i="12"/>
  <c r="I26" i="13" l="1"/>
  <c r="J25" i="13"/>
  <c r="AQ14" i="12"/>
  <c r="AR14" i="12"/>
  <c r="AS14" i="12"/>
  <c r="AL15" i="12"/>
  <c r="M26" i="13" s="1"/>
  <c r="AK15" i="12" a="1"/>
  <c r="AK15" i="12" s="1"/>
  <c r="AE15" i="12" a="1"/>
  <c r="AE15" i="12" s="1"/>
  <c r="AI15" i="12" s="1" a="1"/>
  <c r="AI15" i="12" s="1"/>
  <c r="AJ15" i="12" a="1"/>
  <c r="AJ15" i="12" s="1"/>
  <c r="AF15" i="12" a="1"/>
  <c r="AF15" i="12" s="1"/>
  <c r="AN15" i="12" a="1"/>
  <c r="AN15" i="12" s="1"/>
  <c r="AD16" i="12" a="1"/>
  <c r="I25" i="13" l="1"/>
  <c r="N25" i="13"/>
  <c r="I30" i="13"/>
  <c r="K31" i="13"/>
  <c r="K30" i="13"/>
  <c r="J26" i="13"/>
  <c r="J28" i="13"/>
  <c r="I31" i="13"/>
  <c r="J30" i="13"/>
  <c r="M27" i="13"/>
  <c r="M28" i="13"/>
  <c r="J27" i="13"/>
  <c r="M30" i="13" s="1"/>
  <c r="AH15" i="12" a="1"/>
  <c r="AH15" i="12" s="1"/>
  <c r="AD16" i="12"/>
  <c r="A33" i="13" s="1"/>
  <c r="AM15" i="12"/>
  <c r="AO15" i="12"/>
  <c r="AG15" i="12" s="1" a="1"/>
  <c r="AG15" i="12" s="1"/>
  <c r="AP15" i="12"/>
  <c r="M31" i="13" l="1"/>
  <c r="AR15" i="12"/>
  <c r="AQ15" i="12"/>
  <c r="AS15" i="12"/>
  <c r="AE16" i="12" a="1"/>
  <c r="AE16" i="12" s="1"/>
  <c r="AH16" i="12" s="1" a="1"/>
  <c r="AH16" i="12" s="1"/>
  <c r="AK16" i="12" a="1"/>
  <c r="AK16" i="12" s="1"/>
  <c r="AN16" i="12" a="1"/>
  <c r="AN16" i="12" s="1"/>
  <c r="AJ16" i="12" a="1"/>
  <c r="AJ16" i="12" s="1"/>
  <c r="AL16" i="12"/>
  <c r="AM16" i="12" s="1"/>
  <c r="AF16" i="12" a="1"/>
  <c r="AF16" i="12" s="1"/>
  <c r="AD17" i="12" a="1"/>
  <c r="AI16" i="12" l="1" a="1"/>
  <c r="AI16" i="12" s="1"/>
  <c r="AD17" i="12"/>
  <c r="AO16" i="12"/>
  <c r="AG16" i="12" s="1" a="1"/>
  <c r="AG16" i="12" s="1"/>
  <c r="AP16" i="12"/>
  <c r="B34" i="13" l="1"/>
  <c r="C33" i="13"/>
  <c r="AS16" i="12"/>
  <c r="AQ16" i="12"/>
  <c r="AR16" i="12"/>
  <c r="AJ17" i="12" a="1"/>
  <c r="AJ17" i="12" s="1"/>
  <c r="AE17" i="12" a="1"/>
  <c r="AE17" i="12" s="1"/>
  <c r="AH17" i="12" s="1" a="1"/>
  <c r="AH17" i="12" s="1"/>
  <c r="AF17" i="12" a="1"/>
  <c r="AF17" i="12" s="1"/>
  <c r="AK17" i="12" a="1"/>
  <c r="AK17" i="12" s="1"/>
  <c r="AL17" i="12"/>
  <c r="F34" i="13" s="1"/>
  <c r="AN17" i="12" a="1"/>
  <c r="AN17" i="12" s="1"/>
  <c r="AD18" i="12" a="1"/>
  <c r="C38" i="13" l="1"/>
  <c r="B38" i="13"/>
  <c r="C36" i="13"/>
  <c r="G33" i="13"/>
  <c r="C34" i="13"/>
  <c r="D38" i="13"/>
  <c r="D39" i="13"/>
  <c r="B33" i="13"/>
  <c r="B39" i="13"/>
  <c r="C35" i="13"/>
  <c r="F39" i="13" s="1"/>
  <c r="F36" i="13"/>
  <c r="F35" i="13"/>
  <c r="AD18" i="12"/>
  <c r="H33" i="13" s="1"/>
  <c r="AP17" i="12"/>
  <c r="AO17" i="12"/>
  <c r="AG17" i="12" s="1" a="1"/>
  <c r="AG17" i="12" s="1"/>
  <c r="AI17" i="12" a="1"/>
  <c r="AI17" i="12" s="1"/>
  <c r="AM17" i="12"/>
  <c r="F38" i="13" l="1"/>
  <c r="AS17" i="12"/>
  <c r="AQ17" i="12"/>
  <c r="AR17" i="12"/>
  <c r="AE18" i="12" a="1"/>
  <c r="AE18" i="12" s="1"/>
  <c r="AH18" i="12" s="1" a="1"/>
  <c r="AH18" i="12" s="1"/>
  <c r="AL18" i="12"/>
  <c r="AM18" i="12" s="1"/>
  <c r="AJ18" i="12" a="1"/>
  <c r="AJ18" i="12" s="1"/>
  <c r="AI18" i="12" a="1"/>
  <c r="AI18" i="12" s="1"/>
  <c r="AK18" i="12" a="1"/>
  <c r="AK18" i="12" s="1"/>
  <c r="AF18" i="12" a="1"/>
  <c r="AF18" i="12" s="1"/>
  <c r="AN18" i="12" a="1"/>
  <c r="AN18" i="12" s="1"/>
  <c r="AD19" i="12" a="1"/>
  <c r="AD19" i="12" l="1"/>
  <c r="AO18" i="12"/>
  <c r="AG18" i="12" s="1" a="1"/>
  <c r="AG18" i="12" s="1"/>
  <c r="AP18" i="12"/>
  <c r="I34" i="13" l="1"/>
  <c r="J33" i="13"/>
  <c r="AR18" i="12"/>
  <c r="AS18" i="12"/>
  <c r="AQ18" i="12"/>
  <c r="AK19" i="12" a="1"/>
  <c r="AK19" i="12" s="1"/>
  <c r="AL19" i="12"/>
  <c r="M34" i="13" s="1"/>
  <c r="AN19" i="12" a="1"/>
  <c r="AN19" i="12" s="1"/>
  <c r="AE19" i="12" a="1"/>
  <c r="AE19" i="12" s="1"/>
  <c r="AI19" i="12" s="1" a="1"/>
  <c r="AI19" i="12" s="1"/>
  <c r="AJ19" i="12" a="1"/>
  <c r="AJ19" i="12" s="1"/>
  <c r="AF19" i="12" a="1"/>
  <c r="AF19" i="12" s="1"/>
  <c r="AD20" i="12" a="1"/>
  <c r="I39" i="13" l="1"/>
  <c r="J36" i="13"/>
  <c r="N33" i="13"/>
  <c r="I33" i="13"/>
  <c r="I38" i="13"/>
  <c r="J38" i="13"/>
  <c r="K38" i="13"/>
  <c r="J34" i="13"/>
  <c r="K39" i="13"/>
  <c r="M35" i="13"/>
  <c r="M36" i="13"/>
  <c r="J35" i="13"/>
  <c r="M39" i="13" s="1"/>
  <c r="AH19" i="12" a="1"/>
  <c r="AH19" i="12" s="1"/>
  <c r="AD20" i="12"/>
  <c r="A41" i="13" s="1"/>
  <c r="AO19" i="12"/>
  <c r="AG19" i="12" s="1" a="1"/>
  <c r="AG19" i="12" s="1"/>
  <c r="AP19" i="12"/>
  <c r="AM19" i="12"/>
  <c r="M38" i="13" l="1"/>
  <c r="AR19" i="12"/>
  <c r="AQ19" i="12"/>
  <c r="AS19" i="12"/>
  <c r="AE20" i="12" a="1"/>
  <c r="AE20" i="12" s="1"/>
  <c r="AI20" i="12" s="1" a="1"/>
  <c r="AI20" i="12" s="1"/>
  <c r="AK20" i="12" a="1"/>
  <c r="AK20" i="12" s="1"/>
  <c r="AF20" i="12" a="1"/>
  <c r="AF20" i="12" s="1"/>
  <c r="AJ20" i="12" a="1"/>
  <c r="AJ20" i="12" s="1"/>
  <c r="AL20" i="12"/>
  <c r="AM20" i="12" s="1"/>
  <c r="AN20" i="12" a="1"/>
  <c r="AN20" i="12" s="1"/>
  <c r="AD21" i="12" a="1"/>
  <c r="AH20" i="12" l="1" a="1"/>
  <c r="AH20" i="12" s="1"/>
  <c r="AD21" i="12"/>
  <c r="AO20" i="12"/>
  <c r="AG20" i="12" s="1" a="1"/>
  <c r="AG20" i="12" s="1"/>
  <c r="AP20" i="12"/>
  <c r="B42" i="13" l="1"/>
  <c r="C41" i="13"/>
  <c r="AQ20" i="12"/>
  <c r="AR20" i="12"/>
  <c r="AS20" i="12"/>
  <c r="AK21" i="12" a="1"/>
  <c r="AK21" i="12" s="1"/>
  <c r="AE21" i="12" a="1"/>
  <c r="AE21" i="12" s="1"/>
  <c r="AH21" i="12" s="1" a="1"/>
  <c r="AH21" i="12" s="1"/>
  <c r="AF21" i="12" a="1"/>
  <c r="AF21" i="12" s="1"/>
  <c r="AJ21" i="12" a="1"/>
  <c r="AJ21" i="12" s="1"/>
  <c r="AN21" i="12" a="1"/>
  <c r="AN21" i="12" s="1"/>
  <c r="AL21" i="12"/>
  <c r="F42" i="13" s="1"/>
  <c r="AD22" i="12" a="1"/>
  <c r="B41" i="13" l="1"/>
  <c r="D47" i="13"/>
  <c r="C46" i="13"/>
  <c r="B47" i="13"/>
  <c r="B46" i="13"/>
  <c r="C44" i="13"/>
  <c r="G41" i="13"/>
  <c r="C42" i="13"/>
  <c r="D46" i="13"/>
  <c r="F43" i="13"/>
  <c r="F44" i="13"/>
  <c r="C43" i="13"/>
  <c r="F47" i="13" s="1"/>
  <c r="AI21" i="12" a="1"/>
  <c r="AI21" i="12" s="1"/>
  <c r="AD22" i="12"/>
  <c r="H41" i="13" s="1"/>
  <c r="AP21" i="12"/>
  <c r="AO21" i="12"/>
  <c r="AG21" i="12" s="1" a="1"/>
  <c r="AG21" i="12" s="1"/>
  <c r="AM21" i="12"/>
  <c r="F46" i="13" l="1"/>
  <c r="AS21" i="12"/>
  <c r="AR21" i="12"/>
  <c r="AQ21" i="12"/>
  <c r="AE22" i="12" a="1"/>
  <c r="AE22" i="12" s="1"/>
  <c r="AH22" i="12" s="1" a="1"/>
  <c r="AH22" i="12" s="1"/>
  <c r="AJ22" i="12" a="1"/>
  <c r="AJ22" i="12" s="1"/>
  <c r="AF22" i="12" a="1"/>
  <c r="AF22" i="12" s="1"/>
  <c r="AK22" i="12" a="1"/>
  <c r="AK22" i="12" s="1"/>
  <c r="AN22" i="12" a="1"/>
  <c r="AN22" i="12" s="1"/>
  <c r="AL22" i="12"/>
  <c r="AM22" i="12" s="1"/>
  <c r="AD23" i="12" a="1"/>
  <c r="AI22" i="12" l="1" a="1"/>
  <c r="AI22" i="12" s="1"/>
  <c r="AD23" i="12"/>
  <c r="AP22" i="12"/>
  <c r="AO22" i="12"/>
  <c r="AG22" i="12" s="1" a="1"/>
  <c r="AG22" i="12" s="1"/>
  <c r="I42" i="13" l="1"/>
  <c r="J41" i="13"/>
  <c r="AS22" i="12"/>
  <c r="AR22" i="12"/>
  <c r="AQ22" i="12"/>
  <c r="AJ23" i="12" a="1"/>
  <c r="AJ23" i="12" s="1"/>
  <c r="AE23" i="12" a="1"/>
  <c r="AE23" i="12" s="1"/>
  <c r="AH23" i="12" s="1" a="1"/>
  <c r="AH23" i="12" s="1"/>
  <c r="AL23" i="12"/>
  <c r="M42" i="13" s="1"/>
  <c r="AN23" i="12" a="1"/>
  <c r="AN23" i="12" s="1"/>
  <c r="AK23" i="12" a="1"/>
  <c r="AK23" i="12" s="1"/>
  <c r="AF23" i="12" a="1"/>
  <c r="AF23" i="12" s="1"/>
  <c r="AD24" i="12" a="1"/>
  <c r="J42" i="13" l="1"/>
  <c r="J44" i="13"/>
  <c r="J46" i="13"/>
  <c r="K47" i="13"/>
  <c r="I47" i="13"/>
  <c r="I46" i="13"/>
  <c r="I41" i="13"/>
  <c r="N41" i="13"/>
  <c r="K46" i="13"/>
  <c r="J43" i="13"/>
  <c r="M47" i="13" s="1"/>
  <c r="M43" i="13"/>
  <c r="M44" i="13"/>
  <c r="AI23" i="12" a="1"/>
  <c r="AI23" i="12" s="1"/>
  <c r="AD24" i="12"/>
  <c r="P1" i="13" s="1"/>
  <c r="AM23" i="12"/>
  <c r="AO23" i="12"/>
  <c r="AG23" i="12" s="1" a="1"/>
  <c r="AG23" i="12" s="1"/>
  <c r="AP23" i="12"/>
  <c r="M46" i="13" l="1"/>
  <c r="AR23" i="12"/>
  <c r="AS23" i="12"/>
  <c r="AQ23" i="12"/>
  <c r="AE24" i="12" a="1"/>
  <c r="AE24" i="12" s="1"/>
  <c r="AI24" i="12" s="1" a="1"/>
  <c r="AI24" i="12" s="1"/>
  <c r="AK24" i="12" a="1"/>
  <c r="AK24" i="12" s="1"/>
  <c r="AF24" i="12" a="1"/>
  <c r="AF24" i="12" s="1"/>
  <c r="AL24" i="12"/>
  <c r="AM24" i="12" s="1"/>
  <c r="AN24" i="12" a="1"/>
  <c r="AN24" i="12" s="1"/>
  <c r="AJ24" i="12" a="1"/>
  <c r="AJ24" i="12" s="1"/>
  <c r="AD25" i="12" a="1"/>
  <c r="AH24" i="12" l="1" a="1"/>
  <c r="AH24" i="12" s="1"/>
  <c r="AD25" i="12"/>
  <c r="AO24" i="12"/>
  <c r="AG24" i="12" s="1" a="1"/>
  <c r="AG24" i="12" s="1"/>
  <c r="AP24" i="12"/>
  <c r="Q2" i="13" l="1"/>
  <c r="R1" i="13"/>
  <c r="AS24" i="12"/>
  <c r="AR24" i="12"/>
  <c r="AQ24" i="12"/>
  <c r="AJ25" i="12" a="1"/>
  <c r="AJ25" i="12" s="1"/>
  <c r="AF25" i="12" a="1"/>
  <c r="AF25" i="12" s="1"/>
  <c r="AN25" i="12" a="1"/>
  <c r="AN25" i="12" s="1"/>
  <c r="AE25" i="12" a="1"/>
  <c r="AE25" i="12" s="1"/>
  <c r="AH25" i="12" s="1" a="1"/>
  <c r="AH25" i="12" s="1"/>
  <c r="AK25" i="12" a="1"/>
  <c r="AK25" i="12" s="1"/>
  <c r="AL25" i="12"/>
  <c r="U2" i="13" s="1"/>
  <c r="AD26" i="12" a="1"/>
  <c r="Q7" i="13" l="1"/>
  <c r="V1" i="13"/>
  <c r="S6" i="13"/>
  <c r="Q6" i="13"/>
  <c r="R2" i="13"/>
  <c r="S7" i="13"/>
  <c r="R6" i="13"/>
  <c r="Q1" i="13"/>
  <c r="R4" i="13"/>
  <c r="R3" i="13"/>
  <c r="U7" i="13" s="1"/>
  <c r="U4" i="13"/>
  <c r="U3" i="13"/>
  <c r="AI25" i="12" a="1"/>
  <c r="AI25" i="12" s="1"/>
  <c r="AD26" i="12"/>
  <c r="W1" i="13" s="1"/>
  <c r="AM25" i="12"/>
  <c r="AP25" i="12"/>
  <c r="AO25" i="12"/>
  <c r="AG25" i="12" s="1" a="1"/>
  <c r="AG25" i="12" s="1"/>
  <c r="U6" i="13" l="1"/>
  <c r="AS25" i="12"/>
  <c r="AQ25" i="12"/>
  <c r="AR25" i="12"/>
  <c r="AE26" i="12" a="1"/>
  <c r="AE26" i="12" s="1"/>
  <c r="AI26" i="12" s="1" a="1"/>
  <c r="AI26" i="12" s="1"/>
  <c r="AJ26" i="12" a="1"/>
  <c r="AJ26" i="12" s="1"/>
  <c r="AL26" i="12"/>
  <c r="AM26" i="12" s="1"/>
  <c r="AK26" i="12" a="1"/>
  <c r="AK26" i="12" s="1"/>
  <c r="AF26" i="12" a="1"/>
  <c r="AF26" i="12" s="1"/>
  <c r="AN26" i="12" a="1"/>
  <c r="AN26" i="12" s="1"/>
  <c r="AD27" i="12" a="1"/>
  <c r="AH26" i="12" l="1" a="1"/>
  <c r="AH26" i="12" s="1"/>
  <c r="AD27" i="12"/>
  <c r="AO26" i="12"/>
  <c r="AG26" i="12" s="1" a="1"/>
  <c r="AG26" i="12" s="1"/>
  <c r="AP26" i="12"/>
  <c r="Y1" i="13" l="1"/>
  <c r="X2" i="13"/>
  <c r="AS26" i="12"/>
  <c r="AR26" i="12"/>
  <c r="AQ26" i="12"/>
  <c r="AF27" i="12" a="1"/>
  <c r="AF27" i="12" s="1"/>
  <c r="AN27" i="12" a="1"/>
  <c r="AN27" i="12" s="1"/>
  <c r="AL27" i="12"/>
  <c r="AB2" i="13" s="1"/>
  <c r="AE27" i="12" a="1"/>
  <c r="AE27" i="12" s="1"/>
  <c r="AI27" i="12" s="1" a="1"/>
  <c r="AI27" i="12" s="1"/>
  <c r="AK27" i="12" a="1"/>
  <c r="AK27" i="12" s="1"/>
  <c r="AJ27" i="12" a="1"/>
  <c r="AJ27" i="12" s="1"/>
  <c r="AD28" i="12" a="1"/>
  <c r="AB4" i="13" l="1"/>
  <c r="Y3" i="13"/>
  <c r="AB7" i="13" s="1"/>
  <c r="AB3" i="13"/>
  <c r="X7" i="13"/>
  <c r="X1" i="13"/>
  <c r="Y4" i="13"/>
  <c r="Y6" i="13"/>
  <c r="Z7" i="13"/>
  <c r="X6" i="13"/>
  <c r="AC1" i="13"/>
  <c r="Z6" i="13"/>
  <c r="Y2" i="13"/>
  <c r="AD28" i="12"/>
  <c r="P9" i="13" s="1"/>
  <c r="AM27" i="12"/>
  <c r="AP27" i="12"/>
  <c r="AO27" i="12"/>
  <c r="AG27" i="12" s="1" a="1"/>
  <c r="AG27" i="12" s="1"/>
  <c r="AH27" i="12" a="1"/>
  <c r="AH27" i="12" s="1"/>
  <c r="AB6" i="13" l="1"/>
  <c r="AS27" i="12"/>
  <c r="AR27" i="12"/>
  <c r="AQ27" i="12"/>
  <c r="AE28" i="12" a="1"/>
  <c r="AE28" i="12" s="1"/>
  <c r="AH28" i="12" s="1" a="1"/>
  <c r="AH28" i="12" s="1"/>
  <c r="AF28" i="12" a="1"/>
  <c r="AF28" i="12" s="1"/>
  <c r="AL28" i="12"/>
  <c r="AM28" i="12" s="1"/>
  <c r="AK28" i="12" a="1"/>
  <c r="AK28" i="12" s="1"/>
  <c r="AJ28" i="12" a="1"/>
  <c r="AJ28" i="12" s="1"/>
  <c r="AN28" i="12" a="1"/>
  <c r="AN28" i="12" s="1"/>
  <c r="AD29" i="12" a="1"/>
  <c r="AI28" i="12" l="1" a="1"/>
  <c r="AI28" i="12" s="1"/>
  <c r="AD29" i="12"/>
  <c r="AO28" i="12"/>
  <c r="AG28" i="12" s="1" a="1"/>
  <c r="AG28" i="12" s="1"/>
  <c r="AP28" i="12"/>
  <c r="Q10" i="13" l="1"/>
  <c r="R9" i="13"/>
  <c r="AS28" i="12"/>
  <c r="AR28" i="12"/>
  <c r="AQ28" i="12"/>
  <c r="AJ29" i="12" a="1"/>
  <c r="AJ29" i="12" s="1"/>
  <c r="AF29" i="12" a="1"/>
  <c r="AF29" i="12" s="1"/>
  <c r="AE29" i="12" a="1"/>
  <c r="AE29" i="12" s="1"/>
  <c r="AH29" i="12" s="1" a="1"/>
  <c r="AH29" i="12" s="1"/>
  <c r="AL29" i="12"/>
  <c r="U10" i="13" s="1"/>
  <c r="AN29" i="12" a="1"/>
  <c r="AN29" i="12" s="1"/>
  <c r="AK29" i="12" a="1"/>
  <c r="AK29" i="12" s="1"/>
  <c r="AI29" i="12" a="1"/>
  <c r="AI29" i="12" s="1"/>
  <c r="AD30" i="12" a="1"/>
  <c r="S14" i="13" l="1"/>
  <c r="S15" i="13"/>
  <c r="Q14" i="13"/>
  <c r="R10" i="13"/>
  <c r="R14" i="13"/>
  <c r="Q9" i="13"/>
  <c r="V9" i="13"/>
  <c r="R12" i="13"/>
  <c r="Q15" i="13"/>
  <c r="R11" i="13"/>
  <c r="U15" i="13" s="1"/>
  <c r="U12" i="13"/>
  <c r="U11" i="13"/>
  <c r="AD30" i="12"/>
  <c r="W9" i="13" s="1"/>
  <c r="AP29" i="12"/>
  <c r="AO29" i="12"/>
  <c r="AG29" i="12" s="1" a="1"/>
  <c r="AG29" i="12" s="1"/>
  <c r="AM29" i="12"/>
  <c r="U14" i="13" l="1"/>
  <c r="AR29" i="12"/>
  <c r="AQ29" i="12"/>
  <c r="AS29" i="12"/>
  <c r="AE30" i="12" a="1"/>
  <c r="AE30" i="12" s="1"/>
  <c r="AH30" i="12" s="1" a="1"/>
  <c r="AH30" i="12" s="1"/>
  <c r="AK30" i="12" a="1"/>
  <c r="AK30" i="12" s="1"/>
  <c r="AF30" i="12" a="1"/>
  <c r="AF30" i="12" s="1"/>
  <c r="AN30" i="12" a="1"/>
  <c r="AN30" i="12" s="1"/>
  <c r="AL30" i="12"/>
  <c r="AM30" i="12" s="1"/>
  <c r="AJ30" i="12" a="1"/>
  <c r="AJ30" i="12" s="1"/>
  <c r="AD31" i="12" a="1"/>
  <c r="AI30" i="12" l="1" a="1"/>
  <c r="AI30" i="12" s="1"/>
  <c r="AD31" i="12"/>
  <c r="AP30" i="12"/>
  <c r="AO30" i="12"/>
  <c r="AG30" i="12" s="1" a="1"/>
  <c r="AG30" i="12" s="1"/>
  <c r="X10" i="13" l="1"/>
  <c r="Y9" i="13"/>
  <c r="AR30" i="12"/>
  <c r="AQ30" i="12"/>
  <c r="AS30" i="12"/>
  <c r="AJ31" i="12" a="1"/>
  <c r="AJ31" i="12" s="1"/>
  <c r="AF31" i="12" a="1"/>
  <c r="AF31" i="12" s="1"/>
  <c r="AN31" i="12" a="1"/>
  <c r="AN31" i="12" s="1"/>
  <c r="AE31" i="12" a="1"/>
  <c r="AE31" i="12" s="1"/>
  <c r="AK31" i="12" a="1"/>
  <c r="AK31" i="12" s="1"/>
  <c r="AL31" i="12"/>
  <c r="AB10" i="13" s="1"/>
  <c r="AD32" i="12" a="1"/>
  <c r="Y12" i="13" l="1"/>
  <c r="X15" i="13"/>
  <c r="Y14" i="13"/>
  <c r="Z15" i="13"/>
  <c r="X14" i="13"/>
  <c r="AC9" i="13"/>
  <c r="Z14" i="13"/>
  <c r="X9" i="13"/>
  <c r="Y10" i="13"/>
  <c r="AB11" i="13"/>
  <c r="Y11" i="13"/>
  <c r="AB14" i="13" s="1"/>
  <c r="AB12" i="13"/>
  <c r="AD32" i="12"/>
  <c r="P17" i="13" s="1"/>
  <c r="AM31" i="12"/>
  <c r="AP31" i="12"/>
  <c r="AO31" i="12"/>
  <c r="AG31" i="12" s="1" a="1"/>
  <c r="AG31" i="12" s="1"/>
  <c r="AH31" i="12" a="1"/>
  <c r="AH31" i="12" s="1"/>
  <c r="AI31" i="12" a="1"/>
  <c r="AI31" i="12" s="1"/>
  <c r="AB15" i="13" l="1"/>
  <c r="AS31" i="12"/>
  <c r="AQ31" i="12"/>
  <c r="AR31" i="12"/>
  <c r="AE32" i="12" a="1"/>
  <c r="AE32" i="12" s="1"/>
  <c r="AI32" i="12" s="1" a="1"/>
  <c r="AI32" i="12" s="1"/>
  <c r="AN32" i="12" a="1"/>
  <c r="AN32" i="12" s="1"/>
  <c r="AJ32" i="12" a="1"/>
  <c r="AJ32" i="12" s="1"/>
  <c r="AF32" i="12" a="1"/>
  <c r="AF32" i="12" s="1"/>
  <c r="AK32" i="12" a="1"/>
  <c r="AK32" i="12" s="1"/>
  <c r="AL32" i="12"/>
  <c r="AM32" i="12" s="1"/>
  <c r="AD33" i="12" a="1"/>
  <c r="AH32" i="12" l="1" a="1"/>
  <c r="AH32" i="12" s="1"/>
  <c r="AD33" i="12"/>
  <c r="AO32" i="12"/>
  <c r="AG32" i="12" s="1" a="1"/>
  <c r="AG32" i="12" s="1"/>
  <c r="AP32" i="12"/>
  <c r="R17" i="13" l="1"/>
  <c r="Q18" i="13"/>
  <c r="AR32" i="12"/>
  <c r="AQ32" i="12"/>
  <c r="AS32" i="12"/>
  <c r="AF33" i="12" a="1"/>
  <c r="AF33" i="12" s="1"/>
  <c r="AN33" i="12" a="1"/>
  <c r="AN33" i="12" s="1"/>
  <c r="AL33" i="12"/>
  <c r="U18" i="13" s="1"/>
  <c r="AE33" i="12" a="1"/>
  <c r="AE33" i="12" s="1"/>
  <c r="AI33" i="12" s="1" a="1"/>
  <c r="AI33" i="12" s="1"/>
  <c r="AJ33" i="12" a="1"/>
  <c r="AJ33" i="12" s="1"/>
  <c r="AK33" i="12" a="1"/>
  <c r="AK33" i="12" s="1"/>
  <c r="AD34" i="12" a="1"/>
  <c r="U20" i="13" l="1"/>
  <c r="U19" i="13"/>
  <c r="R19" i="13"/>
  <c r="U23" i="13" s="1"/>
  <c r="Q23" i="13"/>
  <c r="R22" i="13"/>
  <c r="Q22" i="13"/>
  <c r="V17" i="13"/>
  <c r="S22" i="13"/>
  <c r="S23" i="13"/>
  <c r="R20" i="13"/>
  <c r="Q17" i="13"/>
  <c r="R18" i="13"/>
  <c r="AH33" i="12" a="1"/>
  <c r="AH33" i="12" s="1"/>
  <c r="AD34" i="12"/>
  <c r="W17" i="13" s="1"/>
  <c r="AM33" i="12"/>
  <c r="AO33" i="12"/>
  <c r="AG33" i="12" s="1" a="1"/>
  <c r="AG33" i="12" s="1"/>
  <c r="AP33" i="12"/>
  <c r="U22" i="13" l="1"/>
  <c r="AR33" i="12"/>
  <c r="AQ33" i="12"/>
  <c r="AS33" i="12"/>
  <c r="AE34" i="12" a="1"/>
  <c r="AE34" i="12" s="1"/>
  <c r="AI34" i="12" s="1" a="1"/>
  <c r="AI34" i="12" s="1"/>
  <c r="AJ34" i="12" a="1"/>
  <c r="AJ34" i="12" s="1"/>
  <c r="AH34" i="12" a="1"/>
  <c r="AH34" i="12" s="1"/>
  <c r="AL34" i="12"/>
  <c r="AM34" i="12" s="1"/>
  <c r="AK34" i="12" a="1"/>
  <c r="AK34" i="12" s="1"/>
  <c r="AN34" i="12" a="1"/>
  <c r="AN34" i="12" s="1"/>
  <c r="AF34" i="12" a="1"/>
  <c r="AF34" i="12" s="1"/>
  <c r="AD35" i="12" a="1"/>
  <c r="AD35" i="12" l="1"/>
  <c r="AP34" i="12"/>
  <c r="AO34" i="12"/>
  <c r="AG34" i="12" s="1" a="1"/>
  <c r="AG34" i="12" s="1"/>
  <c r="Y17" i="13" l="1"/>
  <c r="X18" i="13"/>
  <c r="AS34" i="12"/>
  <c r="AR34" i="12"/>
  <c r="AQ34" i="12"/>
  <c r="AI35" i="12" a="1"/>
  <c r="AI35" i="12" s="1"/>
  <c r="AE35" i="12" a="1"/>
  <c r="AE35" i="12" s="1"/>
  <c r="AH35" i="12" s="1" a="1"/>
  <c r="AH35" i="12" s="1"/>
  <c r="AJ35" i="12" a="1"/>
  <c r="AJ35" i="12" s="1"/>
  <c r="AK35" i="12" a="1"/>
  <c r="AK35" i="12" s="1"/>
  <c r="AF35" i="12" a="1"/>
  <c r="AF35" i="12" s="1"/>
  <c r="AL35" i="12"/>
  <c r="AB18" i="13" s="1"/>
  <c r="AN35" i="12" a="1"/>
  <c r="AN35" i="12" s="1"/>
  <c r="AD36" i="12" a="1"/>
  <c r="AB20" i="13" l="1"/>
  <c r="AB19" i="13"/>
  <c r="Y19" i="13"/>
  <c r="AB22" i="13" s="1"/>
  <c r="AC17" i="13"/>
  <c r="X23" i="13"/>
  <c r="Z23" i="13"/>
  <c r="Y22" i="13"/>
  <c r="Y18" i="13"/>
  <c r="X17" i="13"/>
  <c r="Z22" i="13"/>
  <c r="Y20" i="13"/>
  <c r="X22" i="13"/>
  <c r="AD36" i="12"/>
  <c r="P25" i="13" s="1"/>
  <c r="AP35" i="12"/>
  <c r="AO35" i="12"/>
  <c r="AG35" i="12" s="1" a="1"/>
  <c r="AG35" i="12" s="1"/>
  <c r="AM35" i="12"/>
  <c r="AB23" i="13" l="1"/>
  <c r="AS35" i="12"/>
  <c r="AR35" i="12"/>
  <c r="AQ35" i="12"/>
  <c r="AE36" i="12" a="1"/>
  <c r="AE36" i="12" s="1"/>
  <c r="AI36" i="12" s="1" a="1"/>
  <c r="AI36" i="12" s="1"/>
  <c r="AJ36" i="12" a="1"/>
  <c r="AJ36" i="12" s="1"/>
  <c r="AF36" i="12" a="1"/>
  <c r="AF36" i="12" s="1"/>
  <c r="AN36" i="12" a="1"/>
  <c r="AN36" i="12" s="1"/>
  <c r="AK36" i="12" a="1"/>
  <c r="AK36" i="12" s="1"/>
  <c r="AL36" i="12"/>
  <c r="AM36" i="12" s="1"/>
  <c r="AD37" i="12" a="1"/>
  <c r="AH36" i="12" l="1" a="1"/>
  <c r="AH36" i="12" s="1"/>
  <c r="AD37" i="12"/>
  <c r="AP36" i="12"/>
  <c r="AO36" i="12"/>
  <c r="AG36" i="12" s="1" a="1"/>
  <c r="AG36" i="12" s="1"/>
  <c r="R25" i="13" l="1"/>
  <c r="Q26" i="13"/>
  <c r="AS36" i="12"/>
  <c r="AQ36" i="12"/>
  <c r="AR36" i="12"/>
  <c r="AL37" i="12"/>
  <c r="U26" i="13" s="1"/>
  <c r="AE37" i="12" a="1"/>
  <c r="AE37" i="12" s="1"/>
  <c r="AI37" i="12" s="1" a="1"/>
  <c r="AI37" i="12" s="1"/>
  <c r="AJ37" i="12" a="1"/>
  <c r="AJ37" i="12" s="1"/>
  <c r="AN37" i="12" a="1"/>
  <c r="AN37" i="12" s="1"/>
  <c r="AK37" i="12" a="1"/>
  <c r="AK37" i="12" s="1"/>
  <c r="AF37" i="12" a="1"/>
  <c r="AF37" i="12" s="1"/>
  <c r="AD38" i="12" a="1"/>
  <c r="U28" i="13" l="1"/>
  <c r="R27" i="13"/>
  <c r="U31" i="13" s="1"/>
  <c r="U27" i="13"/>
  <c r="Q30" i="13"/>
  <c r="S31" i="13"/>
  <c r="S30" i="13"/>
  <c r="R28" i="13"/>
  <c r="Q31" i="13"/>
  <c r="R30" i="13"/>
  <c r="R26" i="13"/>
  <c r="V25" i="13"/>
  <c r="Q25" i="13"/>
  <c r="AH37" i="12" a="1"/>
  <c r="AH37" i="12" s="1"/>
  <c r="AD38" i="12"/>
  <c r="W25" i="13" s="1"/>
  <c r="AP37" i="12"/>
  <c r="AO37" i="12"/>
  <c r="AG37" i="12" s="1" a="1"/>
  <c r="AG37" i="12" s="1"/>
  <c r="AM37" i="12"/>
  <c r="U30" i="13" l="1"/>
  <c r="AQ37" i="12"/>
  <c r="AR37" i="12"/>
  <c r="AS37" i="12"/>
  <c r="AE38" i="12" a="1"/>
  <c r="AE38" i="12" s="1"/>
  <c r="AH38" i="12" s="1" a="1"/>
  <c r="AH38" i="12" s="1"/>
  <c r="AF38" i="12" a="1"/>
  <c r="AF38" i="12" s="1"/>
  <c r="AN38" i="12" a="1"/>
  <c r="AN38" i="12" s="1"/>
  <c r="AL38" i="12"/>
  <c r="AM38" i="12" s="1"/>
  <c r="AJ38" i="12" a="1"/>
  <c r="AJ38" i="12" s="1"/>
  <c r="AK38" i="12" a="1"/>
  <c r="AK38" i="12" s="1"/>
  <c r="AD39" i="12" a="1"/>
  <c r="AI38" i="12" l="1" a="1"/>
  <c r="AI38" i="12" s="1"/>
  <c r="AD39" i="12"/>
  <c r="AO38" i="12"/>
  <c r="AG38" i="12" s="1" a="1"/>
  <c r="AG38" i="12" s="1"/>
  <c r="AP38" i="12"/>
  <c r="X26" i="13" l="1"/>
  <c r="Y25" i="13"/>
  <c r="AQ38" i="12"/>
  <c r="AR38" i="12"/>
  <c r="AS38" i="12"/>
  <c r="AF39" i="12" a="1"/>
  <c r="AF39" i="12" s="1"/>
  <c r="AN39" i="12" a="1"/>
  <c r="AN39" i="12" s="1"/>
  <c r="AE39" i="12" a="1"/>
  <c r="AE39" i="12" s="1"/>
  <c r="AH39" i="12" s="1" a="1"/>
  <c r="AH39" i="12" s="1"/>
  <c r="AL39" i="12"/>
  <c r="AB26" i="13" s="1"/>
  <c r="AJ39" i="12" a="1"/>
  <c r="AJ39" i="12" s="1"/>
  <c r="AK39" i="12" a="1"/>
  <c r="AK39" i="12" s="1"/>
  <c r="AD40" i="12" a="1"/>
  <c r="Z30" i="13" l="1"/>
  <c r="X31" i="13"/>
  <c r="AC25" i="13"/>
  <c r="X25" i="13"/>
  <c r="Y26" i="13"/>
  <c r="Z31" i="13"/>
  <c r="X30" i="13"/>
  <c r="Y30" i="13"/>
  <c r="Y28" i="13"/>
  <c r="AB27" i="13"/>
  <c r="AB28" i="13"/>
  <c r="Y27" i="13"/>
  <c r="AB31" i="13" s="1"/>
  <c r="AI39" i="12" a="1"/>
  <c r="AI39" i="12" s="1"/>
  <c r="AD40" i="12"/>
  <c r="P33" i="13" s="1"/>
  <c r="AM39" i="12"/>
  <c r="AO39" i="12"/>
  <c r="AG39" i="12" s="1" a="1"/>
  <c r="AG39" i="12" s="1"/>
  <c r="AP39" i="12"/>
  <c r="AB30" i="13" l="1"/>
  <c r="AQ39" i="12"/>
  <c r="AR39" i="12"/>
  <c r="AS39" i="12"/>
  <c r="AE40" i="12" a="1"/>
  <c r="AE40" i="12" s="1"/>
  <c r="AH40" i="12" s="1" a="1"/>
  <c r="AH40" i="12" s="1"/>
  <c r="AL40" i="12"/>
  <c r="AM40" i="12" s="1"/>
  <c r="AJ40" i="12" a="1"/>
  <c r="AJ40" i="12" s="1"/>
  <c r="AF40" i="12" a="1"/>
  <c r="AF40" i="12" s="1"/>
  <c r="AN40" i="12" a="1"/>
  <c r="AN40" i="12" s="1"/>
  <c r="AK40" i="12" a="1"/>
  <c r="AK40" i="12" s="1"/>
  <c r="AD41" i="12" a="1"/>
  <c r="AI40" i="12" l="1" a="1"/>
  <c r="AI40" i="12" s="1"/>
  <c r="AD41" i="12"/>
  <c r="AO40" i="12"/>
  <c r="AG40" i="12" s="1" a="1"/>
  <c r="AG40" i="12" s="1"/>
  <c r="AP40" i="12"/>
  <c r="R33" i="13" l="1"/>
  <c r="Q34" i="13"/>
  <c r="AS40" i="12"/>
  <c r="AR40" i="12"/>
  <c r="AQ40" i="12"/>
  <c r="AJ41" i="12" a="1"/>
  <c r="AJ41" i="12" s="1"/>
  <c r="AE41" i="12" a="1"/>
  <c r="AE41" i="12" s="1"/>
  <c r="AI41" i="12" s="1" a="1"/>
  <c r="AI41" i="12" s="1"/>
  <c r="AF41" i="12" a="1"/>
  <c r="AF41" i="12" s="1"/>
  <c r="AL41" i="12"/>
  <c r="U34" i="13" s="1"/>
  <c r="AN41" i="12" a="1"/>
  <c r="AN41" i="12" s="1"/>
  <c r="AK41" i="12" a="1"/>
  <c r="AK41" i="12" s="1"/>
  <c r="AD42" i="12" a="1"/>
  <c r="U35" i="13" l="1"/>
  <c r="R35" i="13"/>
  <c r="U39" i="13" s="1"/>
  <c r="U36" i="13"/>
  <c r="R38" i="13"/>
  <c r="Q38" i="13"/>
  <c r="R34" i="13"/>
  <c r="V33" i="13"/>
  <c r="Q39" i="13"/>
  <c r="S38" i="13"/>
  <c r="Q33" i="13"/>
  <c r="R36" i="13"/>
  <c r="S39" i="13"/>
  <c r="AH41" i="12" a="1"/>
  <c r="AH41" i="12" s="1"/>
  <c r="AD42" i="12"/>
  <c r="W33" i="13" s="1"/>
  <c r="AM41" i="12"/>
  <c r="AP41" i="12"/>
  <c r="AO41" i="12"/>
  <c r="AG41" i="12" s="1" a="1"/>
  <c r="AG41" i="12" s="1"/>
  <c r="U38" i="13" l="1"/>
  <c r="AS41" i="12"/>
  <c r="AQ41" i="12"/>
  <c r="AR41" i="12"/>
  <c r="AE42" i="12" a="1"/>
  <c r="AE42" i="12" s="1"/>
  <c r="AI42" i="12" s="1" a="1"/>
  <c r="AI42" i="12" s="1"/>
  <c r="AL42" i="12"/>
  <c r="AM42" i="12" s="1"/>
  <c r="AF42" i="12" a="1"/>
  <c r="AF42" i="12" s="1"/>
  <c r="AJ42" i="12" a="1"/>
  <c r="AJ42" i="12" s="1"/>
  <c r="AN42" i="12" a="1"/>
  <c r="AN42" i="12" s="1"/>
  <c r="AK42" i="12" a="1"/>
  <c r="AK42" i="12" s="1"/>
  <c r="AD43" i="12" a="1"/>
  <c r="AH42" i="12" l="1" a="1"/>
  <c r="AH42" i="12" s="1"/>
  <c r="AD43" i="12"/>
  <c r="AP42" i="12"/>
  <c r="AO42" i="12"/>
  <c r="AG42" i="12" s="1" a="1"/>
  <c r="AG42" i="12" s="1"/>
  <c r="X34" i="13" l="1"/>
  <c r="Y33" i="13"/>
  <c r="AR42" i="12"/>
  <c r="AQ42" i="12"/>
  <c r="AS42" i="12"/>
  <c r="AK43" i="12" a="1"/>
  <c r="AK43" i="12" s="1"/>
  <c r="AF43" i="12" a="1"/>
  <c r="AF43" i="12" s="1"/>
  <c r="AE43" i="12" a="1"/>
  <c r="AE43" i="12" s="1"/>
  <c r="AH43" i="12" s="1" a="1"/>
  <c r="AH43" i="12" s="1"/>
  <c r="AL43" i="12"/>
  <c r="AB34" i="13" s="1"/>
  <c r="AN43" i="12" a="1"/>
  <c r="AN43" i="12" s="1"/>
  <c r="AJ43" i="12" a="1"/>
  <c r="AJ43" i="12" s="1"/>
  <c r="AD44" i="12" a="1"/>
  <c r="X39" i="13" l="1"/>
  <c r="Y34" i="13"/>
  <c r="Z38" i="13"/>
  <c r="X38" i="13"/>
  <c r="Y38" i="13"/>
  <c r="Y36" i="13"/>
  <c r="X33" i="13"/>
  <c r="Z39" i="13"/>
  <c r="AC33" i="13"/>
  <c r="AB36" i="13"/>
  <c r="Y35" i="13"/>
  <c r="AB39" i="13" s="1"/>
  <c r="AB35" i="13"/>
  <c r="AD44" i="12"/>
  <c r="P41" i="13" s="1"/>
  <c r="AI43" i="12" a="1"/>
  <c r="AI43" i="12" s="1"/>
  <c r="AO43" i="12"/>
  <c r="AG43" i="12" s="1" a="1"/>
  <c r="AG43" i="12" s="1"/>
  <c r="AP43" i="12"/>
  <c r="AM43" i="12"/>
  <c r="AB38" i="13" l="1"/>
  <c r="AS43" i="12"/>
  <c r="AQ43" i="12"/>
  <c r="AR43" i="12"/>
  <c r="AE44" i="12" a="1"/>
  <c r="AE44" i="12" s="1"/>
  <c r="AH44" i="12" s="1" a="1"/>
  <c r="AH44" i="12" s="1"/>
  <c r="AK44" i="12" a="1"/>
  <c r="AK44" i="12" s="1"/>
  <c r="AJ44" i="12" a="1"/>
  <c r="AJ44" i="12" s="1"/>
  <c r="AL44" i="12"/>
  <c r="AM44" i="12" s="1"/>
  <c r="AN44" i="12" a="1"/>
  <c r="AN44" i="12" s="1"/>
  <c r="AF44" i="12" a="1"/>
  <c r="AF44" i="12" s="1"/>
  <c r="AD45" i="12" a="1"/>
  <c r="AD45" i="12" l="1"/>
  <c r="AP44" i="12"/>
  <c r="AO44" i="12"/>
  <c r="AG44" i="12" s="1" a="1"/>
  <c r="AG44" i="12" s="1"/>
  <c r="AI44" i="12" a="1"/>
  <c r="AI44" i="12" s="1"/>
  <c r="Q42" i="13" l="1"/>
  <c r="R41" i="13"/>
  <c r="AQ44" i="12"/>
  <c r="AS44" i="12"/>
  <c r="AR44" i="12"/>
  <c r="AJ45" i="12" a="1"/>
  <c r="AJ45" i="12" s="1"/>
  <c r="AK45" i="12" a="1"/>
  <c r="AK45" i="12" s="1"/>
  <c r="AE45" i="12" a="1"/>
  <c r="AE45" i="12" s="1"/>
  <c r="AH45" i="12" s="1" a="1"/>
  <c r="AH45" i="12" s="1"/>
  <c r="AF45" i="12" a="1"/>
  <c r="AF45" i="12" s="1"/>
  <c r="AL45" i="12"/>
  <c r="U42" i="13" s="1"/>
  <c r="AN45" i="12" a="1"/>
  <c r="AN45" i="12" s="1"/>
  <c r="AD46" i="12" a="1"/>
  <c r="S46" i="13" l="1"/>
  <c r="R46" i="13"/>
  <c r="Q41" i="13"/>
  <c r="R44" i="13"/>
  <c r="R42" i="13"/>
  <c r="V41" i="13"/>
  <c r="Q47" i="13"/>
  <c r="Q46" i="13"/>
  <c r="S47" i="13"/>
  <c r="R43" i="13"/>
  <c r="U47" i="13" s="1"/>
  <c r="U44" i="13"/>
  <c r="U43" i="13"/>
  <c r="AD46" i="12"/>
  <c r="W41" i="13" s="1"/>
  <c r="AO45" i="12"/>
  <c r="AG45" i="12" s="1" a="1"/>
  <c r="AG45" i="12" s="1"/>
  <c r="AP45" i="12"/>
  <c r="AI45" i="12" a="1"/>
  <c r="AI45" i="12" s="1"/>
  <c r="AM45" i="12"/>
  <c r="U46" i="13" l="1"/>
  <c r="AR45" i="12"/>
  <c r="AQ45" i="12"/>
  <c r="AS45" i="12"/>
  <c r="AE46" i="12" a="1"/>
  <c r="AE46" i="12" s="1"/>
  <c r="AI46" i="12" s="1" a="1"/>
  <c r="AI46" i="12" s="1"/>
  <c r="AJ46" i="12" a="1"/>
  <c r="AJ46" i="12" s="1"/>
  <c r="AN46" i="12" a="1"/>
  <c r="AN46" i="12" s="1"/>
  <c r="AL46" i="12"/>
  <c r="AM46" i="12" s="1"/>
  <c r="AK46" i="12" a="1"/>
  <c r="AK46" i="12" s="1"/>
  <c r="AF46" i="12" a="1"/>
  <c r="AF46" i="12" s="1"/>
  <c r="AD47" i="12" a="1"/>
  <c r="AH46" i="12" l="1" a="1"/>
  <c r="AH46" i="12" s="1"/>
  <c r="AD47" i="12"/>
  <c r="AP46" i="12"/>
  <c r="AO46" i="12"/>
  <c r="AG46" i="12" s="1" a="1"/>
  <c r="AG46" i="12" s="1"/>
  <c r="Y41" i="13" l="1"/>
  <c r="X42" i="13"/>
  <c r="AS46" i="12"/>
  <c r="AR46" i="12"/>
  <c r="AQ46" i="12"/>
  <c r="AF47" i="12" a="1"/>
  <c r="AF47" i="12" s="1"/>
  <c r="AN47" i="12" a="1"/>
  <c r="AN47" i="12" s="1"/>
  <c r="AE47" i="12" a="1"/>
  <c r="AE47" i="12" s="1"/>
  <c r="AH47" i="12" s="1" a="1"/>
  <c r="AH47" i="12" s="1"/>
  <c r="AK47" i="12" a="1"/>
  <c r="AK47" i="12" s="1"/>
  <c r="AJ47" i="12" a="1"/>
  <c r="AJ47" i="12" s="1"/>
  <c r="AL47" i="12"/>
  <c r="AB42" i="13" s="1"/>
  <c r="AD48" i="12" a="1"/>
  <c r="AB44" i="13" l="1"/>
  <c r="Y43" i="13"/>
  <c r="AB47" i="13" s="1"/>
  <c r="AB43" i="13"/>
  <c r="X46" i="13"/>
  <c r="X41" i="13"/>
  <c r="Z47" i="13"/>
  <c r="Y46" i="13"/>
  <c r="X47" i="13"/>
  <c r="Z46" i="13"/>
  <c r="AC41" i="13"/>
  <c r="Y44" i="13"/>
  <c r="Y42" i="13"/>
  <c r="AI47" i="12" a="1"/>
  <c r="AI47" i="12" s="1"/>
  <c r="AD48" i="12"/>
  <c r="AE1" i="13" s="1"/>
  <c r="AM47" i="12"/>
  <c r="AP47" i="12"/>
  <c r="AO47" i="12"/>
  <c r="AG47" i="12" s="1" a="1"/>
  <c r="AG47" i="12" s="1"/>
  <c r="AB46" i="13" l="1"/>
  <c r="AS47" i="12"/>
  <c r="AR47" i="12"/>
  <c r="AQ47" i="12"/>
  <c r="AE48" i="12" a="1"/>
  <c r="AE48" i="12" s="1"/>
  <c r="AH48" i="12" s="1" a="1"/>
  <c r="AH48" i="12" s="1"/>
  <c r="AL48" i="12"/>
  <c r="AM48" i="12" s="1"/>
  <c r="AK48" i="12" a="1"/>
  <c r="AK48" i="12" s="1"/>
  <c r="AJ48" i="12" a="1"/>
  <c r="AJ48" i="12" s="1"/>
  <c r="AF48" i="12" a="1"/>
  <c r="AF48" i="12" s="1"/>
  <c r="AN48" i="12" a="1"/>
  <c r="AN48" i="12" s="1"/>
  <c r="AD49" i="12" a="1"/>
  <c r="AI48" i="12" l="1" a="1"/>
  <c r="AI48" i="12" s="1"/>
  <c r="AD49" i="12"/>
  <c r="AP48" i="12"/>
  <c r="AO48" i="12"/>
  <c r="AG48" i="12" s="1" a="1"/>
  <c r="AG48" i="12" s="1"/>
  <c r="AG1" i="13" l="1"/>
  <c r="AF2" i="13"/>
  <c r="AS48" i="12"/>
  <c r="AR48" i="12"/>
  <c r="AQ48" i="12"/>
  <c r="AK49" i="12" a="1"/>
  <c r="AK49" i="12" s="1"/>
  <c r="AE49" i="12" a="1"/>
  <c r="AE49" i="12" s="1"/>
  <c r="AH49" i="12" s="1" a="1"/>
  <c r="AH49" i="12" s="1"/>
  <c r="AJ49" i="12" a="1"/>
  <c r="AJ49" i="12" s="1"/>
  <c r="AN49" i="12" a="1"/>
  <c r="AN49" i="12" s="1"/>
  <c r="AL49" i="12"/>
  <c r="AJ2" i="13" s="1"/>
  <c r="AF49" i="12" a="1"/>
  <c r="AF49" i="12" s="1"/>
  <c r="AD50" i="12" a="1"/>
  <c r="AJ7" i="13" l="1"/>
  <c r="AH6" i="13"/>
  <c r="AG6" i="13"/>
  <c r="AF6" i="13"/>
  <c r="AK1" i="13"/>
  <c r="AH7" i="13"/>
  <c r="AG2" i="13"/>
  <c r="AG4" i="13"/>
  <c r="AF1" i="13"/>
  <c r="AF7" i="13"/>
  <c r="AJ6" i="13"/>
  <c r="AJ3" i="13"/>
  <c r="AJ4" i="13"/>
  <c r="AG3" i="13"/>
  <c r="AI49" i="12" a="1"/>
  <c r="AI49" i="12" s="1"/>
  <c r="AD50" i="12"/>
  <c r="AL1" i="13" s="1"/>
  <c r="AM49" i="12"/>
  <c r="AO49" i="12"/>
  <c r="AG49" i="12" s="1" a="1"/>
  <c r="AG49" i="12" s="1"/>
  <c r="AP49" i="12"/>
  <c r="AR49" i="12" l="1"/>
  <c r="AQ49" i="12"/>
  <c r="AS49" i="12"/>
  <c r="AE50" i="12" a="1"/>
  <c r="AE50" i="12" s="1"/>
  <c r="AI50" i="12" s="1" a="1"/>
  <c r="AI50" i="12" s="1"/>
  <c r="AN50" i="12" a="1"/>
  <c r="AN50" i="12" s="1"/>
  <c r="AJ50" i="12" a="1"/>
  <c r="AJ50" i="12" s="1"/>
  <c r="AF50" i="12" a="1"/>
  <c r="AF50" i="12" s="1"/>
  <c r="AK50" i="12" a="1"/>
  <c r="AK50" i="12" s="1"/>
  <c r="AL50" i="12"/>
  <c r="AM50" i="12" s="1"/>
  <c r="AD51" i="12" a="1"/>
  <c r="AH50" i="12" l="1" a="1"/>
  <c r="AH50" i="12" s="1"/>
  <c r="AD51" i="12"/>
  <c r="AO50" i="12"/>
  <c r="AG50" i="12" s="1" a="1"/>
  <c r="AG50" i="12" s="1"/>
  <c r="AP50" i="12"/>
  <c r="AM2" i="13" l="1"/>
  <c r="AN1" i="13"/>
  <c r="AS50" i="12"/>
  <c r="AR50" i="12"/>
  <c r="AQ50" i="12"/>
  <c r="AN51" i="12" a="1"/>
  <c r="AN51" i="12" s="1"/>
  <c r="AF51" i="12" a="1"/>
  <c r="AF51" i="12" s="1"/>
  <c r="AK51" i="12" a="1"/>
  <c r="AK51" i="12" s="1"/>
  <c r="AL51" i="12"/>
  <c r="AQ2" i="13" s="1"/>
  <c r="AE51" i="12" a="1"/>
  <c r="AE51" i="12" s="1"/>
  <c r="AH51" i="12" s="1" a="1"/>
  <c r="AH51" i="12" s="1"/>
  <c r="AJ51" i="12" a="1"/>
  <c r="AJ51" i="12" s="1"/>
  <c r="AD52" i="12" a="1"/>
  <c r="AM1" i="13" l="1"/>
  <c r="AN6" i="13"/>
  <c r="AQ7" i="13"/>
  <c r="AO6" i="13"/>
  <c r="AM7" i="13"/>
  <c r="AM6" i="13"/>
  <c r="AO7" i="13"/>
  <c r="AQ6" i="13"/>
  <c r="AN4" i="13"/>
  <c r="AR1" i="13"/>
  <c r="AN2" i="13"/>
  <c r="AN3" i="13"/>
  <c r="AQ4" i="13"/>
  <c r="AQ3" i="13"/>
  <c r="AI51" i="12" a="1"/>
  <c r="AI51" i="12" s="1"/>
  <c r="AD52" i="12"/>
  <c r="AE9" i="13" s="1"/>
  <c r="AM51" i="12"/>
  <c r="AP51" i="12"/>
  <c r="AO51" i="12"/>
  <c r="AG51" i="12" s="1" a="1"/>
  <c r="AG51" i="12" s="1"/>
  <c r="AR51" i="12" l="1"/>
  <c r="AS51" i="12"/>
  <c r="AQ51" i="12"/>
  <c r="AE52" i="12" a="1"/>
  <c r="AE52" i="12" s="1"/>
  <c r="AI52" i="12" s="1" a="1"/>
  <c r="AI52" i="12" s="1"/>
  <c r="AL52" i="12"/>
  <c r="AM52" i="12" s="1"/>
  <c r="AK52" i="12" a="1"/>
  <c r="AK52" i="12" s="1"/>
  <c r="AN52" i="12" a="1"/>
  <c r="AN52" i="12" s="1"/>
  <c r="AJ52" i="12" a="1"/>
  <c r="AJ52" i="12" s="1"/>
  <c r="AF52" i="12" a="1"/>
  <c r="AF52" i="12" s="1"/>
  <c r="AD53" i="12" a="1"/>
  <c r="AH52" i="12" l="1" a="1"/>
  <c r="AH52" i="12" s="1"/>
  <c r="AD53" i="12"/>
  <c r="AO52" i="12"/>
  <c r="AG52" i="12" s="1" a="1"/>
  <c r="AG52" i="12" s="1"/>
  <c r="AP52" i="12"/>
  <c r="AG9" i="13" l="1"/>
  <c r="AF10" i="13"/>
  <c r="AR52" i="12"/>
  <c r="AQ52" i="12"/>
  <c r="AS52" i="12"/>
  <c r="AF53" i="12" a="1"/>
  <c r="AF53" i="12" s="1"/>
  <c r="AN53" i="12" a="1"/>
  <c r="AN53" i="12" s="1"/>
  <c r="AE53" i="12" a="1"/>
  <c r="AE53" i="12" s="1"/>
  <c r="AH53" i="12" s="1" a="1"/>
  <c r="AH53" i="12" s="1"/>
  <c r="AL53" i="12"/>
  <c r="AJ10" i="13" s="1"/>
  <c r="AK53" i="12" a="1"/>
  <c r="AK53" i="12" s="1"/>
  <c r="AJ53" i="12" a="1"/>
  <c r="AJ53" i="12" s="1"/>
  <c r="AD54" i="12" a="1"/>
  <c r="AJ12" i="13" l="1"/>
  <c r="AJ11" i="13"/>
  <c r="AG11" i="13"/>
  <c r="AG14" i="13"/>
  <c r="AG12" i="13"/>
  <c r="AF15" i="13"/>
  <c r="AK9" i="13"/>
  <c r="AG10" i="13"/>
  <c r="AH15" i="13"/>
  <c r="AJ15" i="13"/>
  <c r="AH14" i="13"/>
  <c r="AJ14" i="13"/>
  <c r="AF9" i="13"/>
  <c r="AF14" i="13"/>
  <c r="AI53" i="12" a="1"/>
  <c r="AI53" i="12" s="1"/>
  <c r="AD54" i="12"/>
  <c r="AL9" i="13" s="1"/>
  <c r="AM53" i="12"/>
  <c r="AO53" i="12"/>
  <c r="AG53" i="12" s="1" a="1"/>
  <c r="AG53" i="12" s="1"/>
  <c r="AP53" i="12"/>
  <c r="AS53" i="12" l="1"/>
  <c r="AR53" i="12"/>
  <c r="AQ53" i="12"/>
  <c r="AE54" i="12" a="1"/>
  <c r="AE54" i="12" s="1"/>
  <c r="AH54" i="12" s="1" a="1"/>
  <c r="AH54" i="12" s="1"/>
  <c r="AN54" i="12" a="1"/>
  <c r="AN54" i="12" s="1"/>
  <c r="AJ54" i="12" a="1"/>
  <c r="AJ54" i="12" s="1"/>
  <c r="AK54" i="12" a="1"/>
  <c r="AK54" i="12" s="1"/>
  <c r="AF54" i="12" a="1"/>
  <c r="AF54" i="12" s="1"/>
  <c r="AL54" i="12"/>
  <c r="AM54" i="12" s="1"/>
  <c r="AD55" i="12" a="1"/>
  <c r="AD55" i="12" l="1"/>
  <c r="AO54" i="12"/>
  <c r="AG54" i="12" s="1" a="1"/>
  <c r="AG54" i="12" s="1"/>
  <c r="AP54" i="12"/>
  <c r="AI54" i="12" a="1"/>
  <c r="AI54" i="12" s="1"/>
  <c r="AM10" i="13" l="1"/>
  <c r="AN9" i="13"/>
  <c r="AQ54" i="12"/>
  <c r="AR54" i="12"/>
  <c r="AS54" i="12"/>
  <c r="AN55" i="12" a="1"/>
  <c r="AN55" i="12" s="1"/>
  <c r="AE55" i="12" a="1"/>
  <c r="AE55" i="12" s="1"/>
  <c r="AI55" i="12" s="1" a="1"/>
  <c r="AI55" i="12" s="1"/>
  <c r="AJ55" i="12" a="1"/>
  <c r="AJ55" i="12" s="1"/>
  <c r="AF55" i="12" a="1"/>
  <c r="AF55" i="12" s="1"/>
  <c r="AL55" i="12"/>
  <c r="AQ10" i="13" s="1"/>
  <c r="AK55" i="12" a="1"/>
  <c r="AK55" i="12" s="1"/>
  <c r="AD56" i="12" a="1"/>
  <c r="AH55" i="12" l="1" a="1"/>
  <c r="AH55" i="12" s="1"/>
  <c r="AM15" i="13"/>
  <c r="AR9" i="13"/>
  <c r="AM14" i="13"/>
  <c r="AO14" i="13"/>
  <c r="AN14" i="13"/>
  <c r="AN12" i="13"/>
  <c r="AQ15" i="13"/>
  <c r="AO15" i="13"/>
  <c r="AN10" i="13"/>
  <c r="AM9" i="13"/>
  <c r="AQ14" i="13"/>
  <c r="AQ11" i="13"/>
  <c r="AQ12" i="13"/>
  <c r="AN11" i="13"/>
  <c r="AD56" i="12"/>
  <c r="AE17" i="13" s="1"/>
  <c r="AM55" i="12"/>
  <c r="AP55" i="12"/>
  <c r="AO55" i="12"/>
  <c r="AG55" i="12" s="1" a="1"/>
  <c r="AG55" i="12" s="1"/>
  <c r="AR55" i="12" l="1"/>
  <c r="AQ55" i="12"/>
  <c r="AS55" i="12"/>
  <c r="AE56" i="12" a="1"/>
  <c r="AE56" i="12" s="1"/>
  <c r="AH56" i="12" s="1" a="1"/>
  <c r="AH56" i="12" s="1"/>
  <c r="AK56" i="12" a="1"/>
  <c r="AK56" i="12" s="1"/>
  <c r="AJ56" i="12" a="1"/>
  <c r="AJ56" i="12" s="1"/>
  <c r="AF56" i="12" a="1"/>
  <c r="AF56" i="12" s="1"/>
  <c r="AL56" i="12"/>
  <c r="AM56" i="12" s="1"/>
  <c r="AN56" i="12" a="1"/>
  <c r="AN56" i="12" s="1"/>
  <c r="AD57" i="12" a="1"/>
  <c r="AI56" i="12" l="1" a="1"/>
  <c r="AI56" i="12" s="1"/>
  <c r="AD57" i="12"/>
  <c r="AO56" i="12"/>
  <c r="AG56" i="12" s="1" a="1"/>
  <c r="AG56" i="12" s="1"/>
  <c r="AP56" i="12"/>
  <c r="AF18" i="13" l="1"/>
  <c r="AG17" i="13"/>
  <c r="AS56" i="12"/>
  <c r="AR56" i="12"/>
  <c r="AQ56" i="12"/>
  <c r="AL57" i="12"/>
  <c r="AJ18" i="13" s="1"/>
  <c r="AN57" i="12" a="1"/>
  <c r="AN57" i="12" s="1"/>
  <c r="AE57" i="12" a="1"/>
  <c r="AE57" i="12" s="1"/>
  <c r="AI57" i="12" s="1" a="1"/>
  <c r="AI57" i="12" s="1"/>
  <c r="AK57" i="12" a="1"/>
  <c r="AK57" i="12" s="1"/>
  <c r="AJ57" i="12" a="1"/>
  <c r="AJ57" i="12" s="1"/>
  <c r="AF57" i="12" a="1"/>
  <c r="AF57" i="12" s="1"/>
  <c r="AD58" i="12" a="1"/>
  <c r="AG19" i="13" l="1"/>
  <c r="AG18" i="13"/>
  <c r="AJ23" i="13"/>
  <c r="AF17" i="13"/>
  <c r="AG20" i="13"/>
  <c r="AF22" i="13"/>
  <c r="AG22" i="13"/>
  <c r="AK17" i="13"/>
  <c r="AH22" i="13"/>
  <c r="AJ22" i="13"/>
  <c r="AF23" i="13"/>
  <c r="AH23" i="13"/>
  <c r="AJ19" i="13"/>
  <c r="AJ20" i="13"/>
  <c r="AH57" i="12" a="1"/>
  <c r="AH57" i="12" s="1"/>
  <c r="AD58" i="12"/>
  <c r="AL17" i="13" s="1"/>
  <c r="AM57" i="12"/>
  <c r="AP57" i="12"/>
  <c r="AO57" i="12"/>
  <c r="AG57" i="12" s="1" a="1"/>
  <c r="AG57" i="12" s="1"/>
  <c r="AQ57" i="12" l="1"/>
  <c r="AR57" i="12"/>
  <c r="AS57" i="12"/>
  <c r="AE58" i="12" a="1"/>
  <c r="AE58" i="12" s="1"/>
  <c r="AI58" i="12" s="1" a="1"/>
  <c r="AI58" i="12" s="1"/>
  <c r="AJ58" i="12" a="1"/>
  <c r="AJ58" i="12" s="1"/>
  <c r="AK58" i="12" a="1"/>
  <c r="AK58" i="12" s="1"/>
  <c r="AN58" i="12" a="1"/>
  <c r="AN58" i="12" s="1"/>
  <c r="AL58" i="12"/>
  <c r="AM58" i="12" s="1"/>
  <c r="AF58" i="12" a="1"/>
  <c r="AF58" i="12" s="1"/>
  <c r="AD59" i="12" a="1"/>
  <c r="AD59" i="12" l="1"/>
  <c r="AP58" i="12"/>
  <c r="AO58" i="12"/>
  <c r="AG58" i="12" s="1" a="1"/>
  <c r="AG58" i="12" s="1"/>
  <c r="AH58" i="12" a="1"/>
  <c r="AH58" i="12" s="1"/>
  <c r="AM18" i="13" l="1"/>
  <c r="AN17" i="13"/>
  <c r="AS58" i="12"/>
  <c r="AQ58" i="12"/>
  <c r="AR58" i="12"/>
  <c r="AJ59" i="12" a="1"/>
  <c r="AJ59" i="12" s="1"/>
  <c r="AE59" i="12" a="1"/>
  <c r="AE59" i="12" s="1"/>
  <c r="AI59" i="12" s="1" a="1"/>
  <c r="AI59" i="12" s="1"/>
  <c r="AL59" i="12"/>
  <c r="AQ18" i="13" s="1"/>
  <c r="AF59" i="12" a="1"/>
  <c r="AF59" i="12" s="1"/>
  <c r="AK59" i="12" a="1"/>
  <c r="AK59" i="12" s="1"/>
  <c r="AN59" i="12" a="1"/>
  <c r="AN59" i="12" s="1"/>
  <c r="AD60" i="12" a="1"/>
  <c r="AN20" i="13" l="1"/>
  <c r="AN18" i="13"/>
  <c r="AO22" i="13"/>
  <c r="AM23" i="13"/>
  <c r="AQ22" i="13"/>
  <c r="AM17" i="13"/>
  <c r="AR17" i="13"/>
  <c r="AM22" i="13"/>
  <c r="AO23" i="13"/>
  <c r="AN22" i="13"/>
  <c r="AQ23" i="13"/>
  <c r="AQ19" i="13"/>
  <c r="AQ20" i="13"/>
  <c r="AN19" i="13"/>
  <c r="AH59" i="12" a="1"/>
  <c r="AH59" i="12" s="1"/>
  <c r="AD60" i="12"/>
  <c r="AE25" i="13" s="1"/>
  <c r="AM59" i="12"/>
  <c r="AO59" i="12"/>
  <c r="AG59" i="12" s="1" a="1"/>
  <c r="AG59" i="12" s="1"/>
  <c r="AP59" i="12"/>
  <c r="AQ59" i="12" l="1"/>
  <c r="AR59" i="12"/>
  <c r="AS59" i="12"/>
  <c r="AE60" i="12" a="1"/>
  <c r="AE60" i="12" s="1"/>
  <c r="AH60" i="12" s="1" a="1"/>
  <c r="AH60" i="12" s="1"/>
  <c r="AJ60" i="12" a="1"/>
  <c r="AJ60" i="12" s="1"/>
  <c r="AF60" i="12" a="1"/>
  <c r="AF60" i="12" s="1"/>
  <c r="AL60" i="12"/>
  <c r="AM60" i="12" s="1"/>
  <c r="AN60" i="12" a="1"/>
  <c r="AN60" i="12" s="1"/>
  <c r="AK60" i="12" a="1"/>
  <c r="AK60" i="12" s="1"/>
  <c r="AD61" i="12" a="1"/>
  <c r="AI60" i="12" l="1" a="1"/>
  <c r="AI60" i="12" s="1"/>
  <c r="AD61" i="12"/>
  <c r="AP60" i="12"/>
  <c r="AO60" i="12"/>
  <c r="AG60" i="12" s="1" a="1"/>
  <c r="AG60" i="12" s="1"/>
  <c r="AG25" i="13" l="1"/>
  <c r="AF26" i="13"/>
  <c r="AS60" i="12"/>
  <c r="AQ60" i="12"/>
  <c r="AR60" i="12"/>
  <c r="AJ61" i="12" a="1"/>
  <c r="AJ61" i="12" s="1"/>
  <c r="AK61" i="12" a="1"/>
  <c r="AK61" i="12" s="1"/>
  <c r="AN61" i="12" a="1"/>
  <c r="AN61" i="12" s="1"/>
  <c r="AE61" i="12" a="1"/>
  <c r="AE61" i="12" s="1"/>
  <c r="AI61" i="12" s="1" a="1"/>
  <c r="AI61" i="12" s="1"/>
  <c r="AH61" i="12" a="1"/>
  <c r="AH61" i="12" s="1"/>
  <c r="AL61" i="12"/>
  <c r="AJ26" i="13" s="1"/>
  <c r="AF61" i="12" a="1"/>
  <c r="AF61" i="12" s="1"/>
  <c r="AD62" i="12" a="1"/>
  <c r="AJ28" i="13" l="1"/>
  <c r="AG27" i="13"/>
  <c r="AJ27" i="13"/>
  <c r="AF31" i="13"/>
  <c r="AG26" i="13"/>
  <c r="AG28" i="13"/>
  <c r="AF30" i="13"/>
  <c r="AJ31" i="13"/>
  <c r="AJ30" i="13"/>
  <c r="AF25" i="13"/>
  <c r="AK25" i="13"/>
  <c r="AG30" i="13"/>
  <c r="AH31" i="13"/>
  <c r="AH30" i="13"/>
  <c r="AD62" i="12"/>
  <c r="AL25" i="13" s="1"/>
  <c r="AM61" i="12"/>
  <c r="AP61" i="12"/>
  <c r="AO61" i="12"/>
  <c r="AG61" i="12" s="1" a="1"/>
  <c r="AG61" i="12" s="1"/>
  <c r="AS61" i="12" l="1"/>
  <c r="AQ61" i="12"/>
  <c r="AR61" i="12"/>
  <c r="AE62" i="12" a="1"/>
  <c r="AE62" i="12" s="1"/>
  <c r="AH62" i="12" s="1" a="1"/>
  <c r="AH62" i="12" s="1"/>
  <c r="AF62" i="12" a="1"/>
  <c r="AF62" i="12" s="1"/>
  <c r="AL62" i="12"/>
  <c r="AM62" i="12" s="1"/>
  <c r="AN62" i="12" a="1"/>
  <c r="AN62" i="12" s="1"/>
  <c r="AK62" i="12" a="1"/>
  <c r="AK62" i="12" s="1"/>
  <c r="AJ62" i="12" a="1"/>
  <c r="AJ62" i="12" s="1"/>
  <c r="AD63" i="12" a="1"/>
  <c r="AI62" i="12" l="1" a="1"/>
  <c r="AI62" i="12" s="1"/>
  <c r="AD63" i="12"/>
  <c r="AP62" i="12"/>
  <c r="AO62" i="12"/>
  <c r="AG62" i="12" s="1" a="1"/>
  <c r="AG62" i="12" s="1"/>
  <c r="AN25" i="13" l="1"/>
  <c r="AM26" i="13"/>
  <c r="AS62" i="12"/>
  <c r="AQ62" i="12"/>
  <c r="AR62" i="12"/>
  <c r="AL63" i="12"/>
  <c r="AQ26" i="13" s="1"/>
  <c r="AJ63" i="12" a="1"/>
  <c r="AJ63" i="12" s="1"/>
  <c r="AF63" i="12" a="1"/>
  <c r="AF63" i="12" s="1"/>
  <c r="AE63" i="12" a="1"/>
  <c r="AE63" i="12" s="1"/>
  <c r="AH63" i="12" s="1" a="1"/>
  <c r="AH63" i="12" s="1"/>
  <c r="AN63" i="12" a="1"/>
  <c r="AN63" i="12" s="1"/>
  <c r="AK63" i="12" a="1"/>
  <c r="AK63" i="12" s="1"/>
  <c r="AD64" i="12" a="1"/>
  <c r="AQ28" i="13" l="1"/>
  <c r="AQ27" i="13"/>
  <c r="AN27" i="13"/>
  <c r="AO30" i="13"/>
  <c r="AN30" i="13"/>
  <c r="AN28" i="13"/>
  <c r="AM31" i="13"/>
  <c r="AQ31" i="13"/>
  <c r="AO31" i="13"/>
  <c r="AN26" i="13"/>
  <c r="AM30" i="13"/>
  <c r="AM25" i="13"/>
  <c r="AR25" i="13"/>
  <c r="AQ30" i="13"/>
  <c r="AD64" i="12"/>
  <c r="AE33" i="13" s="1"/>
  <c r="AI63" i="12" a="1"/>
  <c r="AI63" i="12" s="1"/>
  <c r="AP63" i="12"/>
  <c r="AO63" i="12"/>
  <c r="AG63" i="12" s="1" a="1"/>
  <c r="AG63" i="12" s="1"/>
  <c r="AM63" i="12"/>
  <c r="AQ63" i="12" l="1"/>
  <c r="AR63" i="12"/>
  <c r="AS63" i="12"/>
  <c r="AE64" i="12" a="1"/>
  <c r="AE64" i="12" s="1"/>
  <c r="AH64" i="12" s="1" a="1"/>
  <c r="AH64" i="12" s="1"/>
  <c r="AN64" i="12" a="1"/>
  <c r="AN64" i="12" s="1"/>
  <c r="AL64" i="12"/>
  <c r="AM64" i="12" s="1"/>
  <c r="AF64" i="12" a="1"/>
  <c r="AF64" i="12" s="1"/>
  <c r="AK64" i="12" a="1"/>
  <c r="AK64" i="12" s="1"/>
  <c r="AJ64" i="12" a="1"/>
  <c r="AJ64" i="12" s="1"/>
  <c r="AD65" i="12" a="1"/>
  <c r="AI64" i="12" l="1" a="1"/>
  <c r="AI64" i="12" s="1"/>
  <c r="AD65" i="12"/>
  <c r="AP64" i="12"/>
  <c r="AO64" i="12"/>
  <c r="AG64" i="12" s="1" a="1"/>
  <c r="AG64" i="12" s="1"/>
  <c r="AG33" i="13" l="1"/>
  <c r="AF34" i="13"/>
  <c r="AR64" i="12"/>
  <c r="AQ64" i="12"/>
  <c r="AS64" i="12"/>
  <c r="AK65" i="12" a="1"/>
  <c r="AK65" i="12" s="1"/>
  <c r="AF65" i="12" a="1"/>
  <c r="AF65" i="12" s="1"/>
  <c r="AJ65" i="12" a="1"/>
  <c r="AJ65" i="12" s="1"/>
  <c r="AE65" i="12" a="1"/>
  <c r="AE65" i="12" s="1"/>
  <c r="AI65" i="12" s="1" a="1"/>
  <c r="AI65" i="12" s="1"/>
  <c r="AL65" i="12"/>
  <c r="AJ34" i="13" s="1"/>
  <c r="AN65" i="12" a="1"/>
  <c r="AN65" i="12" s="1"/>
  <c r="AD66" i="12" a="1"/>
  <c r="AJ36" i="13" l="1"/>
  <c r="AG35" i="13"/>
  <c r="AJ35" i="13"/>
  <c r="AF33" i="13"/>
  <c r="AJ38" i="13"/>
  <c r="AG34" i="13"/>
  <c r="AH39" i="13"/>
  <c r="AK33" i="13"/>
  <c r="AH38" i="13"/>
  <c r="AJ39" i="13"/>
  <c r="AF38" i="13"/>
  <c r="AG36" i="13"/>
  <c r="AG38" i="13"/>
  <c r="AF39" i="13"/>
  <c r="AD66" i="12"/>
  <c r="AL33" i="13" s="1"/>
  <c r="AM65" i="12"/>
  <c r="AP65" i="12"/>
  <c r="AO65" i="12"/>
  <c r="AG65" i="12" s="1" a="1"/>
  <c r="AG65" i="12" s="1"/>
  <c r="AH65" i="12" a="1"/>
  <c r="AH65" i="12" s="1"/>
  <c r="AS65" i="12" l="1"/>
  <c r="AQ65" i="12"/>
  <c r="AR65" i="12"/>
  <c r="AE66" i="12" a="1"/>
  <c r="AE66" i="12" s="1"/>
  <c r="AH66" i="12" s="1" a="1"/>
  <c r="AH66" i="12" s="1"/>
  <c r="AK66" i="12" a="1"/>
  <c r="AK66" i="12" s="1"/>
  <c r="AJ66" i="12" a="1"/>
  <c r="AJ66" i="12" s="1"/>
  <c r="AN66" i="12" a="1"/>
  <c r="AN66" i="12" s="1"/>
  <c r="AF66" i="12" a="1"/>
  <c r="AF66" i="12" s="1"/>
  <c r="AL66" i="12"/>
  <c r="AM66" i="12" s="1"/>
  <c r="AD67" i="12" a="1"/>
  <c r="AI66" i="12" l="1" a="1"/>
  <c r="AI66" i="12" s="1"/>
  <c r="AD67" i="12"/>
  <c r="AO66" i="12"/>
  <c r="AG66" i="12" s="1" a="1"/>
  <c r="AG66" i="12" s="1"/>
  <c r="AP66" i="12"/>
  <c r="AN33" i="13" l="1"/>
  <c r="AM34" i="13"/>
  <c r="AQ66" i="12"/>
  <c r="AR66" i="12"/>
  <c r="AS66" i="12"/>
  <c r="AE67" i="12" a="1"/>
  <c r="AE67" i="12" s="1"/>
  <c r="AH67" i="12" s="1" a="1"/>
  <c r="AH67" i="12" s="1"/>
  <c r="AL67" i="12"/>
  <c r="AQ34" i="13" s="1"/>
  <c r="AK67" i="12" a="1"/>
  <c r="AK67" i="12" s="1"/>
  <c r="AN67" i="12" a="1"/>
  <c r="AN67" i="12" s="1"/>
  <c r="AF67" i="12" a="1"/>
  <c r="AF67" i="12" s="1"/>
  <c r="AJ67" i="12" a="1"/>
  <c r="AJ67" i="12" s="1"/>
  <c r="AD68" i="12" a="1"/>
  <c r="AN35" i="13" l="1"/>
  <c r="AQ35" i="13"/>
  <c r="AQ36" i="13"/>
  <c r="AM38" i="13"/>
  <c r="AM33" i="13"/>
  <c r="AN34" i="13"/>
  <c r="AN38" i="13"/>
  <c r="AN36" i="13"/>
  <c r="AM39" i="13"/>
  <c r="AR33" i="13"/>
  <c r="AQ39" i="13"/>
  <c r="AO39" i="13"/>
  <c r="AO38" i="13"/>
  <c r="AQ38" i="13"/>
  <c r="AD68" i="12"/>
  <c r="AE41" i="13" s="1"/>
  <c r="AO67" i="12"/>
  <c r="AG67" i="12" s="1" a="1"/>
  <c r="AG67" i="12" s="1"/>
  <c r="AP67" i="12"/>
  <c r="AM67" i="12"/>
  <c r="AI67" i="12" a="1"/>
  <c r="AI67" i="12" s="1"/>
  <c r="AS67" i="12" l="1"/>
  <c r="AR67" i="12"/>
  <c r="AQ67" i="12"/>
  <c r="AE68" i="12" a="1"/>
  <c r="AE68" i="12" s="1"/>
  <c r="AH68" i="12" s="1" a="1"/>
  <c r="AH68" i="12" s="1"/>
  <c r="AL68" i="12"/>
  <c r="AM68" i="12" s="1"/>
  <c r="AF68" i="12" a="1"/>
  <c r="AF68" i="12" s="1"/>
  <c r="AK68" i="12" a="1"/>
  <c r="AK68" i="12" s="1"/>
  <c r="AJ68" i="12" a="1"/>
  <c r="AJ68" i="12" s="1"/>
  <c r="AN68" i="12" a="1"/>
  <c r="AN68" i="12" s="1"/>
  <c r="AD69" i="12" a="1"/>
  <c r="AI68" i="12" l="1" a="1"/>
  <c r="AI68" i="12" s="1"/>
  <c r="AD69" i="12"/>
  <c r="AP68" i="12"/>
  <c r="AO68" i="12"/>
  <c r="AG68" i="12" s="1" a="1"/>
  <c r="AG68" i="12" s="1"/>
  <c r="AG41" i="13" l="1"/>
  <c r="AF42" i="13"/>
  <c r="AR68" i="12"/>
  <c r="AS68" i="12"/>
  <c r="AQ68" i="12"/>
  <c r="AF69" i="12" a="1"/>
  <c r="AF69" i="12" s="1"/>
  <c r="AN69" i="12" a="1"/>
  <c r="AN69" i="12" s="1"/>
  <c r="AE69" i="12" a="1"/>
  <c r="AE69" i="12" s="1"/>
  <c r="AH69" i="12" s="1" a="1"/>
  <c r="AH69" i="12" s="1"/>
  <c r="AJ69" i="12" a="1"/>
  <c r="AJ69" i="12" s="1"/>
  <c r="AL69" i="12"/>
  <c r="AJ42" i="13" s="1"/>
  <c r="AK69" i="12" a="1"/>
  <c r="AK69" i="12" s="1"/>
  <c r="AD70" i="12" a="1"/>
  <c r="AI69" i="12" l="1" a="1"/>
  <c r="AI69" i="12" s="1"/>
  <c r="AJ44" i="13"/>
  <c r="AJ43" i="13"/>
  <c r="AG43" i="13"/>
  <c r="AJ47" i="13"/>
  <c r="AG42" i="13"/>
  <c r="AG46" i="13"/>
  <c r="AH47" i="13"/>
  <c r="AF46" i="13"/>
  <c r="AF41" i="13"/>
  <c r="AF47" i="13"/>
  <c r="AG44" i="13"/>
  <c r="AJ46" i="13"/>
  <c r="AK41" i="13"/>
  <c r="AH46" i="13"/>
  <c r="AD70" i="12"/>
  <c r="AL41" i="13" s="1"/>
  <c r="AO69" i="12"/>
  <c r="AG69" i="12" s="1" a="1"/>
  <c r="AG69" i="12" s="1"/>
  <c r="AP69" i="12"/>
  <c r="AM69" i="12"/>
  <c r="AR69" i="12" l="1"/>
  <c r="AS69" i="12"/>
  <c r="AQ69" i="12"/>
  <c r="AE70" i="12" a="1"/>
  <c r="AE70" i="12" s="1"/>
  <c r="AH70" i="12" s="1" a="1"/>
  <c r="AH70" i="12" s="1"/>
  <c r="AJ70" i="12" a="1"/>
  <c r="AJ70" i="12" s="1"/>
  <c r="AK70" i="12" a="1"/>
  <c r="AK70" i="12" s="1"/>
  <c r="AN70" i="12" a="1"/>
  <c r="AN70" i="12" s="1"/>
  <c r="AL70" i="12"/>
  <c r="AM70" i="12" s="1"/>
  <c r="AF70" i="12" a="1"/>
  <c r="AF70" i="12" s="1"/>
  <c r="AD71" i="12" a="1"/>
  <c r="AD71" i="12" l="1"/>
  <c r="AI70" i="12" a="1"/>
  <c r="AI70" i="12" s="1"/>
  <c r="AP70" i="12"/>
  <c r="AO70" i="12"/>
  <c r="AG70" i="12" s="1" a="1"/>
  <c r="AG70" i="12" s="1"/>
  <c r="AN41" i="13" l="1"/>
  <c r="AM42" i="13"/>
  <c r="AR70" i="12"/>
  <c r="AS70" i="12"/>
  <c r="AQ70" i="12"/>
  <c r="AL71" i="12"/>
  <c r="AQ42" i="13" s="1"/>
  <c r="AN71" i="12" a="1"/>
  <c r="AN71" i="12" s="1"/>
  <c r="AE71" i="12" a="1"/>
  <c r="AE71" i="12" s="1"/>
  <c r="AI71" i="12" s="1" a="1"/>
  <c r="AI71" i="12" s="1"/>
  <c r="AF71" i="12" a="1"/>
  <c r="AF71" i="12" s="1"/>
  <c r="AK71" i="12" a="1"/>
  <c r="AK71" i="12" s="1"/>
  <c r="AJ71" i="12" a="1"/>
  <c r="AJ71" i="12" s="1"/>
  <c r="AD72" i="12" a="1"/>
  <c r="AQ44" i="13" l="1"/>
  <c r="AN43" i="13"/>
  <c r="AQ43" i="13"/>
  <c r="AN44" i="13"/>
  <c r="AN46" i="13"/>
  <c r="AM47" i="13"/>
  <c r="AQ46" i="13"/>
  <c r="AM41" i="13"/>
  <c r="AR41" i="13"/>
  <c r="AO46" i="13"/>
  <c r="AQ47" i="13"/>
  <c r="AO47" i="13"/>
  <c r="AM46" i="13"/>
  <c r="AN42" i="13"/>
  <c r="AH71" i="12" a="1"/>
  <c r="AH71" i="12" s="1"/>
  <c r="AD72" i="12"/>
  <c r="AT1" i="13" s="1"/>
  <c r="AO71" i="12"/>
  <c r="AG71" i="12" s="1" a="1"/>
  <c r="AG71" i="12" s="1"/>
  <c r="AP71" i="12"/>
  <c r="AM71" i="12"/>
  <c r="AS71" i="12" l="1"/>
  <c r="AR71" i="12"/>
  <c r="AQ71" i="12"/>
  <c r="AE72" i="12" a="1"/>
  <c r="AE72" i="12" s="1"/>
  <c r="AH72" i="12" s="1" a="1"/>
  <c r="AH72" i="12" s="1"/>
  <c r="AK72" i="12" a="1"/>
  <c r="AK72" i="12" s="1"/>
  <c r="AL72" i="12"/>
  <c r="AM72" i="12" s="1"/>
  <c r="AN72" i="12" a="1"/>
  <c r="AN72" i="12" s="1"/>
  <c r="AJ72" i="12" a="1"/>
  <c r="AJ72" i="12" s="1"/>
  <c r="AF72" i="12" a="1"/>
  <c r="AF72" i="12" s="1"/>
  <c r="AD73" i="12" a="1"/>
  <c r="AI72" i="12" l="1" a="1"/>
  <c r="AI72" i="12" s="1"/>
  <c r="AD73" i="12"/>
  <c r="AO72" i="12"/>
  <c r="AG72" i="12" s="1" a="1"/>
  <c r="AG72" i="12" s="1"/>
  <c r="AP72" i="12"/>
  <c r="AU2" i="13" l="1"/>
  <c r="AV1" i="13"/>
  <c r="AS72" i="12"/>
  <c r="AQ72" i="12"/>
  <c r="AR72" i="12"/>
  <c r="AK73" i="12" a="1"/>
  <c r="AK73" i="12" s="1"/>
  <c r="AL73" i="12"/>
  <c r="AY2" i="13" s="1"/>
  <c r="AE73" i="12" a="1"/>
  <c r="AE73" i="12" s="1"/>
  <c r="AH73" i="12" s="1" a="1"/>
  <c r="AH73" i="12" s="1"/>
  <c r="AF73" i="12" a="1"/>
  <c r="AF73" i="12" s="1"/>
  <c r="AJ73" i="12" a="1"/>
  <c r="AJ73" i="12" s="1"/>
  <c r="AN73" i="12" a="1"/>
  <c r="AN73" i="12" s="1"/>
  <c r="AD74" i="12" a="1"/>
  <c r="AU1" i="13" l="1"/>
  <c r="AW7" i="13"/>
  <c r="AV4" i="13"/>
  <c r="AW6" i="13"/>
  <c r="AV2" i="13"/>
  <c r="AZ1" i="13"/>
  <c r="AU6" i="13"/>
  <c r="AY7" i="13"/>
  <c r="AU7" i="13"/>
  <c r="AV6" i="13"/>
  <c r="AY6" i="13"/>
  <c r="AV3" i="13"/>
  <c r="AY4" i="13"/>
  <c r="AY3" i="13"/>
  <c r="AI73" i="12" a="1"/>
  <c r="AI73" i="12" s="1"/>
  <c r="AD74" i="12"/>
  <c r="BA1" i="13" s="1"/>
  <c r="AM73" i="12"/>
  <c r="AO73" i="12"/>
  <c r="AG73" i="12" s="1" a="1"/>
  <c r="AG73" i="12" s="1"/>
  <c r="AP73" i="12"/>
  <c r="AR73" i="12" l="1"/>
  <c r="AS73" i="12"/>
  <c r="AQ73" i="12"/>
  <c r="AE74" i="12" a="1"/>
  <c r="AE74" i="12" s="1"/>
  <c r="AI74" i="12" s="1" a="1"/>
  <c r="AI74" i="12" s="1"/>
  <c r="AF74" i="12" a="1"/>
  <c r="AF74" i="12" s="1"/>
  <c r="AL74" i="12"/>
  <c r="AM74" i="12" s="1"/>
  <c r="AK74" i="12" a="1"/>
  <c r="AK74" i="12" s="1"/>
  <c r="AJ74" i="12" a="1"/>
  <c r="AJ74" i="12" s="1"/>
  <c r="AN74" i="12" a="1"/>
  <c r="AN74" i="12" s="1"/>
  <c r="AD75" i="12" a="1"/>
  <c r="AH74" i="12" l="1" a="1"/>
  <c r="AH74" i="12" s="1"/>
  <c r="AD75" i="12"/>
  <c r="AP74" i="12"/>
  <c r="AO74" i="12"/>
  <c r="AG74" i="12" s="1" a="1"/>
  <c r="AG74" i="12" s="1"/>
  <c r="BC1" i="13" l="1"/>
  <c r="BB2" i="13"/>
  <c r="AS74" i="12"/>
  <c r="AQ74" i="12"/>
  <c r="AR74" i="12"/>
  <c r="AE75" i="12" a="1"/>
  <c r="AE75" i="12" s="1"/>
  <c r="AH75" i="12" s="1" a="1"/>
  <c r="AH75" i="12" s="1"/>
  <c r="AL75" i="12"/>
  <c r="BF2" i="13" s="1"/>
  <c r="AJ75" i="12" a="1"/>
  <c r="AJ75" i="12" s="1"/>
  <c r="AK75" i="12" a="1"/>
  <c r="AK75" i="12" s="1"/>
  <c r="AF75" i="12" a="1"/>
  <c r="AF75" i="12" s="1"/>
  <c r="AN75" i="12" a="1"/>
  <c r="AN75" i="12" s="1"/>
  <c r="AD76" i="12" a="1"/>
  <c r="BC3" i="13" l="1"/>
  <c r="BF3" i="13"/>
  <c r="BF4" i="13"/>
  <c r="BF7" i="13"/>
  <c r="BB1" i="13"/>
  <c r="BC2" i="13"/>
  <c r="BF6" i="13"/>
  <c r="BD7" i="13"/>
  <c r="BD6" i="13"/>
  <c r="BC4" i="13"/>
  <c r="BB7" i="13"/>
  <c r="BC6" i="13"/>
  <c r="BG1" i="13"/>
  <c r="BB6" i="13"/>
  <c r="AI75" i="12" a="1"/>
  <c r="AI75" i="12" s="1"/>
  <c r="AD76" i="12"/>
  <c r="AT9" i="13" s="1"/>
  <c r="AO75" i="12"/>
  <c r="AG75" i="12" s="1" a="1"/>
  <c r="AG75" i="12" s="1"/>
  <c r="AP75" i="12"/>
  <c r="AM75" i="12"/>
  <c r="AR75" i="12" l="1"/>
  <c r="AS75" i="12"/>
  <c r="AQ75" i="12"/>
  <c r="AE76" i="12" a="1"/>
  <c r="AE76" i="12" s="1"/>
  <c r="AH76" i="12" s="1" a="1"/>
  <c r="AH76" i="12" s="1"/>
  <c r="AF76" i="12" a="1"/>
  <c r="AF76" i="12" s="1"/>
  <c r="AK76" i="12" a="1"/>
  <c r="AK76" i="12" s="1"/>
  <c r="AN76" i="12" a="1"/>
  <c r="AN76" i="12" s="1"/>
  <c r="AL76" i="12"/>
  <c r="AM76" i="12" s="1"/>
  <c r="AJ76" i="12" a="1"/>
  <c r="AJ76" i="12" s="1"/>
  <c r="AD77" i="12" a="1"/>
  <c r="AI76" i="12" l="1" a="1"/>
  <c r="AI76" i="12" s="1"/>
  <c r="AD77" i="12"/>
  <c r="AO76" i="12"/>
  <c r="AG76" i="12" s="1" a="1"/>
  <c r="AG76" i="12" s="1"/>
  <c r="AP76" i="12"/>
  <c r="AU10" i="13" l="1"/>
  <c r="AV9" i="13"/>
  <c r="AR76" i="12"/>
  <c r="AQ76" i="12"/>
  <c r="AS76" i="12"/>
  <c r="AJ77" i="12" a="1"/>
  <c r="AJ77" i="12" s="1"/>
  <c r="AE77" i="12" a="1"/>
  <c r="AE77" i="12" s="1"/>
  <c r="AH77" i="12" s="1" a="1"/>
  <c r="AH77" i="12" s="1"/>
  <c r="AK77" i="12" a="1"/>
  <c r="AK77" i="12" s="1"/>
  <c r="AF77" i="12" a="1"/>
  <c r="AF77" i="12" s="1"/>
  <c r="AN77" i="12" a="1"/>
  <c r="AN77" i="12" s="1"/>
  <c r="AL77" i="12"/>
  <c r="AY10" i="13" s="1"/>
  <c r="AD78" i="12" a="1"/>
  <c r="AV14" i="13" l="1"/>
  <c r="AU9" i="13"/>
  <c r="AW15" i="13"/>
  <c r="AU15" i="13"/>
  <c r="AY15" i="13"/>
  <c r="AZ9" i="13"/>
  <c r="AU14" i="13"/>
  <c r="AV10" i="13"/>
  <c r="AY14" i="13"/>
  <c r="AW14" i="13"/>
  <c r="AV12" i="13"/>
  <c r="AV11" i="13"/>
  <c r="AY12" i="13"/>
  <c r="AY11" i="13"/>
  <c r="AI77" i="12" a="1"/>
  <c r="AI77" i="12" s="1"/>
  <c r="AD78" i="12"/>
  <c r="BA9" i="13" s="1"/>
  <c r="AM77" i="12"/>
  <c r="AP77" i="12"/>
  <c r="AO77" i="12"/>
  <c r="AG77" i="12" s="1" a="1"/>
  <c r="AG77" i="12" s="1"/>
  <c r="AS77" i="12" l="1"/>
  <c r="AR77" i="12"/>
  <c r="AQ77" i="12"/>
  <c r="AE78" i="12" a="1"/>
  <c r="AE78" i="12" s="1"/>
  <c r="AH78" i="12" s="1" a="1"/>
  <c r="AH78" i="12" s="1"/>
  <c r="AL78" i="12"/>
  <c r="AM78" i="12" s="1"/>
  <c r="AF78" i="12" a="1"/>
  <c r="AF78" i="12" s="1"/>
  <c r="AK78" i="12" a="1"/>
  <c r="AK78" i="12" s="1"/>
  <c r="AJ78" i="12" a="1"/>
  <c r="AJ78" i="12" s="1"/>
  <c r="AN78" i="12" a="1"/>
  <c r="AN78" i="12" s="1"/>
  <c r="AD79" i="12" a="1"/>
  <c r="AI78" i="12" l="1" a="1"/>
  <c r="AI78" i="12" s="1"/>
  <c r="AD79" i="12"/>
  <c r="AP78" i="12"/>
  <c r="AO78" i="12"/>
  <c r="AG78" i="12" s="1" a="1"/>
  <c r="AG78" i="12" s="1"/>
  <c r="BB10" i="13" l="1"/>
  <c r="BC9" i="13"/>
  <c r="AS78" i="12"/>
  <c r="AR78" i="12"/>
  <c r="AQ78" i="12"/>
  <c r="AN79" i="12" a="1"/>
  <c r="AN79" i="12" s="1"/>
  <c r="AE79" i="12" a="1"/>
  <c r="AE79" i="12" s="1"/>
  <c r="AH79" i="12" s="1" a="1"/>
  <c r="AH79" i="12" s="1"/>
  <c r="AK79" i="12" a="1"/>
  <c r="AK79" i="12" s="1"/>
  <c r="AJ79" i="12" a="1"/>
  <c r="AJ79" i="12" s="1"/>
  <c r="AF79" i="12" a="1"/>
  <c r="AF79" i="12" s="1"/>
  <c r="AL79" i="12"/>
  <c r="BF10" i="13" s="1"/>
  <c r="AD80" i="12" a="1"/>
  <c r="BC12" i="13" l="1"/>
  <c r="BB9" i="13"/>
  <c r="BC14" i="13"/>
  <c r="BB15" i="13"/>
  <c r="BF15" i="13"/>
  <c r="BD14" i="13"/>
  <c r="BB14" i="13"/>
  <c r="BD15" i="13"/>
  <c r="BG9" i="13"/>
  <c r="BC10" i="13"/>
  <c r="BF14" i="13"/>
  <c r="BC11" i="13"/>
  <c r="BF11" i="13"/>
  <c r="BF12" i="13"/>
  <c r="AI79" i="12" a="1"/>
  <c r="AI79" i="12" s="1"/>
  <c r="AD80" i="12"/>
  <c r="AT17" i="13" s="1"/>
  <c r="AM79" i="12"/>
  <c r="AO79" i="12"/>
  <c r="AG79" i="12" s="1" a="1"/>
  <c r="AG79" i="12" s="1"/>
  <c r="AP79" i="12"/>
  <c r="AR79" i="12" l="1"/>
  <c r="AQ79" i="12"/>
  <c r="AS79" i="12"/>
  <c r="AE80" i="12" a="1"/>
  <c r="AE80" i="12" s="1"/>
  <c r="AI80" i="12" s="1" a="1"/>
  <c r="AI80" i="12" s="1"/>
  <c r="AJ80" i="12" a="1"/>
  <c r="AJ80" i="12" s="1"/>
  <c r="AF80" i="12" a="1"/>
  <c r="AF80" i="12" s="1"/>
  <c r="AL80" i="12"/>
  <c r="AM80" i="12" s="1"/>
  <c r="AN80" i="12" a="1"/>
  <c r="AN80" i="12" s="1"/>
  <c r="AK80" i="12" a="1"/>
  <c r="AK80" i="12" s="1"/>
  <c r="AD81" i="12" a="1"/>
  <c r="AH80" i="12" l="1" a="1"/>
  <c r="AH80" i="12" s="1"/>
  <c r="AD81" i="12"/>
  <c r="AP80" i="12"/>
  <c r="AO80" i="12"/>
  <c r="AG80" i="12" s="1" a="1"/>
  <c r="AG80" i="12" s="1"/>
  <c r="AU18" i="13" l="1"/>
  <c r="AV17" i="13"/>
  <c r="AR80" i="12"/>
  <c r="AQ80" i="12"/>
  <c r="AS80" i="12"/>
  <c r="AL81" i="12"/>
  <c r="AY18" i="13" s="1"/>
  <c r="AF81" i="12" a="1"/>
  <c r="AF81" i="12" s="1"/>
  <c r="AE81" i="12" a="1"/>
  <c r="AE81" i="12" s="1"/>
  <c r="AH81" i="12" s="1" a="1"/>
  <c r="AH81" i="12" s="1"/>
  <c r="AN81" i="12" a="1"/>
  <c r="AN81" i="12" s="1"/>
  <c r="AJ81" i="12" a="1"/>
  <c r="AJ81" i="12" s="1"/>
  <c r="AK81" i="12" a="1"/>
  <c r="AK81" i="12" s="1"/>
  <c r="AD82" i="12" a="1"/>
  <c r="AY19" i="13" l="1"/>
  <c r="AY20" i="13"/>
  <c r="AV19" i="13"/>
  <c r="AW22" i="13"/>
  <c r="AY23" i="13"/>
  <c r="AU22" i="13"/>
  <c r="AV22" i="13"/>
  <c r="AW23" i="13"/>
  <c r="AU23" i="13"/>
  <c r="AY22" i="13"/>
  <c r="AZ17" i="13"/>
  <c r="AU17" i="13"/>
  <c r="AV20" i="13"/>
  <c r="AV18" i="13"/>
  <c r="AI81" i="12" a="1"/>
  <c r="AI81" i="12" s="1"/>
  <c r="AD82" i="12"/>
  <c r="BA17" i="13" s="1"/>
  <c r="AP81" i="12"/>
  <c r="AO81" i="12"/>
  <c r="AG81" i="12" s="1" a="1"/>
  <c r="AG81" i="12" s="1"/>
  <c r="AM81" i="12"/>
  <c r="AR81" i="12" l="1"/>
  <c r="AQ81" i="12"/>
  <c r="AS81" i="12"/>
  <c r="AE82" i="12" a="1"/>
  <c r="AE82" i="12" s="1"/>
  <c r="AH82" i="12" s="1" a="1"/>
  <c r="AH82" i="12" s="1"/>
  <c r="AJ82" i="12" a="1"/>
  <c r="AJ82" i="12" s="1"/>
  <c r="AK82" i="12" a="1"/>
  <c r="AK82" i="12" s="1"/>
  <c r="AN82" i="12" a="1"/>
  <c r="AN82" i="12" s="1"/>
  <c r="AL82" i="12"/>
  <c r="AM82" i="12" s="1"/>
  <c r="AF82" i="12" a="1"/>
  <c r="AF82" i="12" s="1"/>
  <c r="AD83" i="12" a="1"/>
  <c r="AI82" i="12" l="1" a="1"/>
  <c r="AI82" i="12" s="1"/>
  <c r="AD83" i="12"/>
  <c r="AP82" i="12"/>
  <c r="AO82" i="12"/>
  <c r="AG82" i="12" s="1" a="1"/>
  <c r="AG82" i="12" s="1"/>
  <c r="BB18" i="13" l="1"/>
  <c r="BC17" i="13"/>
  <c r="AR82" i="12"/>
  <c r="AQ82" i="12"/>
  <c r="AS82" i="12"/>
  <c r="AJ83" i="12" a="1"/>
  <c r="AJ83" i="12" s="1"/>
  <c r="AE83" i="12" a="1"/>
  <c r="AE83" i="12" s="1"/>
  <c r="AH83" i="12" s="1" a="1"/>
  <c r="AH83" i="12" s="1"/>
  <c r="AK83" i="12" a="1"/>
  <c r="AK83" i="12" s="1"/>
  <c r="AL83" i="12"/>
  <c r="BF18" i="13" s="1"/>
  <c r="AF83" i="12" a="1"/>
  <c r="AF83" i="12" s="1"/>
  <c r="AN83" i="12" a="1"/>
  <c r="AN83" i="12" s="1"/>
  <c r="AD84" i="12" a="1"/>
  <c r="BF22" i="13" l="1"/>
  <c r="BD23" i="13"/>
  <c r="BC18" i="13"/>
  <c r="BB17" i="13"/>
  <c r="BC20" i="13"/>
  <c r="BC22" i="13"/>
  <c r="BF23" i="13"/>
  <c r="BG17" i="13"/>
  <c r="BB23" i="13"/>
  <c r="BB22" i="13"/>
  <c r="BD22" i="13"/>
  <c r="BC19" i="13"/>
  <c r="BF20" i="13"/>
  <c r="BF19" i="13"/>
  <c r="AD84" i="12"/>
  <c r="AT25" i="13" s="1"/>
  <c r="AM83" i="12"/>
  <c r="AP83" i="12"/>
  <c r="AO83" i="12"/>
  <c r="AG83" i="12" s="1" a="1"/>
  <c r="AG83" i="12" s="1"/>
  <c r="AI83" i="12" a="1"/>
  <c r="AI83" i="12" s="1"/>
  <c r="AR83" i="12" l="1"/>
  <c r="AQ83" i="12"/>
  <c r="AS83" i="12"/>
  <c r="AE84" i="12" a="1"/>
  <c r="AE84" i="12" s="1"/>
  <c r="AI84" i="12" s="1" a="1"/>
  <c r="AI84" i="12" s="1"/>
  <c r="AL84" i="12"/>
  <c r="AM84" i="12" s="1"/>
  <c r="AF84" i="12" a="1"/>
  <c r="AF84" i="12" s="1"/>
  <c r="AK84" i="12" a="1"/>
  <c r="AK84" i="12" s="1"/>
  <c r="AJ84" i="12" a="1"/>
  <c r="AJ84" i="12" s="1"/>
  <c r="AN84" i="12" a="1"/>
  <c r="AN84" i="12" s="1"/>
  <c r="AD85" i="12" a="1"/>
  <c r="AD85" i="12" l="1"/>
  <c r="AP84" i="12"/>
  <c r="AO84" i="12"/>
  <c r="AG84" i="12" s="1" a="1"/>
  <c r="AG84" i="12" s="1"/>
  <c r="AH84" i="12" a="1"/>
  <c r="AH84" i="12" s="1"/>
  <c r="AU26" i="13" l="1"/>
  <c r="AV25" i="13"/>
  <c r="AS84" i="12"/>
  <c r="AQ84" i="12"/>
  <c r="AR84" i="12"/>
  <c r="AJ85" i="12" a="1"/>
  <c r="AJ85" i="12" s="1"/>
  <c r="AE85" i="12" a="1"/>
  <c r="AE85" i="12" s="1"/>
  <c r="AI85" i="12" s="1" a="1"/>
  <c r="AI85" i="12" s="1"/>
  <c r="AN85" i="12" a="1"/>
  <c r="AN85" i="12" s="1"/>
  <c r="AF85" i="12" a="1"/>
  <c r="AF85" i="12" s="1"/>
  <c r="AL85" i="12"/>
  <c r="AY26" i="13" s="1"/>
  <c r="AK85" i="12" a="1"/>
  <c r="AK85" i="12" s="1"/>
  <c r="AD86" i="12" a="1"/>
  <c r="AY27" i="13" l="1"/>
  <c r="AV27" i="13"/>
  <c r="AY28" i="13"/>
  <c r="AZ25" i="13"/>
  <c r="AW30" i="13"/>
  <c r="AV26" i="13"/>
  <c r="AV30" i="13"/>
  <c r="AW31" i="13"/>
  <c r="AU30" i="13"/>
  <c r="AY30" i="13"/>
  <c r="AY31" i="13"/>
  <c r="AU31" i="13"/>
  <c r="AV28" i="13"/>
  <c r="AU25" i="13"/>
  <c r="AH85" i="12" a="1"/>
  <c r="AH85" i="12" s="1"/>
  <c r="AD86" i="12"/>
  <c r="BA25" i="13" s="1"/>
  <c r="AO85" i="12"/>
  <c r="AG85" i="12" s="1" a="1"/>
  <c r="AG85" i="12" s="1"/>
  <c r="AP85" i="12"/>
  <c r="AM85" i="12"/>
  <c r="AQ85" i="12" l="1"/>
  <c r="AR85" i="12"/>
  <c r="AS85" i="12"/>
  <c r="AE86" i="12" a="1"/>
  <c r="AE86" i="12" s="1"/>
  <c r="AH86" i="12" s="1" a="1"/>
  <c r="AH86" i="12" s="1"/>
  <c r="AN86" i="12" a="1"/>
  <c r="AN86" i="12" s="1"/>
  <c r="AL86" i="12"/>
  <c r="AM86" i="12" s="1"/>
  <c r="AJ86" i="12" a="1"/>
  <c r="AJ86" i="12" s="1"/>
  <c r="AK86" i="12" a="1"/>
  <c r="AK86" i="12" s="1"/>
  <c r="AF86" i="12" a="1"/>
  <c r="AF86" i="12" s="1"/>
  <c r="AD87" i="12" a="1"/>
  <c r="AD87" i="12" l="1"/>
  <c r="AP86" i="12"/>
  <c r="AO86" i="12"/>
  <c r="AG86" i="12" s="1" a="1"/>
  <c r="AG86" i="12" s="1"/>
  <c r="AI86" i="12" a="1"/>
  <c r="AI86" i="12" s="1"/>
  <c r="BC25" i="13" l="1"/>
  <c r="BB26" i="13"/>
  <c r="AS86" i="12"/>
  <c r="AR86" i="12"/>
  <c r="AQ86" i="12"/>
  <c r="AL87" i="12"/>
  <c r="BF26" i="13" s="1"/>
  <c r="AK87" i="12" a="1"/>
  <c r="AK87" i="12" s="1"/>
  <c r="AE87" i="12" a="1"/>
  <c r="AE87" i="12" s="1"/>
  <c r="AI87" i="12" s="1" a="1"/>
  <c r="AI87" i="12" s="1"/>
  <c r="AJ87" i="12" a="1"/>
  <c r="AJ87" i="12" s="1"/>
  <c r="AN87" i="12" a="1"/>
  <c r="AN87" i="12" s="1"/>
  <c r="AF87" i="12" a="1"/>
  <c r="AF87" i="12" s="1"/>
  <c r="AD88" i="12" a="1"/>
  <c r="AH87" i="12" l="1" a="1"/>
  <c r="AH87" i="12" s="1"/>
  <c r="BF28" i="13"/>
  <c r="BC27" i="13"/>
  <c r="BF27" i="13"/>
  <c r="BB25" i="13"/>
  <c r="BC26" i="13"/>
  <c r="BF31" i="13"/>
  <c r="BB31" i="13"/>
  <c r="BC28" i="13"/>
  <c r="BD31" i="13"/>
  <c r="BD30" i="13"/>
  <c r="BF30" i="13"/>
  <c r="BC30" i="13"/>
  <c r="BG25" i="13"/>
  <c r="BB30" i="13"/>
  <c r="AD88" i="12"/>
  <c r="AT33" i="13" s="1"/>
  <c r="AO87" i="12"/>
  <c r="AG87" i="12" s="1" a="1"/>
  <c r="AG87" i="12" s="1"/>
  <c r="AP87" i="12"/>
  <c r="AM87" i="12"/>
  <c r="AR87" i="12" l="1"/>
  <c r="AS87" i="12"/>
  <c r="AQ87" i="12"/>
  <c r="AE88" i="12" a="1"/>
  <c r="AE88" i="12" s="1"/>
  <c r="AI88" i="12" s="1" a="1"/>
  <c r="AI88" i="12" s="1"/>
  <c r="AF88" i="12" a="1"/>
  <c r="AF88" i="12" s="1"/>
  <c r="AJ88" i="12" a="1"/>
  <c r="AJ88" i="12" s="1"/>
  <c r="AH88" i="12" a="1"/>
  <c r="AH88" i="12" s="1"/>
  <c r="AL88" i="12"/>
  <c r="AM88" i="12" s="1"/>
  <c r="AK88" i="12" a="1"/>
  <c r="AK88" i="12" s="1"/>
  <c r="AN88" i="12" a="1"/>
  <c r="AN88" i="12" s="1"/>
  <c r="AD89" i="12" a="1"/>
  <c r="AD89" i="12" l="1"/>
  <c r="AP88" i="12"/>
  <c r="AO88" i="12"/>
  <c r="AG88" i="12" s="1" a="1"/>
  <c r="AG88" i="12" s="1"/>
  <c r="AU34" i="13" l="1"/>
  <c r="AV33" i="13"/>
  <c r="AS88" i="12"/>
  <c r="AQ88" i="12"/>
  <c r="AR88" i="12"/>
  <c r="AJ89" i="12" a="1"/>
  <c r="AJ89" i="12" s="1"/>
  <c r="AL89" i="12"/>
  <c r="AY34" i="13" s="1"/>
  <c r="AE89" i="12" a="1"/>
  <c r="AE89" i="12" s="1"/>
  <c r="AH89" i="12" s="1" a="1"/>
  <c r="AH89" i="12" s="1"/>
  <c r="AK89" i="12" a="1"/>
  <c r="AK89" i="12" s="1"/>
  <c r="AN89" i="12" a="1"/>
  <c r="AN89" i="12" s="1"/>
  <c r="AF89" i="12" a="1"/>
  <c r="AF89" i="12" s="1"/>
  <c r="AD90" i="12" a="1"/>
  <c r="AU38" i="13" l="1"/>
  <c r="AW38" i="13"/>
  <c r="AY39" i="13"/>
  <c r="AU39" i="13"/>
  <c r="AV34" i="13"/>
  <c r="AU33" i="13"/>
  <c r="AW39" i="13"/>
  <c r="AV38" i="13"/>
  <c r="AV36" i="13"/>
  <c r="AY38" i="13"/>
  <c r="AZ33" i="13"/>
  <c r="AY35" i="13"/>
  <c r="AV35" i="13"/>
  <c r="AY36" i="13"/>
  <c r="AD90" i="12"/>
  <c r="BA33" i="13" s="1"/>
  <c r="AI89" i="12" a="1"/>
  <c r="AI89" i="12" s="1"/>
  <c r="AM89" i="12"/>
  <c r="AO89" i="12"/>
  <c r="AG89" i="12" s="1" a="1"/>
  <c r="AG89" i="12" s="1"/>
  <c r="AP89" i="12"/>
  <c r="AS89" i="12" l="1"/>
  <c r="AQ89" i="12"/>
  <c r="AR89" i="12"/>
  <c r="AE90" i="12" a="1"/>
  <c r="AE90" i="12" s="1"/>
  <c r="AH90" i="12" s="1" a="1"/>
  <c r="AH90" i="12" s="1"/>
  <c r="AJ90" i="12" a="1"/>
  <c r="AJ90" i="12" s="1"/>
  <c r="AK90" i="12" a="1"/>
  <c r="AK90" i="12" s="1"/>
  <c r="AF90" i="12" a="1"/>
  <c r="AF90" i="12" s="1"/>
  <c r="AL90" i="12"/>
  <c r="AM90" i="12" s="1"/>
  <c r="AN90" i="12" a="1"/>
  <c r="AN90" i="12" s="1"/>
  <c r="AD91" i="12" a="1"/>
  <c r="AI90" i="12" l="1" a="1"/>
  <c r="AI90" i="12" s="1"/>
  <c r="AD91" i="12"/>
  <c r="AO90" i="12"/>
  <c r="AP90" i="12"/>
  <c r="AG90" i="12" a="1"/>
  <c r="AG90" i="12" s="1"/>
  <c r="BC33" i="13" l="1"/>
  <c r="BB34" i="13"/>
  <c r="AQ90" i="12"/>
  <c r="AR90" i="12"/>
  <c r="AS90" i="12"/>
  <c r="AJ91" i="12" a="1"/>
  <c r="AJ91" i="12" s="1"/>
  <c r="AN91" i="12" a="1"/>
  <c r="AN91" i="12" s="1"/>
  <c r="AE91" i="12" a="1"/>
  <c r="AE91" i="12" s="1"/>
  <c r="AH91" i="12" s="1" a="1"/>
  <c r="AH91" i="12" s="1"/>
  <c r="AK91" i="12" a="1"/>
  <c r="AK91" i="12" s="1"/>
  <c r="AL91" i="12"/>
  <c r="BF34" i="13" s="1"/>
  <c r="AF91" i="12" a="1"/>
  <c r="AF91" i="12" s="1"/>
  <c r="AD92" i="12" a="1"/>
  <c r="BC35" i="13" l="1"/>
  <c r="BF36" i="13"/>
  <c r="BF35" i="13"/>
  <c r="BB39" i="13"/>
  <c r="BD38" i="13"/>
  <c r="BB38" i="13"/>
  <c r="BC36" i="13"/>
  <c r="BC38" i="13"/>
  <c r="BC34" i="13"/>
  <c r="BB33" i="13"/>
  <c r="BG33" i="13"/>
  <c r="BF38" i="13"/>
  <c r="BF39" i="13"/>
  <c r="BD39" i="13"/>
  <c r="AI91" i="12" a="1"/>
  <c r="AI91" i="12" s="1"/>
  <c r="AD92" i="12"/>
  <c r="AT41" i="13" s="1"/>
  <c r="AM91" i="12"/>
  <c r="AO91" i="12"/>
  <c r="AG91" i="12" s="1" a="1"/>
  <c r="AG91" i="12" s="1"/>
  <c r="AP91" i="12"/>
  <c r="AS91" i="12" l="1"/>
  <c r="AQ91" i="12"/>
  <c r="AR91" i="12"/>
  <c r="AE92" i="12" a="1"/>
  <c r="AE92" i="12" s="1"/>
  <c r="AI92" i="12" s="1" a="1"/>
  <c r="AI92" i="12" s="1"/>
  <c r="AN92" i="12" a="1"/>
  <c r="AN92" i="12" s="1"/>
  <c r="AK92" i="12" a="1"/>
  <c r="AK92" i="12" s="1"/>
  <c r="AL92" i="12"/>
  <c r="AM92" i="12" s="1"/>
  <c r="AJ92" i="12" a="1"/>
  <c r="AJ92" i="12" s="1"/>
  <c r="AF92" i="12" a="1"/>
  <c r="AF92" i="12" s="1"/>
  <c r="AD93" i="12" a="1"/>
  <c r="AH92" i="12" l="1" a="1"/>
  <c r="AH92" i="12" s="1"/>
  <c r="AD93" i="12"/>
  <c r="AP92" i="12"/>
  <c r="AO92" i="12"/>
  <c r="AG92" i="12" s="1" a="1"/>
  <c r="AG92" i="12" s="1"/>
  <c r="AU42" i="13" l="1"/>
  <c r="AV41" i="13"/>
  <c r="AS92" i="12"/>
  <c r="AR92" i="12"/>
  <c r="AQ92" i="12"/>
  <c r="AE93" i="12" a="1"/>
  <c r="AE93" i="12" s="1"/>
  <c r="AH93" i="12" s="1" a="1"/>
  <c r="AH93" i="12" s="1"/>
  <c r="AL93" i="12"/>
  <c r="AY42" i="13" s="1"/>
  <c r="AN93" i="12" a="1"/>
  <c r="AN93" i="12" s="1"/>
  <c r="AF93" i="12" a="1"/>
  <c r="AF93" i="12" s="1"/>
  <c r="AJ93" i="12" a="1"/>
  <c r="AJ93" i="12" s="1"/>
  <c r="AK93" i="12" a="1"/>
  <c r="AK93" i="12" s="1"/>
  <c r="AD94" i="12" a="1"/>
  <c r="AU46" i="13" l="1"/>
  <c r="AY47" i="13"/>
  <c r="AU41" i="13"/>
  <c r="AZ41" i="13"/>
  <c r="AV46" i="13"/>
  <c r="AW47" i="13"/>
  <c r="AW46" i="13"/>
  <c r="AV44" i="13"/>
  <c r="AU47" i="13"/>
  <c r="AV42" i="13"/>
  <c r="AY46" i="13"/>
  <c r="AY44" i="13"/>
  <c r="AY43" i="13"/>
  <c r="AV43" i="13"/>
  <c r="AI93" i="12" a="1"/>
  <c r="AI93" i="12" s="1"/>
  <c r="AD94" i="12"/>
  <c r="BA41" i="13" s="1"/>
  <c r="AO93" i="12"/>
  <c r="AG93" i="12" s="1" a="1"/>
  <c r="AG93" i="12" s="1"/>
  <c r="AP93" i="12"/>
  <c r="AM93" i="12"/>
  <c r="AS93" i="12" l="1"/>
  <c r="AQ93" i="12"/>
  <c r="AR93" i="12"/>
  <c r="AE94" i="12" a="1"/>
  <c r="AE94" i="12" s="1"/>
  <c r="AH94" i="12" s="1" a="1"/>
  <c r="AH94" i="12" s="1"/>
  <c r="AK94" i="12" a="1"/>
  <c r="AK94" i="12" s="1"/>
  <c r="AL94" i="12"/>
  <c r="AM94" i="12" s="1"/>
  <c r="AF94" i="12" a="1"/>
  <c r="AF94" i="12" s="1"/>
  <c r="AN94" i="12" a="1"/>
  <c r="AN94" i="12" s="1"/>
  <c r="AJ94" i="12" a="1"/>
  <c r="AJ94" i="12" s="1"/>
  <c r="AD95" i="12" a="1"/>
  <c r="AI94" i="12" l="1" a="1"/>
  <c r="AI94" i="12" s="1"/>
  <c r="AD95" i="12"/>
  <c r="AP94" i="12"/>
  <c r="AO94" i="12"/>
  <c r="AG94" i="12" s="1" a="1"/>
  <c r="AG94" i="12" s="1"/>
  <c r="BC41" i="13" l="1"/>
  <c r="BB42" i="13"/>
  <c r="AQ94" i="12"/>
  <c r="AS94" i="12"/>
  <c r="AR94" i="12"/>
  <c r="AJ95" i="12" a="1"/>
  <c r="AJ95" i="12" s="1"/>
  <c r="AL95" i="12"/>
  <c r="BF42" i="13" s="1"/>
  <c r="AK95" i="12" a="1"/>
  <c r="AK95" i="12" s="1"/>
  <c r="AF95" i="12" a="1"/>
  <c r="AF95" i="12" s="1"/>
  <c r="AE95" i="12" a="1"/>
  <c r="AE95" i="12" s="1"/>
  <c r="AI95" i="12" s="1" a="1"/>
  <c r="AI95" i="12" s="1"/>
  <c r="AN95" i="12" a="1"/>
  <c r="AN95" i="12" s="1"/>
  <c r="AD96" i="12" a="1"/>
  <c r="BF43" i="13" l="1"/>
  <c r="BF44" i="13"/>
  <c r="BC43" i="13"/>
  <c r="BC46" i="13"/>
  <c r="BD46" i="13"/>
  <c r="BC42" i="13"/>
  <c r="BB46" i="13"/>
  <c r="BF46" i="13"/>
  <c r="BG41" i="13"/>
  <c r="BD47" i="13"/>
  <c r="BB47" i="13"/>
  <c r="BC44" i="13"/>
  <c r="BB41" i="13"/>
  <c r="BF47" i="13"/>
  <c r="AH95" i="12" a="1"/>
  <c r="AH95" i="12" s="1"/>
  <c r="AD96" i="12"/>
  <c r="BI1" i="13" s="1"/>
  <c r="AM95" i="12"/>
  <c r="AO95" i="12"/>
  <c r="AG95" i="12" s="1" a="1"/>
  <c r="AG95" i="12" s="1"/>
  <c r="AP95" i="12"/>
  <c r="AR95" i="12" l="1"/>
  <c r="AQ95" i="12"/>
  <c r="AS95" i="12"/>
  <c r="AE96" i="12" a="1"/>
  <c r="AE96" i="12" s="1"/>
  <c r="AI96" i="12" s="1" a="1"/>
  <c r="AI96" i="12" s="1"/>
  <c r="AN96" i="12" a="1"/>
  <c r="AN96" i="12" s="1"/>
  <c r="AK96" i="12" a="1"/>
  <c r="AK96" i="12" s="1"/>
  <c r="AF96" i="12" a="1"/>
  <c r="AF96" i="12" s="1"/>
  <c r="AJ96" i="12" a="1"/>
  <c r="AJ96" i="12" s="1"/>
  <c r="AL96" i="12"/>
  <c r="AM96" i="12" s="1"/>
  <c r="AD97" i="12" a="1"/>
  <c r="AH96" i="12" l="1" a="1"/>
  <c r="AH96" i="12" s="1"/>
  <c r="AD97" i="12"/>
  <c r="AP96" i="12"/>
  <c r="AO96" i="12"/>
  <c r="AG96" i="12" s="1" a="1"/>
  <c r="AG96" i="12" s="1"/>
  <c r="BK1" i="13" l="1"/>
  <c r="BJ2" i="13"/>
  <c r="AR96" i="12"/>
  <c r="AQ96" i="12"/>
  <c r="AS96" i="12"/>
  <c r="AE97" i="12" a="1"/>
  <c r="AE97" i="12" s="1"/>
  <c r="AI97" i="12" s="1" a="1"/>
  <c r="AI97" i="12" s="1"/>
  <c r="AF97" i="12" a="1"/>
  <c r="AF97" i="12" s="1"/>
  <c r="AN97" i="12" a="1"/>
  <c r="AN97" i="12" s="1"/>
  <c r="AL97" i="12"/>
  <c r="BN2" i="13" s="1"/>
  <c r="AJ97" i="12" a="1"/>
  <c r="AJ97" i="12" s="1"/>
  <c r="AH97" i="12" a="1"/>
  <c r="AH97" i="12" s="1"/>
  <c r="AK97" i="12" a="1"/>
  <c r="AK97" i="12" s="1"/>
  <c r="AD98" i="12" a="1"/>
  <c r="BK3" i="13" l="1"/>
  <c r="BN4" i="13"/>
  <c r="BN3" i="13"/>
  <c r="BN7" i="13"/>
  <c r="BO1" i="13"/>
  <c r="BK4" i="13"/>
  <c r="BJ1" i="13"/>
  <c r="BN6" i="13"/>
  <c r="BL6" i="13"/>
  <c r="BK6" i="13"/>
  <c r="BK2" i="13"/>
  <c r="BL7" i="13"/>
  <c r="BJ6" i="13"/>
  <c r="BJ7" i="13"/>
  <c r="AD98" i="12"/>
  <c r="BP1" i="13" s="1"/>
  <c r="AM97" i="12"/>
  <c r="AO97" i="12"/>
  <c r="AG97" i="12" s="1" a="1"/>
  <c r="AG97" i="12" s="1"/>
  <c r="AP97" i="12"/>
  <c r="AS97" i="12" l="1"/>
  <c r="AQ97" i="12"/>
  <c r="AR97" i="12"/>
  <c r="AE98" i="12" a="1"/>
  <c r="AE98" i="12" s="1"/>
  <c r="AI98" i="12" s="1" a="1"/>
  <c r="AI98" i="12" s="1"/>
  <c r="AK98" i="12" a="1"/>
  <c r="AK98" i="12" s="1"/>
  <c r="AN98" i="12" a="1"/>
  <c r="AN98" i="12" s="1"/>
  <c r="AL98" i="12"/>
  <c r="AM98" i="12" s="1"/>
  <c r="AJ98" i="12" a="1"/>
  <c r="AJ98" i="12" s="1"/>
  <c r="AF98" i="12" a="1"/>
  <c r="AF98" i="12" s="1"/>
  <c r="AD99" i="12" a="1"/>
  <c r="AH98" i="12" l="1" a="1"/>
  <c r="AH98" i="12" s="1"/>
  <c r="AD99" i="12"/>
  <c r="AO98" i="12"/>
  <c r="AG98" i="12" s="1" a="1"/>
  <c r="AG98" i="12" s="1"/>
  <c r="AP98" i="12"/>
  <c r="BQ2" i="13" l="1"/>
  <c r="BR1" i="13"/>
  <c r="AR98" i="12"/>
  <c r="AS98" i="12"/>
  <c r="AQ98" i="12"/>
  <c r="AE99" i="12" a="1"/>
  <c r="AE99" i="12" s="1"/>
  <c r="AH99" i="12" s="1" a="1"/>
  <c r="AH99" i="12" s="1"/>
  <c r="AF99" i="12" a="1"/>
  <c r="AF99" i="12" s="1"/>
  <c r="AN99" i="12" a="1"/>
  <c r="AN99" i="12" s="1"/>
  <c r="AL99" i="12"/>
  <c r="BU2" i="13" s="1"/>
  <c r="AK99" i="12" a="1"/>
  <c r="AK99" i="12" s="1"/>
  <c r="AJ99" i="12" a="1"/>
  <c r="AJ99" i="12" s="1"/>
  <c r="AD100" i="12" a="1"/>
  <c r="BQ6" i="13" l="1"/>
  <c r="BR4" i="13"/>
  <c r="BU7" i="13"/>
  <c r="BU6" i="13"/>
  <c r="BV1" i="13"/>
  <c r="BS6" i="13"/>
  <c r="BQ1" i="13"/>
  <c r="BQ7" i="13"/>
  <c r="BR6" i="13"/>
  <c r="BS7" i="13"/>
  <c r="BR2" i="13"/>
  <c r="BU4" i="13"/>
  <c r="BU3" i="13"/>
  <c r="BR3" i="13"/>
  <c r="AI99" i="12" a="1"/>
  <c r="AI99" i="12" s="1"/>
  <c r="AD100" i="12"/>
  <c r="BI9" i="13" s="1"/>
  <c r="AM99" i="12"/>
  <c r="AO99" i="12"/>
  <c r="AG99" i="12" s="1" a="1"/>
  <c r="AG99" i="12" s="1"/>
  <c r="AP99" i="12"/>
  <c r="BJ10" i="13" l="1"/>
  <c r="BK9" i="13"/>
  <c r="BN10" i="13"/>
  <c r="BP9" i="13"/>
  <c r="AS99" i="12"/>
  <c r="AQ99" i="12"/>
  <c r="AR99" i="12"/>
  <c r="AL100" i="12"/>
  <c r="AM100" i="12" s="1"/>
  <c r="AE100" i="12" a="1"/>
  <c r="AE100" i="12" s="1"/>
  <c r="AI100" i="12" s="1" a="1"/>
  <c r="AI100" i="12" s="1"/>
  <c r="AK100" i="12" a="1"/>
  <c r="AK100" i="12" s="1"/>
  <c r="AH100" i="12" a="1"/>
  <c r="AH100" i="12" s="1"/>
  <c r="AJ100" i="12" a="1"/>
  <c r="AJ100" i="12" s="1"/>
  <c r="AN100" i="12" a="1"/>
  <c r="AN100" i="12" s="1"/>
  <c r="AF100" i="12" a="1"/>
  <c r="AF100" i="12" s="1"/>
  <c r="BI17" i="13"/>
  <c r="BQ10" i="13" l="1"/>
  <c r="BR9" i="13"/>
  <c r="BU10" i="13"/>
  <c r="BK12" i="13"/>
  <c r="BO9" i="13"/>
  <c r="BK14" i="13"/>
  <c r="BJ15" i="13"/>
  <c r="BJ9" i="13"/>
  <c r="BK10" i="13"/>
  <c r="BN14" i="13"/>
  <c r="BL14" i="13"/>
  <c r="BJ14" i="13"/>
  <c r="BN15" i="13"/>
  <c r="BL15" i="13"/>
  <c r="BN12" i="13"/>
  <c r="BN11" i="13"/>
  <c r="BK11" i="13"/>
  <c r="BN18" i="13"/>
  <c r="BK17" i="13"/>
  <c r="BP17" i="13"/>
  <c r="BJ18" i="13"/>
  <c r="AP100" i="12"/>
  <c r="AO100" i="12"/>
  <c r="AG100" i="12" s="1" a="1"/>
  <c r="AG100" i="12" s="1"/>
  <c r="BQ9" i="13" l="1"/>
  <c r="BR12" i="13"/>
  <c r="BQ15" i="13"/>
  <c r="BS14" i="13"/>
  <c r="BR10" i="13"/>
  <c r="BU14" i="13"/>
  <c r="BQ14" i="13"/>
  <c r="BS15" i="13"/>
  <c r="BR14" i="13"/>
  <c r="BV9" i="13"/>
  <c r="BU15" i="13"/>
  <c r="BU11" i="13"/>
  <c r="BR11" i="13"/>
  <c r="BU12" i="13"/>
  <c r="BN20" i="13"/>
  <c r="BN19" i="13"/>
  <c r="BK19" i="13"/>
  <c r="BU18" i="13"/>
  <c r="BQ18" i="13"/>
  <c r="BR17" i="13"/>
  <c r="BI25" i="13"/>
  <c r="BJ22" i="13"/>
  <c r="BJ17" i="13"/>
  <c r="BL23" i="13"/>
  <c r="BJ23" i="13"/>
  <c r="BN22" i="13"/>
  <c r="BK18" i="13"/>
  <c r="BK22" i="13"/>
  <c r="BL22" i="13"/>
  <c r="BK20" i="13"/>
  <c r="BN23" i="13"/>
  <c r="BO17" i="13"/>
  <c r="AS100" i="12"/>
  <c r="AR100" i="12"/>
  <c r="AQ100" i="12"/>
  <c r="BJ26" i="13" l="1"/>
  <c r="BK25" i="13"/>
  <c r="BN26" i="13"/>
  <c r="BP25" i="13"/>
  <c r="BS23" i="13"/>
  <c r="BR18" i="13"/>
  <c r="BS22" i="13"/>
  <c r="BV17" i="13"/>
  <c r="BQ17" i="13"/>
  <c r="BR20" i="13"/>
  <c r="BQ22" i="13"/>
  <c r="BU23" i="13"/>
  <c r="BQ23" i="13"/>
  <c r="BU22" i="13"/>
  <c r="BR22" i="13"/>
  <c r="BU20" i="13"/>
  <c r="BU19" i="13"/>
  <c r="BR19" i="13"/>
  <c r="BU26" i="13" l="1"/>
  <c r="BI33" i="13"/>
  <c r="BR25" i="13"/>
  <c r="BQ26" i="13"/>
  <c r="BJ30" i="13"/>
  <c r="BK28" i="13"/>
  <c r="BK30" i="13"/>
  <c r="BJ31" i="13"/>
  <c r="BK26" i="13"/>
  <c r="BO25" i="13"/>
  <c r="BN31" i="13"/>
  <c r="BN30" i="13"/>
  <c r="BL30" i="13"/>
  <c r="BL31" i="13"/>
  <c r="BJ25" i="13"/>
  <c r="BN27" i="13"/>
  <c r="BK27" i="13"/>
  <c r="BN28" i="13"/>
  <c r="BU28" i="13" l="1"/>
  <c r="BU27" i="13"/>
  <c r="BR27" i="13"/>
  <c r="BV25" i="13"/>
  <c r="BQ31" i="13"/>
  <c r="BQ25" i="13"/>
  <c r="BQ30" i="13"/>
  <c r="BU31" i="13"/>
  <c r="BR26" i="13"/>
  <c r="BU30" i="13"/>
  <c r="BS30" i="13"/>
  <c r="BS31" i="13"/>
  <c r="BR28" i="13"/>
  <c r="BR30" i="13"/>
  <c r="BK33" i="13"/>
  <c r="BP33" i="13"/>
  <c r="BJ34" i="13"/>
  <c r="BN34" i="13"/>
  <c r="BI41" i="13" l="1"/>
  <c r="BR33" i="13"/>
  <c r="BU34" i="13"/>
  <c r="BQ34" i="13"/>
  <c r="BL38" i="13"/>
  <c r="BJ33" i="13"/>
  <c r="BL39" i="13"/>
  <c r="BN38" i="13"/>
  <c r="BN39" i="13"/>
  <c r="BJ39" i="13"/>
  <c r="BK38" i="13"/>
  <c r="BJ38" i="13"/>
  <c r="BK36" i="13"/>
  <c r="BO33" i="13"/>
  <c r="BK34" i="13"/>
  <c r="BK35" i="13"/>
  <c r="BN36" i="13"/>
  <c r="BN35" i="13"/>
  <c r="BR35" i="13" l="1"/>
  <c r="BU35" i="13"/>
  <c r="BU36" i="13"/>
  <c r="BQ38" i="13"/>
  <c r="BU39" i="13"/>
  <c r="BR36" i="13"/>
  <c r="BV33" i="13"/>
  <c r="BR34" i="13"/>
  <c r="BS38" i="13"/>
  <c r="BS39" i="13"/>
  <c r="BQ39" i="13"/>
  <c r="BU38" i="13"/>
  <c r="BQ33" i="13"/>
  <c r="BR38" i="13"/>
  <c r="BK41" i="13"/>
  <c r="BJ42" i="13"/>
  <c r="BN42" i="13"/>
  <c r="BP41" i="13"/>
  <c r="BX1" i="13" l="1"/>
  <c r="BQ42" i="13"/>
  <c r="BR41" i="13"/>
  <c r="BU42" i="13"/>
  <c r="BN44" i="13"/>
  <c r="BN43" i="13"/>
  <c r="BK43" i="13"/>
  <c r="BK42" i="13"/>
  <c r="BL47" i="13"/>
  <c r="BO41" i="13"/>
  <c r="BK46" i="13"/>
  <c r="BN47" i="13"/>
  <c r="BJ46" i="13"/>
  <c r="BL46" i="13"/>
  <c r="BJ47" i="13"/>
  <c r="BK44" i="13"/>
  <c r="BN46" i="13"/>
  <c r="BJ41" i="13"/>
  <c r="BR46" i="13" l="1"/>
  <c r="BR44" i="13"/>
  <c r="BQ47" i="13"/>
  <c r="BQ41" i="13"/>
  <c r="BV41" i="13"/>
  <c r="BR42" i="13"/>
  <c r="BU46" i="13"/>
  <c r="BU47" i="13"/>
  <c r="BS46" i="13"/>
  <c r="BS47" i="13"/>
  <c r="BQ46" i="13"/>
  <c r="BR43" i="13"/>
  <c r="BU44" i="13"/>
  <c r="BU43" i="13"/>
  <c r="CC2" i="13"/>
  <c r="CE1" i="13"/>
  <c r="BY2" i="13"/>
  <c r="BZ1" i="13"/>
  <c r="CF2" i="13" l="1"/>
  <c r="CJ2" i="13"/>
  <c r="CG1" i="13"/>
  <c r="BX9" i="13"/>
  <c r="BZ4" i="13"/>
  <c r="CA6" i="13"/>
  <c r="CC7" i="13"/>
  <c r="BZ6" i="13"/>
  <c r="CA7" i="13"/>
  <c r="BY1" i="13"/>
  <c r="BY7" i="13"/>
  <c r="CC6" i="13"/>
  <c r="BZ2" i="13"/>
  <c r="BY6" i="13"/>
  <c r="CD1" i="13"/>
  <c r="CC3" i="13"/>
  <c r="CC4" i="13"/>
  <c r="BZ3" i="13"/>
  <c r="CE9" i="13" l="1"/>
  <c r="CC10" i="13"/>
  <c r="BY10" i="13"/>
  <c r="BZ9" i="13"/>
  <c r="CH6" i="13"/>
  <c r="CF7" i="13"/>
  <c r="CG6" i="13"/>
  <c r="CJ7" i="13"/>
  <c r="CJ6" i="13"/>
  <c r="CF6" i="13"/>
  <c r="CG4" i="13"/>
  <c r="CG2" i="13"/>
  <c r="CH7" i="13"/>
  <c r="CK1" i="13"/>
  <c r="CF1" i="13"/>
  <c r="CJ4" i="13"/>
  <c r="CJ3" i="13"/>
  <c r="CG3" i="13"/>
  <c r="BY15" i="13" l="1"/>
  <c r="BZ14" i="13"/>
  <c r="CC14" i="13"/>
  <c r="CC15" i="13"/>
  <c r="CA14" i="13"/>
  <c r="BY9" i="13"/>
  <c r="BZ12" i="13"/>
  <c r="BZ10" i="13"/>
  <c r="BY14" i="13"/>
  <c r="CA15" i="13"/>
  <c r="CD9" i="13"/>
  <c r="CC12" i="13"/>
  <c r="CC11" i="13"/>
  <c r="BZ11" i="13"/>
  <c r="CG9" i="13"/>
  <c r="BX17" i="13"/>
  <c r="CF10" i="13"/>
  <c r="CJ10" i="13"/>
  <c r="CF15" i="13" l="1"/>
  <c r="CK9" i="13"/>
  <c r="CG12" i="13"/>
  <c r="CG10" i="13"/>
  <c r="CG14" i="13"/>
  <c r="CH15" i="13"/>
  <c r="CF9" i="13"/>
  <c r="CF14" i="13"/>
  <c r="CJ15" i="13"/>
  <c r="CJ14" i="13"/>
  <c r="CH14" i="13"/>
  <c r="BY18" i="13"/>
  <c r="BZ17" i="13"/>
  <c r="CC18" i="13"/>
  <c r="CE17" i="13"/>
  <c r="CJ12" i="13"/>
  <c r="CJ11" i="13"/>
  <c r="CG11" i="13"/>
  <c r="BY22" i="13" l="1"/>
  <c r="BY23" i="13"/>
  <c r="BY17" i="13"/>
  <c r="BZ20" i="13"/>
  <c r="CC22" i="13"/>
  <c r="CA23" i="13"/>
  <c r="BZ18" i="13"/>
  <c r="BZ22" i="13"/>
  <c r="CD17" i="13"/>
  <c r="CA22" i="13"/>
  <c r="CC23" i="13"/>
  <c r="BX25" i="13"/>
  <c r="CJ18" i="13"/>
  <c r="CF18" i="13"/>
  <c r="CG17" i="13"/>
  <c r="CC19" i="13"/>
  <c r="CC20" i="13"/>
  <c r="BZ19" i="13"/>
  <c r="CG20" i="13" l="1"/>
  <c r="CK17" i="13"/>
  <c r="CG18" i="13"/>
  <c r="CJ23" i="13"/>
  <c r="CF17" i="13"/>
  <c r="CF23" i="13"/>
  <c r="CJ22" i="13"/>
  <c r="CH23" i="13"/>
  <c r="CH22" i="13"/>
  <c r="CG22" i="13"/>
  <c r="CF22" i="13"/>
  <c r="CG19" i="13"/>
  <c r="CJ19" i="13"/>
  <c r="CJ20" i="13"/>
  <c r="CC26" i="13"/>
  <c r="CE25" i="13"/>
  <c r="BY26" i="13"/>
  <c r="BZ25" i="13"/>
  <c r="CJ26" i="13" l="1"/>
  <c r="CG25" i="13"/>
  <c r="CF26" i="13"/>
  <c r="BX33" i="13"/>
  <c r="BY30" i="13"/>
  <c r="BZ26" i="13"/>
  <c r="BZ28" i="13"/>
  <c r="CC30" i="13"/>
  <c r="BZ30" i="13"/>
  <c r="CC31" i="13"/>
  <c r="BY31" i="13"/>
  <c r="CA30" i="13"/>
  <c r="CA31" i="13"/>
  <c r="CD25" i="13"/>
  <c r="BY25" i="13"/>
  <c r="CC28" i="13"/>
  <c r="CC27" i="13"/>
  <c r="BZ27" i="13"/>
  <c r="BY34" i="13" l="1"/>
  <c r="CE33" i="13"/>
  <c r="BZ33" i="13"/>
  <c r="CC34" i="13"/>
  <c r="CG27" i="13"/>
  <c r="CJ28" i="13"/>
  <c r="CJ27" i="13"/>
  <c r="CF30" i="13"/>
  <c r="CJ30" i="13"/>
  <c r="CH31" i="13"/>
  <c r="CH30" i="13"/>
  <c r="CG28" i="13"/>
  <c r="CK25" i="13"/>
  <c r="CJ31" i="13"/>
  <c r="CF31" i="13"/>
  <c r="CF25" i="13"/>
  <c r="CG26" i="13"/>
  <c r="CG30" i="13"/>
  <c r="CF34" i="13" l="1"/>
  <c r="CG33" i="13"/>
  <c r="BX41" i="13"/>
  <c r="CJ34" i="13"/>
  <c r="BY39" i="13"/>
  <c r="BZ34" i="13"/>
  <c r="CA38" i="13"/>
  <c r="CD33" i="13"/>
  <c r="BZ36" i="13"/>
  <c r="CC38" i="13"/>
  <c r="BY33" i="13"/>
  <c r="CA39" i="13"/>
  <c r="BZ38" i="13"/>
  <c r="CC39" i="13"/>
  <c r="BY38" i="13"/>
  <c r="CC36" i="13"/>
  <c r="CC35" i="13"/>
  <c r="BZ35" i="13"/>
  <c r="BZ41" i="13" l="1"/>
  <c r="BY42" i="13"/>
  <c r="CE41" i="13"/>
  <c r="CC42" i="13"/>
  <c r="CF33" i="13"/>
  <c r="CJ39" i="13"/>
  <c r="CG34" i="13"/>
  <c r="CF38" i="13"/>
  <c r="CG38" i="13"/>
  <c r="CH38" i="13"/>
  <c r="CG36" i="13"/>
  <c r="CK33" i="13"/>
  <c r="CJ38" i="13"/>
  <c r="CH39" i="13"/>
  <c r="CF39" i="13"/>
  <c r="CJ35" i="13"/>
  <c r="CG35" i="13"/>
  <c r="CJ36" i="13"/>
  <c r="CM1" i="13" l="1"/>
  <c r="CG41" i="13"/>
  <c r="CJ42" i="13"/>
  <c r="CF42" i="13"/>
  <c r="BZ43" i="13"/>
  <c r="CC44" i="13"/>
  <c r="CC43" i="13"/>
  <c r="BZ44" i="13"/>
  <c r="CA46" i="13"/>
  <c r="BY41" i="13"/>
  <c r="BZ46" i="13"/>
  <c r="CC46" i="13"/>
  <c r="BZ42" i="13"/>
  <c r="BY46" i="13"/>
  <c r="CC47" i="13"/>
  <c r="BY47" i="13"/>
  <c r="CD41" i="13"/>
  <c r="CA47" i="13"/>
  <c r="CJ44" i="13" l="1"/>
  <c r="CJ43" i="13"/>
  <c r="CG43" i="13"/>
  <c r="CG42" i="13"/>
  <c r="CH47" i="13"/>
  <c r="CK41" i="13"/>
  <c r="CF47" i="13"/>
  <c r="CJ47" i="13"/>
  <c r="CF41" i="13"/>
  <c r="CJ46" i="13"/>
  <c r="CH46" i="13"/>
  <c r="CG44" i="13"/>
  <c r="CG46" i="13"/>
  <c r="CF46" i="13"/>
  <c r="CN2" i="13"/>
  <c r="CR2" i="13"/>
  <c r="CO1" i="13"/>
  <c r="CT1" i="13"/>
  <c r="CR3" i="13" l="1"/>
  <c r="CR4" i="13"/>
  <c r="CO3" i="13"/>
  <c r="CY2" i="13"/>
  <c r="CU2" i="13"/>
  <c r="CV1" i="13"/>
  <c r="CM9" i="13"/>
  <c r="CR7" i="13"/>
  <c r="CN6" i="13"/>
  <c r="CN1" i="13"/>
  <c r="CR6" i="13"/>
  <c r="CP6" i="13"/>
  <c r="CO2" i="13"/>
  <c r="CO4" i="13"/>
  <c r="CS1" i="13"/>
  <c r="CP7" i="13"/>
  <c r="CN7" i="13"/>
  <c r="CO6" i="13"/>
  <c r="CO9" i="13" l="1"/>
  <c r="CR10" i="13"/>
  <c r="CN10" i="13"/>
  <c r="CT9" i="13"/>
  <c r="CV3" i="13"/>
  <c r="CY4" i="13"/>
  <c r="CY3" i="13"/>
  <c r="CV6" i="13"/>
  <c r="CZ1" i="13"/>
  <c r="CV4" i="13"/>
  <c r="CW7" i="13"/>
  <c r="CU6" i="13"/>
  <c r="CV2" i="13"/>
  <c r="CU1" i="13"/>
  <c r="CY7" i="13"/>
  <c r="CU7" i="13"/>
  <c r="CW6" i="13"/>
  <c r="CY6" i="13"/>
  <c r="CY10" i="13" l="1"/>
  <c r="CV9" i="13"/>
  <c r="CM17" i="13"/>
  <c r="CU10" i="13"/>
  <c r="CR11" i="13"/>
  <c r="CR12" i="13"/>
  <c r="CO11" i="13"/>
  <c r="CP15" i="13"/>
  <c r="CN14" i="13"/>
  <c r="CP14" i="13"/>
  <c r="CS9" i="13"/>
  <c r="CO12" i="13"/>
  <c r="CO14" i="13"/>
  <c r="CO10" i="13"/>
  <c r="CR15" i="13"/>
  <c r="CN9" i="13"/>
  <c r="CR14" i="13"/>
  <c r="CN15" i="13"/>
  <c r="CY11" i="13" l="1"/>
  <c r="CY12" i="13"/>
  <c r="CV11" i="13"/>
  <c r="CT17" i="13"/>
  <c r="CN18" i="13"/>
  <c r="CO17" i="13"/>
  <c r="CR18" i="13"/>
  <c r="CW15" i="13"/>
  <c r="CZ9" i="13"/>
  <c r="CW14" i="13"/>
  <c r="CV14" i="13"/>
  <c r="CU14" i="13"/>
  <c r="CY15" i="13"/>
  <c r="CU9" i="13"/>
  <c r="CY14" i="13"/>
  <c r="CU15" i="13"/>
  <c r="CV10" i="13"/>
  <c r="CV12" i="13"/>
  <c r="CR23" i="13" l="1"/>
  <c r="CS17" i="13"/>
  <c r="CO22" i="13"/>
  <c r="CO18" i="13"/>
  <c r="CN23" i="13"/>
  <c r="CN17" i="13"/>
  <c r="CP22" i="13"/>
  <c r="CR22" i="13"/>
  <c r="CP23" i="13"/>
  <c r="CN22" i="13"/>
  <c r="CO20" i="13"/>
  <c r="CR20" i="13"/>
  <c r="CO19" i="13"/>
  <c r="CR19" i="13"/>
  <c r="CY18" i="13"/>
  <c r="CU18" i="13"/>
  <c r="CM25" i="13"/>
  <c r="CV17" i="13"/>
  <c r="CY20" i="13" l="1"/>
  <c r="CV19" i="13"/>
  <c r="CY19" i="13"/>
  <c r="CZ17" i="13"/>
  <c r="CW22" i="13"/>
  <c r="CW23" i="13"/>
  <c r="CU22" i="13"/>
  <c r="CU17" i="13"/>
  <c r="CV20" i="13"/>
  <c r="CY23" i="13"/>
  <c r="CU23" i="13"/>
  <c r="CY22" i="13"/>
  <c r="CV18" i="13"/>
  <c r="CV22" i="13"/>
  <c r="CO25" i="13"/>
  <c r="CR26" i="13"/>
  <c r="CN26" i="13"/>
  <c r="CT25" i="13"/>
  <c r="CP31" i="13" l="1"/>
  <c r="CN30" i="13"/>
  <c r="CN31" i="13"/>
  <c r="CO28" i="13"/>
  <c r="CS25" i="13"/>
  <c r="CR30" i="13"/>
  <c r="CP30" i="13"/>
  <c r="CO26" i="13"/>
  <c r="CR31" i="13"/>
  <c r="CN25" i="13"/>
  <c r="CO30" i="13"/>
  <c r="CM33" i="13"/>
  <c r="CY26" i="13"/>
  <c r="CU26" i="13"/>
  <c r="CV25" i="13"/>
  <c r="CR27" i="13"/>
  <c r="CR28" i="13"/>
  <c r="CO27" i="13"/>
  <c r="CW31" i="13" l="1"/>
  <c r="CU30" i="13"/>
  <c r="CW30" i="13"/>
  <c r="CV30" i="13"/>
  <c r="CV26" i="13"/>
  <c r="CU31" i="13"/>
  <c r="CY30" i="13"/>
  <c r="CZ25" i="13"/>
  <c r="CV28" i="13"/>
  <c r="CY31" i="13"/>
  <c r="CU25" i="13"/>
  <c r="CY27" i="13"/>
  <c r="CV27" i="13"/>
  <c r="CY28" i="13"/>
  <c r="CO33" i="13"/>
  <c r="CR34" i="13"/>
  <c r="CN34" i="13"/>
  <c r="CT33" i="13"/>
  <c r="CN38" i="13" l="1"/>
  <c r="CN39" i="13"/>
  <c r="CN33" i="13"/>
  <c r="CS33" i="13"/>
  <c r="CP38" i="13"/>
  <c r="CO36" i="13"/>
  <c r="CR39" i="13"/>
  <c r="CP39" i="13"/>
  <c r="CR38" i="13"/>
  <c r="CO38" i="13"/>
  <c r="CO34" i="13"/>
  <c r="CV33" i="13"/>
  <c r="CY34" i="13"/>
  <c r="CM41" i="13"/>
  <c r="CU34" i="13"/>
  <c r="CR36" i="13"/>
  <c r="CR35" i="13"/>
  <c r="CO35" i="13"/>
  <c r="CT41" i="13" l="1"/>
  <c r="CR42" i="13"/>
  <c r="CN42" i="13"/>
  <c r="CO41" i="13"/>
  <c r="CY38" i="13"/>
  <c r="CU33" i="13"/>
  <c r="CU39" i="13"/>
  <c r="CW39" i="13"/>
  <c r="CW38" i="13"/>
  <c r="CV36" i="13"/>
  <c r="CY39" i="13"/>
  <c r="CU38" i="13"/>
  <c r="CV34" i="13"/>
  <c r="CV38" i="13"/>
  <c r="CZ33" i="13"/>
  <c r="CY36" i="13"/>
  <c r="CY35" i="13"/>
  <c r="CV35" i="13"/>
  <c r="CN46" i="13" l="1"/>
  <c r="CP47" i="13"/>
  <c r="CP46" i="13"/>
  <c r="CS41" i="13"/>
  <c r="CN47" i="13"/>
  <c r="CO44" i="13"/>
  <c r="CR47" i="13"/>
  <c r="CN41" i="13"/>
  <c r="CR46" i="13"/>
  <c r="CO46" i="13"/>
  <c r="CO42" i="13"/>
  <c r="CR44" i="13"/>
  <c r="CR43" i="13"/>
  <c r="CO43" i="13"/>
  <c r="CY42" i="13"/>
  <c r="CV41" i="13"/>
  <c r="DB1" i="13"/>
  <c r="CU42" i="13"/>
  <c r="CW47" i="13" l="1"/>
  <c r="CU46" i="13"/>
  <c r="CZ41" i="13"/>
  <c r="CV42" i="13"/>
  <c r="CV44" i="13"/>
  <c r="CW46" i="13"/>
  <c r="CY47" i="13"/>
  <c r="CU41" i="13"/>
  <c r="CV46" i="13"/>
  <c r="CU47" i="13"/>
  <c r="CY46" i="13"/>
  <c r="CY44" i="13"/>
  <c r="CY43" i="13"/>
  <c r="CV43" i="13"/>
  <c r="DG2" i="13"/>
  <c r="DI1" i="13"/>
  <c r="DC2" i="13"/>
  <c r="DD1" i="13"/>
  <c r="DB9" i="13" l="1"/>
  <c r="DN2" i="13"/>
  <c r="DK1" i="13"/>
  <c r="DJ2" i="13"/>
  <c r="DD6" i="13"/>
  <c r="DD4" i="13"/>
  <c r="DD2" i="13"/>
  <c r="DG6" i="13"/>
  <c r="DH1" i="13"/>
  <c r="DG7" i="13"/>
  <c r="DC1" i="13"/>
  <c r="DC7" i="13"/>
  <c r="DE6" i="13"/>
  <c r="DE7" i="13"/>
  <c r="DC6" i="13"/>
  <c r="DG4" i="13"/>
  <c r="DG3" i="13"/>
  <c r="DD3" i="13"/>
  <c r="DN4" i="13" l="1"/>
  <c r="DN3" i="13"/>
  <c r="DK3" i="13"/>
  <c r="DK4" i="13"/>
  <c r="DN7" i="13"/>
  <c r="DO1" i="13"/>
  <c r="DJ1" i="13"/>
  <c r="DN6" i="13"/>
  <c r="DK2" i="13"/>
  <c r="DL7" i="13"/>
  <c r="DK6" i="13"/>
  <c r="DJ7" i="13"/>
  <c r="DL6" i="13"/>
  <c r="DJ6" i="13"/>
  <c r="DC10" i="13"/>
  <c r="DD9" i="13"/>
  <c r="DG10" i="13"/>
  <c r="DI9" i="13"/>
  <c r="DD14" i="13" l="1"/>
  <c r="DE14" i="13"/>
  <c r="DH9" i="13"/>
  <c r="DD12" i="13"/>
  <c r="DC9" i="13"/>
  <c r="DC15" i="13"/>
  <c r="DE15" i="13"/>
  <c r="DD10" i="13"/>
  <c r="DG14" i="13"/>
  <c r="DC14" i="13"/>
  <c r="DG15" i="13"/>
  <c r="DG12" i="13"/>
  <c r="DG11" i="13"/>
  <c r="DD11" i="13"/>
  <c r="DJ10" i="13"/>
  <c r="DB17" i="13"/>
  <c r="DN10" i="13"/>
  <c r="DK9" i="13"/>
  <c r="DD17" i="13" l="1"/>
  <c r="DG18" i="13"/>
  <c r="DC18" i="13"/>
  <c r="DI17" i="13"/>
  <c r="DN11" i="13"/>
  <c r="DK11" i="13"/>
  <c r="DN12" i="13"/>
  <c r="DK12" i="13"/>
  <c r="DK10" i="13"/>
  <c r="DJ14" i="13"/>
  <c r="DL15" i="13"/>
  <c r="DJ9" i="13"/>
  <c r="DN14" i="13"/>
  <c r="DL14" i="13"/>
  <c r="DN15" i="13"/>
  <c r="DK14" i="13"/>
  <c r="DJ15" i="13"/>
  <c r="DO9" i="13"/>
  <c r="DN18" i="13" l="1"/>
  <c r="DJ18" i="13"/>
  <c r="DK17" i="13"/>
  <c r="DB25" i="13"/>
  <c r="DG19" i="13"/>
  <c r="DD19" i="13"/>
  <c r="DG20" i="13"/>
  <c r="DC22" i="13"/>
  <c r="DD18" i="13"/>
  <c r="DC17" i="13"/>
  <c r="DH17" i="13"/>
  <c r="DG22" i="13"/>
  <c r="DE22" i="13"/>
  <c r="DD22" i="13"/>
  <c r="DD20" i="13"/>
  <c r="DE23" i="13"/>
  <c r="DC23" i="13"/>
  <c r="DG23" i="13"/>
  <c r="DJ17" i="13" l="1"/>
  <c r="DN23" i="13"/>
  <c r="DK20" i="13"/>
  <c r="DL23" i="13"/>
  <c r="DK18" i="13"/>
  <c r="DJ22" i="13"/>
  <c r="DL22" i="13"/>
  <c r="DK22" i="13"/>
  <c r="DO17" i="13"/>
  <c r="DJ23" i="13"/>
  <c r="DN22" i="13"/>
  <c r="DI25" i="13"/>
  <c r="DC26" i="13"/>
  <c r="DD25" i="13"/>
  <c r="DG26" i="13"/>
  <c r="DK19" i="13"/>
  <c r="DN20" i="13"/>
  <c r="DN19" i="13"/>
  <c r="DK25" i="13" l="1"/>
  <c r="DB33" i="13"/>
  <c r="DJ26" i="13"/>
  <c r="DN26" i="13"/>
  <c r="DG30" i="13"/>
  <c r="DC30" i="13"/>
  <c r="DC25" i="13"/>
  <c r="DH25" i="13"/>
  <c r="DD26" i="13"/>
  <c r="DD28" i="13"/>
  <c r="DC31" i="13"/>
  <c r="DE30" i="13"/>
  <c r="DD30" i="13"/>
  <c r="DG31" i="13"/>
  <c r="DE31" i="13"/>
  <c r="DD27" i="13"/>
  <c r="DG27" i="13"/>
  <c r="DG28" i="13"/>
  <c r="DK27" i="13" l="1"/>
  <c r="DN28" i="13"/>
  <c r="DN27" i="13"/>
  <c r="DG34" i="13"/>
  <c r="DD33" i="13"/>
  <c r="DC34" i="13"/>
  <c r="DI33" i="13"/>
  <c r="DK30" i="13"/>
  <c r="DN30" i="13"/>
  <c r="DK26" i="13"/>
  <c r="DL31" i="13"/>
  <c r="DL30" i="13"/>
  <c r="DJ30" i="13"/>
  <c r="DO25" i="13"/>
  <c r="DJ25" i="13"/>
  <c r="DN31" i="13"/>
  <c r="DK28" i="13"/>
  <c r="DJ31" i="13"/>
  <c r="DG38" i="13" l="1"/>
  <c r="DD38" i="13"/>
  <c r="DD34" i="13"/>
  <c r="DC38" i="13"/>
  <c r="DG39" i="13"/>
  <c r="DH33" i="13"/>
  <c r="DC33" i="13"/>
  <c r="DC39" i="13"/>
  <c r="DE38" i="13"/>
  <c r="DD36" i="13"/>
  <c r="DE39" i="13"/>
  <c r="DG36" i="13"/>
  <c r="DD35" i="13"/>
  <c r="DG35" i="13"/>
  <c r="DJ34" i="13"/>
  <c r="DN34" i="13"/>
  <c r="DK33" i="13"/>
  <c r="DB41" i="13"/>
  <c r="DN35" i="13" l="1"/>
  <c r="DK35" i="13"/>
  <c r="DN36" i="13"/>
  <c r="DG42" i="13"/>
  <c r="DC42" i="13"/>
  <c r="DD41" i="13"/>
  <c r="DI41" i="13"/>
  <c r="DK34" i="13"/>
  <c r="DJ39" i="13"/>
  <c r="DL38" i="13"/>
  <c r="DK36" i="13"/>
  <c r="DJ38" i="13"/>
  <c r="DJ33" i="13"/>
  <c r="DL39" i="13"/>
  <c r="DN39" i="13"/>
  <c r="DK38" i="13"/>
  <c r="DN38" i="13"/>
  <c r="DO33" i="13"/>
  <c r="DC47" i="13" l="1"/>
  <c r="DG46" i="13"/>
  <c r="DC46" i="13"/>
  <c r="DG47" i="13"/>
  <c r="DD44" i="13"/>
  <c r="DH41" i="13"/>
  <c r="DC41" i="13"/>
  <c r="DD46" i="13"/>
  <c r="DD42" i="13"/>
  <c r="DE46" i="13"/>
  <c r="DE47" i="13"/>
  <c r="DG44" i="13"/>
  <c r="DG43" i="13"/>
  <c r="DD43" i="13"/>
  <c r="DQ1" i="13"/>
  <c r="DK41" i="13"/>
  <c r="DN42" i="13"/>
  <c r="DJ42" i="13"/>
  <c r="DJ47" i="13" l="1"/>
  <c r="DK42" i="13"/>
  <c r="DN47" i="13"/>
  <c r="DO41" i="13"/>
  <c r="DJ41" i="13"/>
  <c r="DN46" i="13"/>
  <c r="DL47" i="13"/>
  <c r="DK46" i="13"/>
  <c r="DL46" i="13"/>
  <c r="DK44" i="13"/>
  <c r="DJ46" i="13"/>
  <c r="DV2" i="13"/>
  <c r="DR2" i="13"/>
  <c r="DS1" i="13"/>
  <c r="DX1" i="13"/>
  <c r="DN44" i="13"/>
  <c r="DN43" i="13"/>
  <c r="DK43" i="13"/>
  <c r="DQ9" i="13" l="1"/>
  <c r="DZ1" i="13"/>
  <c r="DY2" i="13"/>
  <c r="EC2" i="13"/>
  <c r="DR7" i="13"/>
  <c r="DS4" i="13"/>
  <c r="DV7" i="13"/>
  <c r="DT7" i="13"/>
  <c r="DV6" i="13"/>
  <c r="DR6" i="13"/>
  <c r="DW1" i="13"/>
  <c r="DS2" i="13"/>
  <c r="DR1" i="13"/>
  <c r="DT6" i="13"/>
  <c r="DS6" i="13"/>
  <c r="DV3" i="13"/>
  <c r="DS3" i="13"/>
  <c r="DV4" i="13"/>
  <c r="EC4" i="13" l="1"/>
  <c r="EC3" i="13"/>
  <c r="DZ3" i="13"/>
  <c r="EA6" i="13"/>
  <c r="ED1" i="13"/>
  <c r="EC7" i="13"/>
  <c r="DY1" i="13"/>
  <c r="EC6" i="13"/>
  <c r="DZ4" i="13"/>
  <c r="DZ6" i="13"/>
  <c r="DY6" i="13"/>
  <c r="DZ2" i="13"/>
  <c r="EA7" i="13"/>
  <c r="DY7" i="13"/>
  <c r="DR10" i="13"/>
  <c r="DV10" i="13"/>
  <c r="DS9" i="13"/>
  <c r="DX9" i="13"/>
  <c r="DS11" i="13" l="1"/>
  <c r="DV12" i="13"/>
  <c r="DV11" i="13"/>
  <c r="DQ17" i="13"/>
  <c r="DY10" i="13"/>
  <c r="DZ9" i="13"/>
  <c r="EC10" i="13"/>
  <c r="DS12" i="13"/>
  <c r="DR15" i="13"/>
  <c r="DR9" i="13"/>
  <c r="DS10" i="13"/>
  <c r="DS14" i="13"/>
  <c r="DT15" i="13"/>
  <c r="DV15" i="13"/>
  <c r="DR14" i="13"/>
  <c r="DW9" i="13"/>
  <c r="DV14" i="13"/>
  <c r="DT14" i="13"/>
  <c r="DY15" i="13" l="1"/>
  <c r="EC15" i="13"/>
  <c r="DZ10" i="13"/>
  <c r="EA14" i="13"/>
  <c r="EC14" i="13"/>
  <c r="ED9" i="13"/>
  <c r="DZ12" i="13"/>
  <c r="DY9" i="13"/>
  <c r="DZ14" i="13"/>
  <c r="EA15" i="13"/>
  <c r="DY14" i="13"/>
  <c r="DR18" i="13"/>
  <c r="DS17" i="13"/>
  <c r="DX17" i="13"/>
  <c r="DV18" i="13"/>
  <c r="EC11" i="13"/>
  <c r="EC12" i="13"/>
  <c r="DZ11" i="13"/>
  <c r="DT23" i="13" l="1"/>
  <c r="DV23" i="13"/>
  <c r="DT22" i="13"/>
  <c r="DR22" i="13"/>
  <c r="DS22" i="13"/>
  <c r="DW17" i="13"/>
  <c r="DS18" i="13"/>
  <c r="DR23" i="13"/>
  <c r="DV22" i="13"/>
  <c r="DS20" i="13"/>
  <c r="DR17" i="13"/>
  <c r="DY18" i="13"/>
  <c r="DQ25" i="13"/>
  <c r="EC18" i="13"/>
  <c r="DZ17" i="13"/>
  <c r="DS19" i="13"/>
  <c r="DV20" i="13"/>
  <c r="DV19" i="13"/>
  <c r="DX25" i="13" l="1"/>
  <c r="DV26" i="13"/>
  <c r="DR26" i="13"/>
  <c r="DS25" i="13"/>
  <c r="DZ20" i="13"/>
  <c r="DY23" i="13"/>
  <c r="EA22" i="13"/>
  <c r="DY22" i="13"/>
  <c r="DZ22" i="13"/>
  <c r="DY17" i="13"/>
  <c r="ED17" i="13"/>
  <c r="EC23" i="13"/>
  <c r="EC22" i="13"/>
  <c r="EA23" i="13"/>
  <c r="DZ18" i="13"/>
  <c r="EC20" i="13"/>
  <c r="EC19" i="13"/>
  <c r="DZ19" i="13"/>
  <c r="DW25" i="13" l="1"/>
  <c r="DT31" i="13"/>
  <c r="DV31" i="13"/>
  <c r="DR31" i="13"/>
  <c r="DS30" i="13"/>
  <c r="DV30" i="13"/>
  <c r="DT30" i="13"/>
  <c r="DS26" i="13"/>
  <c r="DR25" i="13"/>
  <c r="DR30" i="13"/>
  <c r="DS28" i="13"/>
  <c r="DV28" i="13"/>
  <c r="DV27" i="13"/>
  <c r="DS27" i="13"/>
  <c r="DY26" i="13"/>
  <c r="DQ33" i="13"/>
  <c r="EC26" i="13"/>
  <c r="DZ25" i="13"/>
  <c r="DR34" i="13" l="1"/>
  <c r="DV34" i="13"/>
  <c r="DX33" i="13"/>
  <c r="DS33" i="13"/>
  <c r="EC27" i="13"/>
  <c r="DZ27" i="13"/>
  <c r="EC28" i="13"/>
  <c r="DZ30" i="13"/>
  <c r="DZ26" i="13"/>
  <c r="DY31" i="13"/>
  <c r="EC30" i="13"/>
  <c r="DY30" i="13"/>
  <c r="EA30" i="13"/>
  <c r="ED25" i="13"/>
  <c r="EA31" i="13"/>
  <c r="DY25" i="13"/>
  <c r="DZ28" i="13"/>
  <c r="EC31" i="13"/>
  <c r="DS38" i="13" l="1"/>
  <c r="DS36" i="13"/>
  <c r="DV39" i="13"/>
  <c r="DV38" i="13"/>
  <c r="DW33" i="13"/>
  <c r="DR39" i="13"/>
  <c r="DT38" i="13"/>
  <c r="DT39" i="13"/>
  <c r="DR38" i="13"/>
  <c r="DS34" i="13"/>
  <c r="DR33" i="13"/>
  <c r="DQ41" i="13"/>
  <c r="EC34" i="13"/>
  <c r="DZ33" i="13"/>
  <c r="DY34" i="13"/>
  <c r="DS35" i="13"/>
  <c r="DV36" i="13"/>
  <c r="DV35" i="13"/>
  <c r="DZ35" i="13" l="1"/>
  <c r="EC35" i="13"/>
  <c r="EC36" i="13"/>
  <c r="DR42" i="13"/>
  <c r="DX41" i="13"/>
  <c r="DV42" i="13"/>
  <c r="DS41" i="13"/>
  <c r="DY33" i="13"/>
  <c r="DZ38" i="13"/>
  <c r="EA39" i="13"/>
  <c r="DY38" i="13"/>
  <c r="DY39" i="13"/>
  <c r="EC38" i="13"/>
  <c r="DZ34" i="13"/>
  <c r="DZ36" i="13"/>
  <c r="EA38" i="13"/>
  <c r="ED33" i="13"/>
  <c r="EC39" i="13"/>
  <c r="DZ41" i="13" l="1"/>
  <c r="EC42" i="13"/>
  <c r="DY42" i="13"/>
  <c r="EF1" i="13"/>
  <c r="DV44" i="13"/>
  <c r="DV43" i="13"/>
  <c r="DS43" i="13"/>
  <c r="DV47" i="13"/>
  <c r="DV46" i="13"/>
  <c r="DS46" i="13"/>
  <c r="DR46" i="13"/>
  <c r="DR47" i="13"/>
  <c r="DT46" i="13"/>
  <c r="DT47" i="13"/>
  <c r="DW41" i="13"/>
  <c r="DS44" i="13"/>
  <c r="DS42" i="13"/>
  <c r="DR41" i="13"/>
  <c r="DZ43" i="13" l="1"/>
  <c r="EC43" i="13"/>
  <c r="EC44" i="13"/>
  <c r="EG2" i="13"/>
  <c r="EM1" i="13"/>
  <c r="EH1" i="13"/>
  <c r="EK2" i="13"/>
  <c r="DZ42" i="13"/>
  <c r="EC46" i="13"/>
  <c r="DZ46" i="13"/>
  <c r="EA47" i="13"/>
  <c r="DY46" i="13"/>
  <c r="EA46" i="13"/>
  <c r="DZ44" i="13"/>
  <c r="DY41" i="13"/>
  <c r="EC47" i="13"/>
  <c r="DY47" i="13"/>
  <c r="ED41" i="13"/>
  <c r="EF9" i="13" l="1"/>
  <c r="ER2" i="13"/>
  <c r="EN2" i="13"/>
  <c r="EO1" i="13"/>
  <c r="EG1" i="13"/>
  <c r="EK7" i="13"/>
  <c r="EK6" i="13"/>
  <c r="EI7" i="13"/>
  <c r="EG6" i="13"/>
  <c r="EI6" i="13"/>
  <c r="EL1" i="13"/>
  <c r="EG7" i="13"/>
  <c r="EH6" i="13"/>
  <c r="EH4" i="13"/>
  <c r="EH2" i="13"/>
  <c r="EK3" i="13"/>
  <c r="EH3" i="13"/>
  <c r="EK4" i="13"/>
  <c r="EO4" i="13" l="1"/>
  <c r="EP7" i="13"/>
  <c r="ES1" i="13"/>
  <c r="EO6" i="13"/>
  <c r="ER7" i="13"/>
  <c r="EN7" i="13"/>
  <c r="ER6" i="13"/>
  <c r="EP6" i="13"/>
  <c r="EN6" i="13"/>
  <c r="EN1" i="13"/>
  <c r="EO2" i="13"/>
  <c r="EO3" i="13"/>
  <c r="ER4" i="13"/>
  <c r="ER3" i="13"/>
  <c r="EG10" i="13"/>
  <c r="EM9" i="13"/>
  <c r="EK10" i="13"/>
  <c r="EH9" i="13"/>
  <c r="ER10" i="13" l="1"/>
  <c r="EF17" i="13"/>
  <c r="EN10" i="13"/>
  <c r="EO9" i="13"/>
  <c r="EK11" i="13"/>
  <c r="EK12" i="13"/>
  <c r="EH11" i="13"/>
  <c r="EG14" i="13"/>
  <c r="EH10" i="13"/>
  <c r="EG9" i="13"/>
  <c r="EK14" i="13"/>
  <c r="EI14" i="13"/>
  <c r="EH12" i="13"/>
  <c r="EL9" i="13"/>
  <c r="EH14" i="13"/>
  <c r="EK15" i="13"/>
  <c r="EI15" i="13"/>
  <c r="EG15" i="13"/>
  <c r="EP14" i="13" l="1"/>
  <c r="ER15" i="13"/>
  <c r="EO14" i="13"/>
  <c r="EN14" i="13"/>
  <c r="EN9" i="13"/>
  <c r="ES9" i="13"/>
  <c r="EP15" i="13"/>
  <c r="EO12" i="13"/>
  <c r="EO10" i="13"/>
  <c r="ER14" i="13"/>
  <c r="EN15" i="13"/>
  <c r="ER12" i="13"/>
  <c r="ER11" i="13"/>
  <c r="EO11" i="13"/>
  <c r="EH17" i="13"/>
  <c r="EM17" i="13"/>
  <c r="EG18" i="13"/>
  <c r="EK18" i="13"/>
  <c r="ER18" i="13" l="1"/>
  <c r="EF25" i="13"/>
  <c r="EN18" i="13"/>
  <c r="EO17" i="13"/>
  <c r="EI23" i="13"/>
  <c r="EG22" i="13"/>
  <c r="EG17" i="13"/>
  <c r="EK22" i="13"/>
  <c r="EL17" i="13"/>
  <c r="EH18" i="13"/>
  <c r="EH22" i="13"/>
  <c r="EG23" i="13"/>
  <c r="EH20" i="13"/>
  <c r="EK23" i="13"/>
  <c r="EI22" i="13"/>
  <c r="EH19" i="13"/>
  <c r="EK20" i="13"/>
  <c r="EK19" i="13"/>
  <c r="EO20" i="13" l="1"/>
  <c r="EP23" i="13"/>
  <c r="EO22" i="13"/>
  <c r="ES17" i="13"/>
  <c r="EN22" i="13"/>
  <c r="ER22" i="13"/>
  <c r="EP22" i="13"/>
  <c r="EN17" i="13"/>
  <c r="EN23" i="13"/>
  <c r="EO18" i="13"/>
  <c r="ER23" i="13"/>
  <c r="ER19" i="13"/>
  <c r="EO19" i="13"/>
  <c r="ER20" i="13"/>
  <c r="EK26" i="13"/>
  <c r="EG26" i="13"/>
  <c r="EH25" i="13"/>
  <c r="EM25" i="13"/>
  <c r="EN26" i="13" l="1"/>
  <c r="EO25" i="13"/>
  <c r="EF33" i="13"/>
  <c r="ER26" i="13"/>
  <c r="EH27" i="13"/>
  <c r="EK28" i="13"/>
  <c r="EK27" i="13"/>
  <c r="EH28" i="13"/>
  <c r="EK31" i="13"/>
  <c r="EG25" i="13"/>
  <c r="EI31" i="13"/>
  <c r="EG30" i="13"/>
  <c r="EI30" i="13"/>
  <c r="EH30" i="13"/>
  <c r="EL25" i="13"/>
  <c r="EG31" i="13"/>
  <c r="EH26" i="13"/>
  <c r="EK30" i="13"/>
  <c r="EG34" i="13" l="1"/>
  <c r="EM33" i="13"/>
  <c r="EH33" i="13"/>
  <c r="EK34" i="13"/>
  <c r="EP30" i="13"/>
  <c r="EO30" i="13"/>
  <c r="EN31" i="13"/>
  <c r="EN30" i="13"/>
  <c r="ER31" i="13"/>
  <c r="EN25" i="13"/>
  <c r="ER30" i="13"/>
  <c r="EO28" i="13"/>
  <c r="EO26" i="13"/>
  <c r="EP31" i="13"/>
  <c r="ES25" i="13"/>
  <c r="ER27" i="13"/>
  <c r="EO27" i="13"/>
  <c r="ER28" i="13"/>
  <c r="EH36" i="13" l="1"/>
  <c r="EI38" i="13"/>
  <c r="EI39" i="13"/>
  <c r="EH38" i="13"/>
  <c r="EL33" i="13"/>
  <c r="EK39" i="13"/>
  <c r="EK38" i="13"/>
  <c r="EG33" i="13"/>
  <c r="EG38" i="13"/>
  <c r="EG39" i="13"/>
  <c r="EH34" i="13"/>
  <c r="ER34" i="13"/>
  <c r="EF41" i="13"/>
  <c r="EO33" i="13"/>
  <c r="EN34" i="13"/>
  <c r="EK35" i="13"/>
  <c r="EK36" i="13"/>
  <c r="EH35" i="13"/>
  <c r="EN39" i="13" l="1"/>
  <c r="EO38" i="13"/>
  <c r="EO36" i="13"/>
  <c r="EO34" i="13"/>
  <c r="EN38" i="13"/>
  <c r="EN33" i="13"/>
  <c r="EP38" i="13"/>
  <c r="ER38" i="13"/>
  <c r="ES33" i="13"/>
  <c r="ER39" i="13"/>
  <c r="EP39" i="13"/>
  <c r="ER35" i="13"/>
  <c r="ER36" i="13"/>
  <c r="EO35" i="13"/>
  <c r="EM41" i="13"/>
  <c r="EG42" i="13"/>
  <c r="EK42" i="13"/>
  <c r="EH41" i="13"/>
  <c r="EN42" i="13" l="1"/>
  <c r="EO41" i="13"/>
  <c r="ER42" i="13"/>
  <c r="EK44" i="13"/>
  <c r="EK43" i="13"/>
  <c r="EH43" i="13"/>
  <c r="EH44" i="13"/>
  <c r="EH46" i="13"/>
  <c r="EH42" i="13"/>
  <c r="EK47" i="13"/>
  <c r="EK46" i="13"/>
  <c r="EG46" i="13"/>
  <c r="EI46" i="13"/>
  <c r="EI47" i="13"/>
  <c r="EG47" i="13"/>
  <c r="EL41" i="13"/>
  <c r="EG41" i="13"/>
  <c r="EO42" i="13" l="1"/>
  <c r="EP47" i="13"/>
  <c r="ES41" i="13"/>
  <c r="EN47" i="13"/>
  <c r="ER46" i="13"/>
  <c r="EN41" i="13"/>
  <c r="ER47" i="13"/>
  <c r="EP46" i="13"/>
  <c r="EO46" i="13"/>
  <c r="EO44" i="13"/>
  <c r="EN46" i="13"/>
  <c r="ER43" i="13"/>
  <c r="EO43" i="13"/>
  <c r="ER44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<sst xmlns="http://schemas.openxmlformats.org/spreadsheetml/2006/main" count="21201" uniqueCount="4432">
  <si>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</si>
  <si>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</si>
  <si>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</si>
  <si>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</si>
  <si>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</si>
  <si>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</si>
  <si>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</si>
  <si>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</si>
  <si>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</si>
  <si>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</si>
  <si>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パンカップ　</t>
  </si>
  <si>
    <t>69</t>
  </si>
  <si>
    <t>配膳スマ</t>
  </si>
  <si>
    <t>シンキングキッズ</t>
  </si>
  <si>
    <t>なないろキッズ</t>
  </si>
  <si>
    <t>博多南幼稚園（別注2）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</si>
  <si>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</si>
  <si>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</si>
  <si>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</si>
  <si>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</si>
  <si>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</si>
  <si>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笹丘カトリック幼稚園</t>
  </si>
  <si>
    <t>若久幼稚園</t>
  </si>
  <si>
    <t>かしはら幼稚園</t>
  </si>
  <si>
    <t>さらやま保育園</t>
  </si>
  <si>
    <t>ひよこ保育園</t>
  </si>
  <si>
    <t>リリィ保育園</t>
  </si>
  <si>
    <t>須玖幼稚園</t>
  </si>
  <si>
    <t>すてっぷ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</si>
  <si>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</si>
  <si>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</si>
  <si>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</si>
  <si>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</si>
  <si>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</si>
  <si>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</si>
  <si>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</si>
  <si>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</si>
  <si>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</si>
  <si>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</si>
  <si>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</si>
  <si>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</si>
  <si>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</si>
  <si>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</si>
  <si>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</si>
  <si>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</si>
  <si>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</si>
  <si>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</si>
  <si>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</si>
  <si>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</si>
  <si>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</si>
  <si>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</si>
  <si>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</si>
  <si>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</si>
  <si>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</si>
  <si>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</si>
  <si>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</si>
  <si>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</si>
  <si>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</si>
  <si>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</si>
  <si>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</si>
  <si>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44</t>
  </si>
  <si>
    <t>18600</t>
  </si>
  <si>
    <t>6</t>
  </si>
  <si>
    <t>19700</t>
  </si>
  <si>
    <t>8</t>
  </si>
  <si>
    <t>206</t>
  </si>
  <si>
    <t>207</t>
  </si>
  <si>
    <t>2</t>
  </si>
  <si>
    <t>203</t>
  </si>
  <si>
    <t>9</t>
  </si>
  <si>
    <t>406</t>
  </si>
  <si>
    <t>16300</t>
  </si>
  <si>
    <t>7</t>
  </si>
  <si>
    <t>606</t>
  </si>
  <si>
    <t>236</t>
  </si>
  <si>
    <t>706</t>
  </si>
  <si>
    <t>141</t>
  </si>
  <si>
    <t>2100</t>
  </si>
  <si>
    <t>39</t>
  </si>
  <si>
    <t>15</t>
  </si>
  <si>
    <t>2200</t>
  </si>
  <si>
    <t>219</t>
  </si>
  <si>
    <t>29</t>
  </si>
  <si>
    <t>17600</t>
  </si>
  <si>
    <t>18500</t>
  </si>
  <si>
    <t>3100</t>
  </si>
  <si>
    <t>118</t>
  </si>
  <si>
    <t>19</t>
  </si>
  <si>
    <t>3600</t>
  </si>
  <si>
    <t>94</t>
  </si>
  <si>
    <t>12</t>
  </si>
  <si>
    <t>8000</t>
  </si>
  <si>
    <t>26</t>
  </si>
  <si>
    <t>20200</t>
  </si>
  <si>
    <t>13</t>
  </si>
  <si>
    <t>7200</t>
  </si>
  <si>
    <t>5900</t>
  </si>
  <si>
    <t>5</t>
  </si>
  <si>
    <t>7103</t>
  </si>
  <si>
    <t>25</t>
  </si>
  <si>
    <t>11600</t>
  </si>
  <si>
    <t>12900</t>
  </si>
  <si>
    <t>4</t>
  </si>
  <si>
    <t>12910</t>
  </si>
  <si>
    <t>19800</t>
  </si>
  <si>
    <t>3</t>
  </si>
  <si>
    <t>19900</t>
  </si>
  <si>
    <t>16</t>
  </si>
  <si>
    <t>8100</t>
  </si>
  <si>
    <t>27</t>
  </si>
  <si>
    <t>13900</t>
  </si>
  <si>
    <t>10</t>
  </si>
  <si>
    <t>18900</t>
  </si>
  <si>
    <t>14700</t>
  </si>
  <si>
    <t>14</t>
  </si>
  <si>
    <t>19100</t>
  </si>
  <si>
    <t>23</t>
  </si>
  <si>
    <t>7000</t>
  </si>
  <si>
    <t>7003</t>
  </si>
  <si>
    <t>73</t>
  </si>
  <si>
    <t>7010</t>
  </si>
  <si>
    <t>20400</t>
  </si>
  <si>
    <t>4700</t>
  </si>
  <si>
    <t>20</t>
  </si>
  <si>
    <t>4800</t>
  </si>
  <si>
    <t>800</t>
  </si>
  <si>
    <t>142</t>
  </si>
  <si>
    <t>802</t>
  </si>
  <si>
    <t>805</t>
  </si>
  <si>
    <t>105</t>
  </si>
  <si>
    <t>40100</t>
  </si>
  <si>
    <t>134</t>
  </si>
  <si>
    <t>40102</t>
  </si>
  <si>
    <t>21</t>
  </si>
  <si>
    <t>40200</t>
  </si>
  <si>
    <t>18</t>
  </si>
  <si>
    <t>40250</t>
  </si>
  <si>
    <t>40350</t>
  </si>
  <si>
    <t>128</t>
  </si>
  <si>
    <t>40400</t>
  </si>
  <si>
    <t>174</t>
  </si>
  <si>
    <t>40700</t>
  </si>
  <si>
    <t>40750</t>
  </si>
  <si>
    <t>40800</t>
  </si>
  <si>
    <t>10000</t>
  </si>
  <si>
    <t>10001</t>
  </si>
  <si>
    <t>10002</t>
  </si>
  <si>
    <t>121</t>
  </si>
  <si>
    <t>81</t>
  </si>
  <si>
    <t>66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</si>
  <si>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</si>
  <si>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</si>
  <si>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</si>
  <si>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</si>
  <si>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</si>
  <si>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</si>
  <si>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</si>
  <si>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</si>
  <si>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</si>
  <si>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</si>
  <si>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</si>
  <si>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</si>
  <si>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</si>
  <si>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</si>
  <si>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</si>
  <si>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</si>
  <si>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</si>
  <si>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</si>
  <si>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</si>
  <si>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</si>
  <si>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</si>
  <si>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</si>
  <si>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</si>
  <si>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</si>
  <si>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</si>
  <si>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</si>
  <si>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</si>
  <si>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</si>
  <si>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</si>
  <si>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</si>
  <si>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</si>
  <si>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</si>
  <si>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</si>
  <si>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</si>
  <si>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</si>
  <si>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</si>
  <si>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</si>
  <si>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</si>
  <si>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</si>
  <si>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</si>
  <si>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</si>
  <si>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</si>
  <si>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</si>
  <si>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</si>
  <si>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</si>
  <si>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</si>
  <si>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</si>
  <si>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</si>
  <si>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</si>
  <si>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</si>
  <si>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</si>
  <si>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</si>
  <si>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</si>
  <si>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</si>
  <si>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</si>
  <si>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</si>
  <si>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</si>
  <si>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</si>
  <si>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</si>
  <si>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</si>
  <si>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</si>
  <si>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</si>
  <si>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</si>
  <si>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</si>
  <si>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22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</si>
  <si>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</si>
  <si>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</si>
  <si>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</si>
  <si>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</si>
  <si>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</si>
  <si>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</si>
  <si>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</si>
  <si>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2025/09/08 13:40:15</t>
  </si>
  <si>
    <t>弁当　先生　スープ付き</t>
  </si>
  <si>
    <t>2025/09/08 13:40:20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</si>
  <si>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</si>
  <si>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</si>
  <si>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</si>
  <si>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</si>
  <si>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</si>
  <si>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</si>
  <si>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</si>
  <si>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</si>
  <si>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</si>
  <si>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</si>
  <si>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</si>
  <si>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</si>
  <si>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</si>
  <si>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</si>
  <si>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</si>
  <si>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</si>
  <si>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</si>
  <si>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</si>
  <si>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</si>
  <si>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</si>
  <si>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</si>
  <si>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</si>
  <si>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</si>
  <si>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</si>
  <si>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</si>
  <si>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</si>
  <si>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</si>
  <si>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</si>
  <si>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</si>
  <si>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</si>
  <si>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38</t>
  </si>
  <si>
    <t>2025/09/08 13:42:18</t>
  </si>
  <si>
    <t>パン　先生</t>
  </si>
  <si>
    <t>パンカップ　先生</t>
  </si>
  <si>
    <t>2025/09/08 13:42:26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</si>
  <si>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</si>
  <si>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</si>
  <si>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</si>
  <si>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</si>
  <si>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</si>
  <si>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</si>
  <si>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</si>
  <si>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</si>
  <si>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</si>
  <si>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</si>
  <si>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</si>
  <si>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</si>
  <si>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</si>
  <si>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</si>
  <si>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</si>
  <si>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</si>
  <si>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</si>
  <si>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</si>
  <si>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</si>
  <si>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</si>
  <si>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</si>
  <si>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</si>
  <si>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</si>
  <si>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</si>
  <si>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</si>
  <si>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</si>
  <si>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</si>
  <si>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</si>
  <si>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</si>
  <si>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</si>
  <si>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</si>
  <si>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</si>
  <si>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</si>
  <si>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</si>
  <si>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</si>
  <si>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</si>
  <si>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</si>
  <si>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</si>
  <si>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</si>
  <si>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</si>
  <si>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</si>
  <si>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</si>
  <si>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</si>
  <si>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</si>
  <si>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</si>
  <si>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</si>
  <si>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</si>
  <si>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</si>
  <si>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</si>
  <si>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</si>
  <si>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</si>
  <si>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</si>
  <si>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</si>
  <si>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</si>
  <si>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</si>
  <si>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</si>
  <si>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</si>
  <si>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</si>
  <si>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</si>
  <si>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</si>
  <si>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</si>
  <si>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</si>
  <si>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200</t>
  </si>
  <si>
    <t>61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</si>
  <si>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</si>
  <si>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</si>
  <si>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</si>
  <si>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</si>
  <si>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</si>
  <si>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</si>
  <si>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</si>
  <si>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</si>
  <si>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</si>
  <si>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</si>
  <si>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</si>
  <si>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</si>
  <si>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</si>
  <si>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</si>
  <si>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</si>
  <si>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</si>
  <si>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</si>
  <si>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</si>
  <si>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</si>
  <si>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</si>
  <si>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</si>
  <si>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</si>
  <si>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</si>
  <si>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</si>
  <si>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</si>
  <si>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</si>
  <si>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</si>
  <si>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</si>
  <si>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</si>
  <si>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</si>
  <si>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</si>
  <si>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</si>
  <si>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</si>
  <si>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</si>
  <si>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</si>
  <si>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</si>
  <si>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</si>
  <si>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</si>
  <si>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</si>
  <si>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</si>
  <si>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</si>
  <si>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</si>
  <si>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</si>
  <si>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</si>
  <si>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</si>
  <si>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</si>
  <si>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</si>
  <si>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</si>
  <si>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</si>
  <si>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</si>
  <si>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</si>
  <si>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</si>
  <si>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</si>
  <si>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</si>
  <si>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</si>
  <si>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</si>
  <si>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</si>
  <si>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</si>
  <si>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</si>
  <si>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</si>
  <si>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</si>
  <si>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</si>
  <si>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</si>
  <si>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</si>
  <si>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</si>
  <si>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</si>
  <si>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</si>
  <si>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</si>
  <si>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</si>
  <si>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</si>
  <si>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</si>
  <si>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</si>
  <si>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</si>
  <si>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</si>
  <si>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</si>
  <si>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</si>
  <si>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</si>
  <si>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</si>
  <si>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</si>
  <si>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</si>
  <si>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</si>
  <si>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</si>
  <si>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</si>
  <si>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</si>
  <si>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</si>
  <si>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</si>
  <si>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</si>
  <si>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</si>
  <si>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</si>
  <si>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</si>
  <si>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</si>
  <si>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</si>
  <si>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</si>
  <si>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</si>
  <si>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</si>
  <si>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115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</si>
  <si>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</si>
  <si>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</si>
  <si>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</si>
  <si>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</si>
  <si>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</si>
  <si>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</si>
  <si>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</si>
  <si>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</si>
  <si>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</si>
  <si>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</si>
  <si>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</si>
  <si>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</si>
  <si>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</si>
  <si>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</si>
  <si>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</si>
  <si>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プチコンク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</si>
  <si>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</si>
  <si>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</si>
  <si>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</si>
  <si>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</si>
  <si>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</si>
  <si>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</si>
  <si>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</si>
  <si>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127</t>
  </si>
  <si>
    <t>ひなあられ</t>
  </si>
  <si>
    <t>2025/09/08 13:48:46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</si>
  <si>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</si>
  <si>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</si>
  <si>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</si>
  <si>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</si>
  <si>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</si>
  <si>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</si>
  <si>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</si>
  <si>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</si>
  <si>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</si>
  <si>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</si>
  <si>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</si>
  <si>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</si>
  <si>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</si>
  <si>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</si>
  <si>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</si>
  <si>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</si>
  <si>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</si>
  <si>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</si>
  <si>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</si>
  <si>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</si>
  <si>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</si>
  <si>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</si>
  <si>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</si>
  <si>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</si>
  <si>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</si>
  <si>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</si>
  <si>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</si>
  <si>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</si>
  <si>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</si>
  <si>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140</t>
  </si>
  <si>
    <t>消費税</t>
  </si>
  <si>
    <t>2025/09/08 13:49:48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</si>
  <si>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</si>
  <si>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</si>
  <si>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</si>
  <si>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</si>
  <si>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</si>
  <si>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</si>
  <si>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</si>
  <si>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</si>
  <si>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</si>
  <si>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</si>
  <si>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</si>
  <si>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</si>
  <si>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</si>
  <si>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</si>
  <si>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</si>
  <si>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</si>
  <si>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</si>
  <si>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</si>
  <si>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</si>
  <si>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</si>
  <si>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</si>
  <si>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</si>
  <si>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</si>
  <si>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</si>
  <si>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</si>
  <si>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</si>
  <si>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</si>
  <si>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</si>
  <si>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</si>
  <si>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</si>
  <si>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</si>
  <si>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</si>
  <si>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</si>
  <si>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</si>
  <si>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</si>
  <si>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</si>
  <si>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</si>
  <si>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</si>
  <si>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</si>
  <si>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</si>
  <si>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</si>
  <si>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</si>
  <si>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</si>
  <si>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</si>
  <si>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</si>
  <si>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</si>
  <si>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</si>
  <si>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</si>
  <si>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</si>
  <si>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</si>
  <si>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</si>
  <si>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</si>
  <si>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</si>
  <si>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</si>
  <si>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</si>
  <si>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</si>
  <si>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</si>
  <si>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</si>
  <si>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</si>
  <si>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</si>
  <si>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</si>
  <si>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</si>
  <si>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</si>
  <si>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</si>
  <si>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</si>
  <si>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</si>
  <si>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</si>
  <si>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</si>
  <si>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</si>
  <si>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</si>
  <si>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</si>
  <si>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</si>
  <si>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</si>
  <si>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</si>
  <si>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</si>
  <si>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</si>
  <si>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</si>
  <si>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</si>
  <si>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</si>
  <si>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</si>
  <si>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</si>
  <si>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</si>
  <si>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</si>
  <si>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</si>
  <si>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</si>
  <si>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</si>
  <si>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</si>
  <si>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</si>
  <si>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</si>
  <si>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</si>
  <si>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</si>
  <si>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</si>
  <si>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</si>
  <si>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</si>
  <si>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</si>
  <si>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</si>
  <si>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</si>
  <si>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</si>
  <si>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</si>
  <si>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</si>
  <si>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</si>
  <si>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</si>
  <si>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</si>
  <si>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</si>
  <si>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</si>
  <si>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</si>
  <si>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</si>
  <si>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</si>
  <si>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</si>
  <si>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</si>
  <si>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</si>
  <si>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</si>
  <si>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</si>
  <si>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</si>
  <si>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</si>
  <si>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</si>
  <si>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</si>
  <si>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</si>
  <si>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</si>
  <si>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</si>
  <si>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</si>
  <si>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</si>
  <si>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</si>
  <si>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</si>
  <si>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</si>
  <si>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</si>
  <si>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</si>
  <si>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</si>
  <si>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</si>
  <si>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</si>
  <si>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</si>
  <si>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</si>
  <si>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</si>
  <si>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</si>
  <si>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</si>
  <si>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</si>
  <si>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</si>
  <si>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</si>
  <si>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</si>
  <si>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</si>
  <si>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</si>
  <si>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</si>
  <si>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</si>
  <si>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</si>
  <si>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</si>
  <si>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</si>
  <si>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</si>
  <si>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</si>
  <si>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</si>
  <si>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</si>
  <si>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</si>
  <si>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</si>
  <si>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</si>
  <si>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</si>
  <si>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</si>
  <si>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</si>
  <si>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</si>
  <si>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</si>
  <si>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</si>
  <si>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</si>
  <si>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</si>
  <si>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</si>
  <si>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</si>
  <si>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</si>
  <si>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</si>
  <si>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</si>
  <si>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</si>
  <si>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</si>
  <si>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</si>
  <si>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</si>
  <si>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</si>
  <si>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</si>
  <si>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</si>
  <si>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</si>
  <si>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</si>
  <si>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</si>
  <si>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</si>
  <si>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</si>
  <si>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</si>
  <si>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</si>
  <si>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</si>
  <si>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</si>
  <si>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</si>
  <si>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</si>
  <si>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</si>
  <si>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</si>
  <si>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</si>
  <si>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</si>
  <si>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</si>
  <si>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</si>
  <si>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</si>
  <si>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</si>
  <si>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</si>
  <si>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</si>
  <si>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</si>
  <si>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</si>
  <si>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</si>
  <si>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</si>
  <si>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</si>
  <si>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</si>
  <si>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</si>
  <si>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</si>
  <si>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</si>
  <si>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</si>
  <si>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</si>
  <si>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</si>
  <si>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</si>
  <si>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</si>
  <si>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</si>
  <si>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</si>
  <si>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</si>
  <si>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</si>
  <si>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</si>
  <si>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</si>
  <si>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</si>
  <si>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</si>
  <si>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</si>
  <si>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</si>
  <si>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</si>
  <si>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</si>
  <si>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</si>
  <si>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</si>
  <si>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</si>
  <si>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</si>
  <si>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</si>
  <si>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</si>
  <si>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</si>
  <si>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</si>
  <si>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</si>
  <si>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</si>
  <si>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</si>
  <si>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</si>
  <si>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</si>
  <si>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</si>
  <si>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</si>
  <si>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</si>
  <si>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</si>
  <si>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</si>
  <si>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</si>
  <si>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</si>
  <si>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</si>
  <si>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</si>
  <si>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</si>
  <si>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</si>
  <si>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</si>
  <si>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</si>
  <si>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</si>
  <si>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</si>
  <si>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</si>
  <si>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</si>
  <si>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</si>
  <si>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</si>
  <si>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</si>
  <si>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</si>
  <si>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</si>
  <si>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</si>
  <si>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</si>
  <si>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</si>
  <si>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</si>
  <si>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</si>
  <si>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</si>
  <si>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</si>
  <si>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</si>
  <si>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</si>
  <si>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</si>
  <si>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</si>
  <si>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</si>
  <si>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</si>
  <si>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</si>
  <si>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</si>
  <si>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</si>
  <si>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</si>
  <si>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</si>
  <si>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</si>
  <si>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</si>
  <si>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</si>
  <si>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</si>
  <si>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</si>
  <si>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</si>
  <si>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</si>
  <si>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</si>
  <si>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</si>
  <si>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</si>
  <si>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</si>
  <si>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</si>
  <si>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</si>
  <si>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</si>
  <si>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</si>
  <si>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</si>
  <si>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</si>
  <si>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</si>
  <si>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</si>
  <si>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</si>
  <si>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</si>
  <si>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</si>
  <si>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</si>
  <si>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</si>
  <si>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</si>
  <si>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</si>
  <si>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</si>
  <si>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</si>
  <si>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</si>
  <si>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</si>
  <si>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</si>
  <si>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</si>
  <si>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</si>
  <si>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</si>
  <si>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</si>
  <si>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</si>
  <si>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</si>
  <si>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</si>
  <si>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</si>
  <si>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</si>
  <si>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</si>
  <si>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</si>
  <si>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</si>
  <si>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</si>
  <si>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</si>
  <si>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</si>
  <si>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</si>
  <si>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</si>
  <si>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</si>
  <si>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</si>
  <si>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</si>
  <si>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</si>
  <si>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</si>
  <si>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</si>
  <si>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</si>
  <si>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</si>
  <si>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</si>
  <si>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</si>
  <si>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</si>
  <si>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</si>
  <si>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</si>
  <si>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</si>
  <si>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</si>
  <si>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</si>
  <si>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</si>
  <si>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</si>
  <si>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</si>
  <si>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</si>
  <si>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</si>
  <si>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</si>
  <si>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</si>
  <si>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</si>
  <si>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</si>
  <si>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</si>
  <si>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</si>
  <si>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</si>
  <si>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</si>
  <si>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</si>
  <si>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</si>
  <si>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</si>
  <si>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</si>
  <si>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</si>
  <si>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</si>
  <si>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</si>
  <si>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</si>
  <si>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</si>
  <si>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</si>
  <si>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</si>
  <si>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</si>
  <si>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</si>
  <si>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</si>
  <si>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</si>
  <si>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</si>
  <si>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</si>
  <si>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</si>
  <si>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</si>
  <si>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</si>
  <si>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</si>
  <si>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</si>
  <si>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</si>
  <si>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</si>
  <si>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</si>
  <si>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</si>
  <si>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</si>
  <si>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</si>
  <si>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</si>
  <si>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</si>
  <si>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</si>
  <si>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</si>
  <si>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</si>
  <si>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</si>
  <si>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</si>
  <si>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</si>
  <si>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</si>
  <si>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</si>
  <si>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</si>
  <si>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</si>
  <si>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</si>
  <si>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</si>
  <si>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</si>
  <si>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</si>
  <si>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</si>
  <si>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</si>
  <si>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</si>
  <si>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</si>
  <si>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</si>
  <si>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</si>
  <si>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</si>
  <si>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</si>
  <si>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</si>
  <si>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</si>
  <si>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</si>
  <si>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</si>
  <si>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</si>
  <si>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</si>
  <si>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</si>
  <si>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</si>
  <si>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</si>
  <si>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</si>
  <si>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</si>
  <si>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</si>
  <si>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</si>
  <si>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</si>
  <si>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</si>
  <si>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</si>
  <si>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</si>
  <si>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</si>
  <si>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</si>
  <si>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</si>
  <si>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</si>
  <si>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</si>
  <si>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</si>
  <si>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</si>
  <si>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</si>
  <si>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</si>
  <si>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</si>
  <si>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</si>
  <si>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</si>
  <si>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</si>
  <si>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</si>
  <si>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</si>
  <si>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</si>
  <si>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</si>
  <si>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</si>
  <si>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</si>
  <si>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</si>
  <si>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</si>
  <si>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</si>
  <si>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</si>
  <si>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</si>
  <si>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</si>
  <si>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</si>
  <si>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</si>
  <si>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</si>
  <si>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</si>
  <si>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</si>
  <si>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</si>
  <si>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</si>
  <si>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</si>
  <si>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</si>
  <si>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</si>
  <si>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</si>
  <si>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</si>
  <si>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</si>
  <si>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</si>
  <si>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</si>
  <si>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</si>
  <si>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</si>
  <si>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</si>
  <si>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</si>
  <si>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</si>
  <si>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</si>
  <si>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</si>
  <si>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</si>
  <si>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</si>
  <si>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</si>
  <si>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</si>
  <si>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</si>
  <si>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</si>
  <si>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</si>
  <si>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</si>
  <si>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</si>
  <si>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</si>
  <si>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</si>
  <si>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</si>
  <si>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</si>
  <si>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</si>
  <si>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</si>
  <si>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</si>
  <si>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</si>
  <si>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</si>
  <si>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</si>
  <si>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</si>
  <si>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</si>
  <si>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</si>
  <si>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</si>
  <si>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</si>
  <si>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</si>
  <si>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</si>
  <si>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</si>
  <si>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</si>
  <si>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</si>
  <si>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</si>
  <si>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</si>
  <si>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</si>
  <si>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</si>
  <si>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</si>
  <si>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</si>
  <si>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</si>
  <si>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</si>
  <si>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</si>
  <si>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</si>
  <si>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</si>
  <si>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</si>
  <si>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</si>
  <si>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</si>
  <si>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</si>
  <si>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</si>
  <si>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</si>
  <si>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</si>
  <si>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</si>
  <si>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</si>
  <si>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</si>
  <si>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</si>
  <si>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</si>
  <si>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</si>
  <si>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</si>
  <si>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</si>
  <si>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</si>
  <si>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</si>
  <si>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</si>
  <si>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</si>
  <si>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</si>
  <si>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</si>
  <si>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</si>
  <si>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</si>
  <si>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</si>
  <si>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</si>
  <si>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</si>
  <si>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</si>
  <si>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</si>
  <si>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</si>
  <si>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</si>
  <si>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</si>
  <si>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</si>
  <si>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</si>
  <si>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</si>
  <si>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</si>
  <si>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</si>
  <si>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</si>
  <si>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</si>
  <si>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</si>
  <si>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</si>
  <si>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500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</si>
  <si>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</si>
  <si>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</si>
  <si>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</si>
  <si>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</si>
  <si>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</si>
  <si>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</si>
  <si>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</si>
  <si>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</si>
  <si>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</si>
  <si>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</si>
  <si>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</si>
  <si>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</si>
  <si>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</si>
  <si>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</si>
  <si>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506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</si>
  <si>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</si>
  <si>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</si>
  <si>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</si>
  <si>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</si>
  <si>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</si>
  <si>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</si>
  <si>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</si>
  <si>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</si>
  <si>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</si>
  <si>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</si>
  <si>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</si>
  <si>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</si>
  <si>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</si>
  <si>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</si>
  <si>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</si>
  <si>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</si>
  <si>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</si>
  <si>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</si>
  <si>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</si>
  <si>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</si>
  <si>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</si>
  <si>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</si>
  <si>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</si>
  <si>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</si>
  <si>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</si>
  <si>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</si>
  <si>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</si>
  <si>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</si>
  <si>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</si>
  <si>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</si>
  <si>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</si>
  <si>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</si>
  <si>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</si>
  <si>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</si>
  <si>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</si>
  <si>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</si>
  <si>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</si>
  <si>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</si>
  <si>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</si>
  <si>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</si>
  <si>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</si>
  <si>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</si>
  <si>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</si>
  <si>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</si>
  <si>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</si>
  <si>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</si>
  <si>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</si>
  <si>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</si>
  <si>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</si>
  <si>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</si>
  <si>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</si>
  <si>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</si>
  <si>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</si>
  <si>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</si>
  <si>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</si>
  <si>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</si>
  <si>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</si>
  <si>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</si>
  <si>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</si>
  <si>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</si>
  <si>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</si>
  <si>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</si>
  <si>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</si>
  <si>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</si>
  <si>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</si>
  <si>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</si>
  <si>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</si>
  <si>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</si>
  <si>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</si>
  <si>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</si>
  <si>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</si>
  <si>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</si>
  <si>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</si>
  <si>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</si>
  <si>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</si>
  <si>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</si>
  <si>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</si>
  <si>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</si>
  <si>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</si>
  <si>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</si>
  <si>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</si>
  <si>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</si>
  <si>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</si>
  <si>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</si>
  <si>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</si>
  <si>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</si>
  <si>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</si>
  <si>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</si>
  <si>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</si>
  <si>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</si>
  <si>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</si>
  <si>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</si>
  <si>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</si>
  <si>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</si>
  <si>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</si>
  <si>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</si>
  <si>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</si>
  <si>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</si>
  <si>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</si>
  <si>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</si>
  <si>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</si>
  <si>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</si>
  <si>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</si>
  <si>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</si>
  <si>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</si>
  <si>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</si>
  <si>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</si>
  <si>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</si>
  <si>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</si>
  <si>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</si>
  <si>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</si>
  <si>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</si>
  <si>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</si>
  <si>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</si>
  <si>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</si>
  <si>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</si>
  <si>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</si>
  <si>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</si>
  <si>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</si>
  <si>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</si>
  <si>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</si>
  <si>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</si>
  <si>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</si>
  <si>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</si>
  <si>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</si>
  <si>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</si>
  <si>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</si>
  <si>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</si>
  <si>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</si>
  <si>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</si>
  <si>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</si>
  <si>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</si>
  <si>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</si>
  <si>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</si>
  <si>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</si>
  <si>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</si>
  <si>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</si>
  <si>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</si>
  <si>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</si>
  <si>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</si>
  <si>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</si>
  <si>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</si>
  <si>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</si>
  <si>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</si>
  <si>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</si>
  <si>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</si>
  <si>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</si>
  <si>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</si>
  <si>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</si>
  <si>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</si>
  <si>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</si>
  <si>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</si>
  <si>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</si>
  <si>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</si>
  <si>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</si>
  <si>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</si>
  <si>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</si>
  <si>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</si>
  <si>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</si>
  <si>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</si>
  <si>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</si>
  <si>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</si>
  <si>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</si>
  <si>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</si>
  <si>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</si>
  <si>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</si>
  <si>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</si>
  <si>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</si>
  <si>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</si>
  <si>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</si>
  <si>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</si>
  <si>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</si>
  <si>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</si>
  <si>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</si>
  <si>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</si>
  <si>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</si>
  <si>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</si>
  <si>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</si>
  <si>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</si>
  <si>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</si>
  <si>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</si>
  <si>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</si>
  <si>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</si>
  <si>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</si>
  <si>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</si>
  <si>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</si>
  <si>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</si>
  <si>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</si>
  <si>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</si>
  <si>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11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</si>
  <si>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</si>
  <si>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</si>
  <si>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</si>
  <si>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</si>
  <si>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</si>
  <si>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</si>
  <si>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</si>
  <si>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</si>
  <si>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</si>
  <si>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</si>
  <si>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</si>
  <si>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</si>
  <si>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</si>
  <si>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</si>
  <si>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</si>
  <si>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</si>
  <si>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</si>
  <si>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</si>
  <si>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</si>
  <si>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</si>
  <si>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</si>
  <si>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</si>
  <si>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</si>
  <si>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</si>
  <si>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</si>
  <si>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</si>
  <si>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</si>
  <si>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</si>
  <si>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</si>
  <si>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</si>
  <si>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</si>
  <si>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</si>
  <si>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</si>
  <si>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</si>
  <si>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</si>
  <si>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</si>
  <si>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</si>
  <si>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17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</si>
  <si>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</si>
  <si>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</si>
  <si>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</si>
  <si>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</si>
  <si>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</si>
  <si>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</si>
  <si>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</si>
  <si>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</si>
  <si>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</si>
  <si>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</si>
  <si>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</si>
  <si>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</si>
  <si>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</si>
  <si>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</si>
  <si>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</si>
  <si>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</si>
  <si>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</si>
  <si>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</si>
  <si>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</si>
  <si>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</si>
  <si>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</si>
  <si>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</si>
  <si>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</si>
  <si>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</si>
  <si>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</si>
  <si>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</si>
  <si>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</si>
  <si>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</si>
  <si>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</si>
  <si>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</si>
  <si>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</si>
  <si>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</si>
  <si>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</si>
  <si>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</si>
  <si>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</si>
  <si>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</si>
  <si>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</si>
  <si>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</si>
  <si>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</si>
  <si>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</si>
  <si>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</si>
  <si>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</si>
  <si>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</si>
  <si>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</si>
  <si>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</si>
  <si>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</si>
  <si>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</si>
  <si>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</si>
  <si>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</si>
  <si>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</si>
  <si>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</si>
  <si>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</si>
  <si>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</si>
  <si>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</si>
  <si>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</si>
  <si>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</si>
  <si>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</si>
  <si>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</si>
  <si>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</si>
  <si>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</si>
  <si>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</si>
  <si>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</si>
  <si>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</si>
  <si>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</si>
  <si>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</si>
  <si>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</si>
  <si>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</si>
  <si>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</si>
  <si>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</si>
  <si>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</si>
  <si>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</si>
  <si>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</si>
  <si>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</si>
  <si>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</si>
  <si>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</si>
  <si>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</si>
  <si>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</si>
  <si>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</si>
  <si>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</si>
  <si>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</si>
  <si>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</si>
  <si>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</si>
  <si>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</si>
  <si>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</si>
  <si>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</si>
  <si>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</si>
  <si>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</si>
  <si>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</si>
  <si>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</si>
  <si>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</si>
  <si>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</si>
  <si>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</si>
  <si>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</si>
  <si>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</si>
  <si>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</si>
  <si>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</si>
  <si>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</si>
  <si>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</si>
  <si>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</si>
  <si>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</si>
  <si>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</si>
  <si>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</si>
  <si>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</si>
  <si>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</si>
  <si>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</si>
  <si>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</si>
  <si>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</si>
  <si>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</si>
  <si>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</si>
  <si>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</si>
  <si>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</si>
  <si>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</si>
  <si>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</si>
  <si>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</si>
  <si>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</si>
  <si>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</si>
  <si>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</si>
  <si>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</si>
  <si>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</si>
  <si>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</si>
  <si>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</si>
  <si>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</si>
  <si>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</si>
  <si>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</si>
  <si>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</si>
  <si>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</si>
  <si>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</si>
  <si>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</si>
  <si>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</si>
  <si>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</si>
  <si>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</si>
  <si>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</si>
  <si>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</si>
  <si>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</si>
  <si>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</si>
  <si>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</si>
  <si>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</si>
  <si>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</si>
  <si>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</si>
  <si>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</si>
  <si>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</si>
  <si>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</si>
  <si>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</si>
  <si>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</si>
  <si>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</si>
  <si>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</si>
  <si>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</si>
  <si>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</si>
  <si>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</si>
  <si>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</si>
  <si>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</si>
  <si>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</si>
  <si>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</si>
  <si>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</si>
  <si>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</si>
  <si>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</si>
  <si>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</si>
  <si>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</si>
  <si>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</si>
  <si>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</si>
  <si>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</si>
  <si>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</si>
  <si>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</si>
  <si>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</si>
  <si>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</si>
  <si>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</si>
  <si>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</si>
  <si>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</si>
  <si>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</si>
  <si>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</si>
  <si>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</si>
  <si>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</si>
  <si>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</si>
  <si>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</si>
  <si>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</si>
  <si>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</si>
  <si>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</si>
  <si>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</si>
  <si>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</si>
  <si>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</si>
  <si>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</si>
  <si>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</si>
  <si>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</si>
  <si>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</si>
  <si>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</si>
  <si>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</si>
  <si>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</si>
  <si>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</si>
  <si>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</si>
  <si>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</si>
  <si>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</si>
  <si>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</si>
  <si>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</si>
  <si>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</si>
  <si>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</si>
  <si>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</si>
  <si>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</si>
  <si>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</si>
  <si>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</si>
  <si>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</si>
  <si>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</si>
  <si>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</si>
  <si>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</si>
  <si>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</si>
  <si>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</si>
  <si>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</si>
  <si>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</si>
  <si>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</si>
  <si>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</si>
  <si>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</si>
  <si>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</si>
  <si>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</si>
  <si>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</si>
  <si>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</si>
  <si>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</si>
  <si>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</si>
  <si>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</si>
  <si>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</si>
  <si>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</si>
  <si>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</si>
  <si>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</si>
  <si>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</si>
  <si>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</si>
  <si>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</si>
  <si>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</si>
  <si>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</si>
  <si>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</si>
  <si>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</si>
  <si>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</si>
  <si>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</si>
  <si>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</si>
  <si>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</si>
  <si>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</si>
  <si>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</si>
  <si>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</si>
  <si>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</si>
  <si>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</si>
  <si>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</si>
  <si>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</si>
  <si>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</si>
  <si>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</si>
  <si>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</si>
  <si>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</si>
  <si>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</si>
  <si>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</si>
  <si>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</si>
  <si>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</si>
  <si>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</si>
  <si>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</si>
  <si>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</si>
  <si>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</si>
  <si>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</si>
  <si>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</si>
  <si>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</si>
  <si>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</si>
  <si>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</si>
  <si>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</si>
  <si>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</si>
  <si>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</si>
  <si>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</si>
  <si>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</si>
  <si>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</si>
  <si>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</si>
  <si>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</si>
  <si>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</si>
  <si>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</si>
  <si>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</si>
  <si>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</si>
  <si>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</si>
  <si>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</si>
  <si>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</si>
  <si>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</si>
  <si>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</si>
  <si>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</si>
  <si>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</si>
  <si>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</si>
  <si>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</si>
  <si>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</si>
  <si>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</si>
  <si>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</si>
  <si>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</si>
  <si>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</si>
  <si>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</si>
  <si>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</si>
  <si>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</si>
  <si>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</si>
  <si>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</si>
  <si>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</si>
  <si>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</si>
  <si>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</si>
  <si>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</si>
  <si>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</si>
  <si>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</si>
  <si>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</si>
  <si>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</si>
  <si>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</si>
  <si>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</si>
  <si>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</si>
  <si>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</si>
  <si>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</si>
  <si>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</si>
  <si>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</si>
  <si>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</si>
  <si>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</si>
  <si>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</si>
  <si>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</si>
  <si>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</si>
  <si>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</si>
  <si>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</si>
  <si>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</si>
  <si>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</si>
  <si>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</si>
  <si>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</si>
  <si>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</si>
  <si>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</si>
  <si>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</si>
  <si>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</si>
  <si>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</si>
  <si>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</si>
  <si>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</si>
  <si>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</si>
  <si>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</si>
  <si>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</si>
  <si>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</si>
  <si>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</si>
  <si>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</si>
  <si>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</si>
  <si>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</si>
  <si>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</si>
  <si>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</si>
  <si>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</si>
  <si>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</si>
  <si>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</si>
  <si>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</si>
  <si>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</si>
  <si>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</si>
  <si>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</si>
  <si>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</si>
  <si>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</si>
  <si>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</si>
  <si>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</si>
  <si>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</si>
  <si>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</si>
  <si>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</si>
  <si>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</si>
  <si>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</si>
  <si>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</si>
  <si>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</si>
  <si>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</si>
  <si>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</si>
  <si>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</si>
  <si>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</si>
  <si>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</si>
  <si>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</si>
  <si>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</si>
  <si>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</si>
  <si>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</si>
  <si>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</si>
  <si>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</si>
  <si>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</si>
  <si>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</si>
  <si>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</si>
  <si>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</si>
  <si>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</si>
  <si>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</si>
  <si>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</si>
  <si>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</si>
  <si>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</si>
  <si>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</si>
  <si>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</si>
  <si>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</si>
  <si>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</si>
  <si>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</si>
  <si>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</si>
  <si>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</si>
  <si>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</si>
  <si>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</si>
  <si>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</si>
  <si>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</si>
  <si>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</si>
  <si>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</si>
  <si>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</si>
  <si>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</si>
  <si>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</si>
  <si>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</si>
  <si>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</si>
  <si>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</si>
  <si>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</si>
  <si>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</si>
  <si>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</si>
  <si>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</si>
  <si>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</si>
  <si>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</si>
  <si>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</si>
  <si>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400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</si>
  <si>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</si>
  <si>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</si>
  <si>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</si>
  <si>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</si>
  <si>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</si>
  <si>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</si>
  <si>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</si>
  <si>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</si>
  <si>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</si>
  <si>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</si>
  <si>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</si>
  <si>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</si>
  <si>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</si>
  <si>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</si>
  <si>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</si>
  <si>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</si>
  <si>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</si>
  <si>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</si>
  <si>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</si>
  <si>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</si>
  <si>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</si>
  <si>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</si>
  <si>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</si>
  <si>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</si>
  <si>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</si>
  <si>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</si>
  <si>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</si>
  <si>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</si>
  <si>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</si>
  <si>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</si>
  <si>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407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</si>
  <si>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</si>
  <si>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</si>
  <si>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</si>
  <si>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</si>
  <si>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</si>
  <si>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</si>
  <si>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</si>
  <si>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</si>
  <si>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</si>
  <si>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</si>
  <si>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</si>
  <si>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</si>
  <si>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</si>
  <si>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</si>
  <si>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</si>
  <si>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</si>
  <si>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</si>
  <si>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</si>
  <si>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</si>
  <si>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</si>
  <si>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</si>
  <si>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</si>
  <si>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</si>
  <si>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</si>
  <si>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</si>
  <si>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</si>
  <si>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</si>
  <si>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</si>
  <si>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</si>
  <si>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</si>
  <si>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</si>
  <si>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</si>
  <si>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</si>
  <si>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</si>
  <si>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</si>
  <si>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</si>
  <si>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600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</si>
  <si>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</si>
  <si>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</si>
  <si>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</si>
  <si>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</si>
  <si>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</si>
  <si>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</si>
  <si>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</si>
  <si>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</si>
  <si>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</si>
  <si>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</si>
  <si>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</si>
  <si>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</si>
  <si>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</si>
  <si>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</si>
  <si>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</si>
  <si>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</si>
  <si>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</si>
  <si>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</si>
  <si>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</si>
  <si>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</si>
  <si>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</si>
  <si>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</si>
  <si>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</si>
  <si>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</si>
  <si>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</si>
  <si>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</si>
  <si>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</si>
  <si>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</si>
  <si>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</si>
  <si>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</si>
  <si>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</si>
  <si>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</si>
  <si>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</si>
  <si>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</si>
  <si>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</si>
  <si>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</si>
  <si>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700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</si>
  <si>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</si>
  <si>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</si>
  <si>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</si>
  <si>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</si>
  <si>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</si>
  <si>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</si>
  <si>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</si>
  <si>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</si>
  <si>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</si>
  <si>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</si>
  <si>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</si>
  <si>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</si>
  <si>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</si>
  <si>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</si>
  <si>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</si>
  <si>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</si>
  <si>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</si>
  <si>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</si>
  <si>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</si>
  <si>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</si>
  <si>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</si>
  <si>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</si>
  <si>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</si>
  <si>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</si>
  <si>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</si>
  <si>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</si>
  <si>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</si>
  <si>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</si>
  <si>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</si>
  <si>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</si>
  <si>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</si>
  <si>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</si>
  <si>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</si>
  <si>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</si>
  <si>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</si>
  <si>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</si>
  <si>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</si>
  <si>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</si>
  <si>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</si>
  <si>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</si>
  <si>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</si>
  <si>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</si>
  <si>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</si>
  <si>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</si>
  <si>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</si>
  <si>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</si>
  <si>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</si>
  <si>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</si>
  <si>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</si>
  <si>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</si>
  <si>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</si>
  <si>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</si>
  <si>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</si>
  <si>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</si>
  <si>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</si>
  <si>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</si>
  <si>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</si>
  <si>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</si>
  <si>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</si>
  <si>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</si>
  <si>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</si>
  <si>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</si>
  <si>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</si>
  <si>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</si>
  <si>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</si>
  <si>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</si>
  <si>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</si>
  <si>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</si>
  <si>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</si>
  <si>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</si>
  <si>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</si>
  <si>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</si>
  <si>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</si>
  <si>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</si>
  <si>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</si>
  <si>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</si>
  <si>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</si>
  <si>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</si>
  <si>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</si>
  <si>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</si>
  <si>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</si>
  <si>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</si>
  <si>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</si>
  <si>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</si>
  <si>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</si>
  <si>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</si>
  <si>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</si>
  <si>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</si>
  <si>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</si>
  <si>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</si>
  <si>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</si>
  <si>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</si>
  <si>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</si>
  <si>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</si>
  <si>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</si>
  <si>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</si>
  <si>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</si>
  <si>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</si>
  <si>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</si>
  <si>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</si>
  <si>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</si>
  <si>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</si>
  <si>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</si>
  <si>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</si>
  <si>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</si>
  <si>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</si>
  <si>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</si>
  <si>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</si>
  <si>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</si>
  <si>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</si>
  <si>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</si>
  <si>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</si>
  <si>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</si>
  <si>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</si>
  <si>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</si>
  <si>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</si>
  <si>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</si>
  <si>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</si>
  <si>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</si>
  <si>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</si>
  <si>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</si>
  <si>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</si>
  <si>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</si>
  <si>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</si>
  <si>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</si>
  <si>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</si>
  <si>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</si>
  <si>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</si>
  <si>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</si>
  <si>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</si>
  <si>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</si>
  <si>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</si>
  <si>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</si>
  <si>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</si>
  <si>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</si>
  <si>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</si>
  <si>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</si>
  <si>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</si>
  <si>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</si>
  <si>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</si>
  <si>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</si>
  <si>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</si>
  <si>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</si>
  <si>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</si>
  <si>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</si>
  <si>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</si>
  <si>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</si>
  <si>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</si>
  <si>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</si>
  <si>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</si>
  <si>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</si>
  <si>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</si>
  <si>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</si>
  <si>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</si>
  <si>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</si>
  <si>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</si>
  <si>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</si>
  <si>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</si>
  <si>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</si>
  <si>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</si>
  <si>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</si>
  <si>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</si>
  <si>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</si>
  <si>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</si>
  <si>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</si>
  <si>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</si>
  <si>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</si>
  <si>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</si>
  <si>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</si>
  <si>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</si>
  <si>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</si>
  <si>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</si>
  <si>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</si>
  <si>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</si>
  <si>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</si>
  <si>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</si>
  <si>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</si>
  <si>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</si>
  <si>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</si>
  <si>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</si>
  <si>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</si>
  <si>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</si>
  <si>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</si>
  <si>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</si>
  <si>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</si>
  <si>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</si>
  <si>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</si>
  <si>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</si>
  <si>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</si>
  <si>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</si>
  <si>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</si>
  <si>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</si>
  <si>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</si>
  <si>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</si>
  <si>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</si>
  <si>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</si>
  <si>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</si>
  <si>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</si>
  <si>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</si>
  <si>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</si>
  <si>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</si>
  <si>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</si>
  <si>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</si>
  <si>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</si>
  <si>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</si>
  <si>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</si>
  <si>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</si>
  <si>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</si>
  <si>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</si>
  <si>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</si>
  <si>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</si>
  <si>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</si>
  <si>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</si>
  <si>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</si>
  <si>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</si>
  <si>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</si>
  <si>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</si>
  <si>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</si>
  <si>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</si>
  <si>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</si>
  <si>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</si>
  <si>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</si>
  <si>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</si>
  <si>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</si>
  <si>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</si>
  <si>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</si>
  <si>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</si>
  <si>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</si>
  <si>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</si>
  <si>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</si>
  <si>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</si>
  <si>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</si>
  <si>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</si>
  <si>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</si>
  <si>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</si>
  <si>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</si>
  <si>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</si>
  <si>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</si>
  <si>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</si>
  <si>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</si>
  <si>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</si>
  <si>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</si>
  <si>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</si>
  <si>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</si>
  <si>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</si>
  <si>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</si>
  <si>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</si>
  <si>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</si>
  <si>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</si>
  <si>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</si>
  <si>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</si>
  <si>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</si>
  <si>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</si>
  <si>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</si>
  <si>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</si>
  <si>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</si>
  <si>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</si>
  <si>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</si>
  <si>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</si>
  <si>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</si>
  <si>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</si>
  <si>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</si>
  <si>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</si>
  <si>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</si>
  <si>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</si>
  <si>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</si>
  <si>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</si>
  <si>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</si>
  <si>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</si>
  <si>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</si>
  <si>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</si>
  <si>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</si>
  <si>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</si>
  <si>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</si>
  <si>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</si>
  <si>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</si>
  <si>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</si>
  <si>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</si>
  <si>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</si>
  <si>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</si>
  <si>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</si>
  <si>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</si>
  <si>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</si>
  <si>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</si>
  <si>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</si>
  <si>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</si>
  <si>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</si>
  <si>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</si>
  <si>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</si>
  <si>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</si>
  <si>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</si>
  <si>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</si>
  <si>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</si>
  <si>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</si>
  <si>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</si>
  <si>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</si>
  <si>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</si>
  <si>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</si>
  <si>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</si>
  <si>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</si>
  <si>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</si>
  <si>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</si>
  <si>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</si>
  <si>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</si>
  <si>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</si>
  <si>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</si>
  <si>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</si>
  <si>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</si>
  <si>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</si>
  <si>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</si>
  <si>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</si>
  <si>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</si>
  <si>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</si>
  <si>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</si>
  <si>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</si>
  <si>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</si>
  <si>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</si>
  <si>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</si>
  <si>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</si>
  <si>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</si>
  <si>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</si>
  <si>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</si>
  <si>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</si>
  <si>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</si>
  <si>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</si>
  <si>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</si>
  <si>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</si>
  <si>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</si>
  <si>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</si>
  <si>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</si>
  <si>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</si>
  <si>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</si>
  <si>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</si>
  <si>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</si>
  <si>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</si>
  <si>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</si>
  <si>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</si>
  <si>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</si>
  <si>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</si>
  <si>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</si>
  <si>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</si>
  <si>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</si>
  <si>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</si>
  <si>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</si>
  <si>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</si>
  <si>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</si>
  <si>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</si>
  <si>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</si>
  <si>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</si>
  <si>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</si>
  <si>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</si>
  <si>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</si>
  <si>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</si>
  <si>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</si>
  <si>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</si>
  <si>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</si>
  <si>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</si>
  <si>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</si>
  <si>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</si>
  <si>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</si>
  <si>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</si>
  <si>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</si>
  <si>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</si>
  <si>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</si>
  <si>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</si>
  <si>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</si>
  <si>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</si>
  <si>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</si>
  <si>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</si>
  <si>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</si>
  <si>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</si>
  <si>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</si>
  <si>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</si>
  <si>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</si>
  <si>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</si>
  <si>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</si>
  <si>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</si>
  <si>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</si>
  <si>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</si>
  <si>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</si>
  <si>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</si>
  <si>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</si>
  <si>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</si>
  <si>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</si>
  <si>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</si>
  <si>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</si>
  <si>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</si>
  <si>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</si>
  <si>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</si>
  <si>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</si>
  <si>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</si>
  <si>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</si>
  <si>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</si>
  <si>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</si>
  <si>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</si>
  <si>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</si>
  <si>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</si>
  <si>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</si>
  <si>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</si>
  <si>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</si>
  <si>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</si>
  <si>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</si>
  <si>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</si>
  <si>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</si>
  <si>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</si>
  <si>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</si>
  <si>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</si>
  <si>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</si>
  <si>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</si>
  <si>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</si>
  <si>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</si>
  <si>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</si>
  <si>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</si>
  <si>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</si>
  <si>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</si>
  <si>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</si>
  <si>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</si>
  <si>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</si>
  <si>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</si>
  <si>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</si>
  <si>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</si>
  <si>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</si>
  <si>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</si>
  <si>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</si>
  <si>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</si>
  <si>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</si>
  <si>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</si>
  <si>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</si>
  <si>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</si>
  <si>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</si>
  <si>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</si>
  <si>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</si>
  <si>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</si>
  <si>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</si>
  <si>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</si>
  <si>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</si>
  <si>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</si>
  <si>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</si>
  <si>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</si>
  <si>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</si>
  <si>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</si>
  <si>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</si>
  <si>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</si>
  <si>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</si>
  <si>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</si>
  <si>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</si>
  <si>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</si>
  <si>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</si>
  <si>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</si>
  <si>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</si>
  <si>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</si>
  <si>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</si>
  <si>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</si>
  <si>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</si>
  <si>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</si>
  <si>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</si>
  <si>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</si>
  <si>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</si>
  <si>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</si>
  <si>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</si>
  <si>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</si>
  <si>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</si>
  <si>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</si>
  <si>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</si>
  <si>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</si>
  <si>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</si>
  <si>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</si>
  <si>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</si>
  <si>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</si>
  <si>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</si>
  <si>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</si>
  <si>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</si>
  <si>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</si>
  <si>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</si>
  <si>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</si>
  <si>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</si>
  <si>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</si>
  <si>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</si>
  <si>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</si>
  <si>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</si>
  <si>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</si>
  <si>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</si>
  <si>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</si>
  <si>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</si>
  <si>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</si>
  <si>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</si>
  <si>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</si>
  <si>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</si>
  <si>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</si>
  <si>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</si>
  <si>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</si>
  <si>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</si>
  <si>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</si>
  <si>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</si>
  <si>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</si>
  <si>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</si>
  <si>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</si>
  <si>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</si>
  <si>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</si>
  <si>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</si>
  <si>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</si>
  <si>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</si>
  <si>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</si>
  <si>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</si>
  <si>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</si>
  <si>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</si>
  <si>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</si>
  <si>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</si>
  <si>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</si>
  <si>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</si>
  <si>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</si>
  <si>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</si>
  <si>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</si>
  <si>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</si>
  <si>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</si>
  <si>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</si>
  <si>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</si>
  <si>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</si>
  <si>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</si>
  <si>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</si>
  <si>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</si>
  <si>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</si>
  <si>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</si>
  <si>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</si>
  <si>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</si>
  <si>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</si>
  <si>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</si>
  <si>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</si>
  <si>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</si>
  <si>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</si>
  <si>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</si>
  <si>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</si>
  <si>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</si>
  <si>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</si>
  <si>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</si>
  <si>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</si>
  <si>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</si>
  <si>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</si>
  <si>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</si>
  <si>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</si>
  <si>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</si>
  <si>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</si>
  <si>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</si>
  <si>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</si>
  <si>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</si>
  <si>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学校法人　石田学園　山王幼稚園</t>
  </si>
  <si>
    <t>サンノウ</t>
  </si>
  <si>
    <t>812-0015</t>
  </si>
  <si>
    <t>福岡県福岡市博多区山王１－５－３６</t>
  </si>
  <si>
    <t>092-441-2800</t>
  </si>
  <si>
    <t>092-472-1390</t>
  </si>
  <si>
    <t>30021</t>
  </si>
  <si>
    <t>2024/04/26 13:56:19</t>
  </si>
  <si>
    <t>3801</t>
  </si>
  <si>
    <t>山王幼稚園　（別注）</t>
  </si>
  <si>
    <t>2024/06/18 13:17:36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</si>
  <si>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</si>
  <si>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</si>
  <si>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</si>
  <si>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</si>
  <si>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</si>
  <si>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</si>
  <si>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</si>
  <si>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</si>
  <si>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</si>
  <si>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</si>
  <si>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</si>
  <si>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</si>
  <si>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</si>
  <si>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</si>
  <si>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</si>
  <si>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</si>
  <si>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</si>
  <si>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</si>
  <si>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</si>
  <si>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</si>
  <si>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</si>
  <si>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</si>
  <si>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</si>
  <si>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</si>
  <si>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</si>
  <si>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</si>
  <si>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</si>
  <si>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</si>
  <si>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</si>
  <si>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</si>
  <si>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</si>
  <si>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</si>
  <si>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</si>
  <si>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</si>
  <si>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</si>
  <si>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コバト</t>
  </si>
  <si>
    <t>福岡県春日市岡本１－８６</t>
  </si>
  <si>
    <t>092-581-5905</t>
  </si>
  <si>
    <t>092-581-5771</t>
  </si>
  <si>
    <t>2023/04/22 11:04:23</t>
  </si>
  <si>
    <t>4001</t>
  </si>
  <si>
    <t>春日小鳩幼稚園（別注）</t>
  </si>
  <si>
    <t>2021/06/21 11:56:04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</si>
  <si>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</si>
  <si>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</si>
  <si>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</si>
  <si>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</si>
  <si>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</si>
  <si>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</si>
  <si>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</si>
  <si>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</si>
  <si>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</si>
  <si>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</si>
  <si>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</si>
  <si>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</si>
  <si>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</si>
  <si>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</si>
  <si>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</si>
  <si>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</si>
  <si>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</si>
  <si>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</si>
  <si>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</si>
  <si>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</si>
  <si>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</si>
  <si>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</si>
  <si>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</si>
  <si>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</si>
  <si>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</si>
  <si>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</si>
  <si>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</si>
  <si>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</si>
  <si>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</si>
  <si>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</si>
  <si>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</si>
  <si>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</si>
  <si>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</si>
  <si>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</si>
  <si>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</si>
  <si>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</si>
  <si>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</si>
  <si>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</si>
  <si>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</si>
  <si>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</si>
  <si>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</si>
  <si>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</si>
  <si>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</si>
  <si>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</si>
  <si>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</si>
  <si>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</si>
  <si>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</si>
  <si>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</si>
  <si>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</si>
  <si>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</si>
  <si>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</si>
  <si>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</si>
  <si>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</si>
  <si>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</si>
  <si>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</si>
  <si>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</si>
  <si>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</si>
  <si>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</si>
  <si>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</si>
  <si>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</si>
  <si>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</si>
  <si>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</si>
  <si>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</si>
  <si>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</si>
  <si>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</si>
  <si>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</si>
  <si>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</si>
  <si>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</si>
  <si>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</si>
  <si>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</si>
  <si>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</si>
  <si>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</si>
  <si>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</si>
  <si>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</si>
  <si>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</si>
  <si>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</si>
  <si>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</si>
  <si>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</si>
  <si>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</si>
  <si>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</si>
  <si>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</si>
  <si>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</si>
  <si>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</si>
  <si>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</si>
  <si>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</si>
  <si>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</si>
  <si>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</si>
  <si>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</si>
  <si>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</si>
  <si>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</si>
  <si>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</si>
  <si>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</si>
  <si>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</si>
  <si>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</si>
  <si>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</si>
  <si>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</si>
  <si>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</si>
  <si>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</si>
  <si>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</si>
  <si>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</si>
  <si>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</si>
  <si>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</si>
  <si>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</si>
  <si>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</si>
  <si>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</si>
  <si>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</si>
  <si>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</si>
  <si>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</si>
  <si>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</si>
  <si>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</si>
  <si>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</si>
  <si>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</si>
  <si>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</si>
  <si>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</si>
  <si>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</si>
  <si>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</si>
  <si>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</si>
  <si>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</si>
  <si>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</si>
  <si>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</si>
  <si>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</si>
  <si>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</si>
  <si>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</si>
  <si>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</si>
  <si>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</si>
  <si>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</si>
  <si>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</si>
  <si>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</si>
  <si>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</si>
  <si>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</si>
  <si>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</si>
  <si>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</si>
  <si>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</si>
  <si>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</si>
  <si>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</si>
  <si>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</si>
  <si>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</si>
  <si>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ｶﾅﾔﾏﾖｳﾁｴﾝｶﾅﾔﾏ</t>
  </si>
  <si>
    <t>814-0114</t>
  </si>
  <si>
    <t>福岡市城南区金山団地23-1</t>
  </si>
  <si>
    <t>092-871-1463</t>
  </si>
  <si>
    <t>092-871-2900</t>
  </si>
  <si>
    <t>2023/04/22 11:02:04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</si>
  <si>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</si>
  <si>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</si>
  <si>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</si>
  <si>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</si>
  <si>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</si>
  <si>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</si>
  <si>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</si>
  <si>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</si>
  <si>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</si>
  <si>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</si>
  <si>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</si>
  <si>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</si>
  <si>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</si>
  <si>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</si>
  <si>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</si>
  <si>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</si>
  <si>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</si>
  <si>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</si>
  <si>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</si>
  <si>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</si>
  <si>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</si>
  <si>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</si>
  <si>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</si>
  <si>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</si>
  <si>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</si>
  <si>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</si>
  <si>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</si>
  <si>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</si>
  <si>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</si>
  <si>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</si>
  <si>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</si>
  <si>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</si>
  <si>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</si>
  <si>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</si>
  <si>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</si>
  <si>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</si>
  <si>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</si>
  <si>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</si>
  <si>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</si>
  <si>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</si>
  <si>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</si>
  <si>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</si>
  <si>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</si>
  <si>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</si>
  <si>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</si>
  <si>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</si>
  <si>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</si>
  <si>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</si>
  <si>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</si>
  <si>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</si>
  <si>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</si>
  <si>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</si>
  <si>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</si>
  <si>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</si>
  <si>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</si>
  <si>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</si>
  <si>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</si>
  <si>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</si>
  <si>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</si>
  <si>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</si>
  <si>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</si>
  <si>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</si>
  <si>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</si>
  <si>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</si>
  <si>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</si>
  <si>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</si>
  <si>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</si>
  <si>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</si>
  <si>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</si>
  <si>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</si>
  <si>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</si>
  <si>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</si>
  <si>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</si>
  <si>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</si>
  <si>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</si>
  <si>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</si>
  <si>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</si>
  <si>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</si>
  <si>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</si>
  <si>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</si>
  <si>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</si>
  <si>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</si>
  <si>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</si>
  <si>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</si>
  <si>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</si>
  <si>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</si>
  <si>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</si>
  <si>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</si>
  <si>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</si>
  <si>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</si>
  <si>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</si>
  <si>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</si>
  <si>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</si>
  <si>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</si>
  <si>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</si>
  <si>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</si>
  <si>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</si>
  <si>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</si>
  <si>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</si>
  <si>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</si>
  <si>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</si>
  <si>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</si>
  <si>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</si>
  <si>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</si>
  <si>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</si>
  <si>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</si>
  <si>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</si>
  <si>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</si>
  <si>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</si>
  <si>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</si>
  <si>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</si>
  <si>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</si>
  <si>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</si>
  <si>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</si>
  <si>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</si>
  <si>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</si>
  <si>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</si>
  <si>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</si>
  <si>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</si>
  <si>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</si>
  <si>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</si>
  <si>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</si>
  <si>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</si>
  <si>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</si>
  <si>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</si>
  <si>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</si>
  <si>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</si>
  <si>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</si>
  <si>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</si>
  <si>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</si>
  <si>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</si>
  <si>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</si>
  <si>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</si>
  <si>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</si>
  <si>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</si>
  <si>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</si>
  <si>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</si>
  <si>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</si>
  <si>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</si>
  <si>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</si>
  <si>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</si>
  <si>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</si>
  <si>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</si>
  <si>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</si>
  <si>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</si>
  <si>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</si>
  <si>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</si>
  <si>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</si>
  <si>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</si>
  <si>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</si>
  <si>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</si>
  <si>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</si>
  <si>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</si>
  <si>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</si>
  <si>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</si>
  <si>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</si>
  <si>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</si>
  <si>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</si>
  <si>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</si>
  <si>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</si>
  <si>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</si>
  <si>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</si>
  <si>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</si>
  <si>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</si>
  <si>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</si>
  <si>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</si>
  <si>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</si>
  <si>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</si>
  <si>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</si>
  <si>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</si>
  <si>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</si>
  <si>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</si>
  <si>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</si>
  <si>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</si>
  <si>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</si>
  <si>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</si>
  <si>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</si>
  <si>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</si>
  <si>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</si>
  <si>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</si>
  <si>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</si>
  <si>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</si>
  <si>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</si>
  <si>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</si>
  <si>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</si>
  <si>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</si>
  <si>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</si>
  <si>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</si>
  <si>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</si>
  <si>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</si>
  <si>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</si>
  <si>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</si>
  <si>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</si>
  <si>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</si>
  <si>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</si>
  <si>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</si>
  <si>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</si>
  <si>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</si>
  <si>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</si>
  <si>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</si>
  <si>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</si>
  <si>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</si>
  <si>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</si>
  <si>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</si>
  <si>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</si>
  <si>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</si>
  <si>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</si>
  <si>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</si>
  <si>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</si>
  <si>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</si>
  <si>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</si>
  <si>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</si>
  <si>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</si>
  <si>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</si>
  <si>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</si>
  <si>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</si>
  <si>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</si>
  <si>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</si>
  <si>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</si>
  <si>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</si>
  <si>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</si>
  <si>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</si>
  <si>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</si>
  <si>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</si>
  <si>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</si>
  <si>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</si>
  <si>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</si>
  <si>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</si>
  <si>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</si>
  <si>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</si>
  <si>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</si>
  <si>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</si>
  <si>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</si>
  <si>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</si>
  <si>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</si>
  <si>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</si>
  <si>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7020</t>
  </si>
  <si>
    <t>株式会社　バディスポーツ</t>
  </si>
  <si>
    <t>ﾊﾞﾃﾞｨｽﾎﾟｰﾂ</t>
  </si>
  <si>
    <t>バディスポーツ</t>
  </si>
  <si>
    <t>2024/07/18 13:13:04</t>
  </si>
  <si>
    <t>7100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</si>
  <si>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</si>
  <si>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</si>
  <si>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</si>
  <si>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</si>
  <si>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</si>
  <si>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</si>
  <si>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</si>
  <si>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</si>
  <si>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</si>
  <si>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</si>
  <si>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</si>
  <si>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</si>
  <si>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</si>
  <si>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</si>
  <si>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</si>
  <si>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</si>
  <si>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</si>
  <si>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</si>
  <si>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</si>
  <si>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</si>
  <si>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</si>
  <si>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</si>
  <si>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</si>
  <si>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</si>
  <si>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</si>
  <si>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</si>
  <si>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</si>
  <si>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</si>
  <si>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</si>
  <si>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</si>
  <si>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</si>
  <si>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</si>
  <si>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</si>
  <si>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</si>
  <si>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</si>
  <si>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</si>
  <si>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</si>
  <si>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</si>
  <si>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</si>
  <si>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</si>
  <si>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</si>
  <si>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</si>
  <si>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</si>
  <si>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</si>
  <si>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</si>
  <si>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</si>
  <si>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</si>
  <si>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</si>
  <si>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</si>
  <si>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</si>
  <si>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</si>
  <si>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</si>
  <si>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</si>
  <si>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</si>
  <si>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</si>
  <si>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</si>
  <si>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</si>
  <si>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</si>
  <si>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</si>
  <si>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</si>
  <si>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</si>
  <si>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</si>
  <si>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</si>
  <si>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</si>
  <si>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</si>
  <si>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</si>
  <si>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</si>
  <si>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</si>
  <si>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</si>
  <si>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</si>
  <si>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</si>
  <si>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</si>
  <si>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</si>
  <si>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</si>
  <si>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</si>
  <si>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</si>
  <si>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</si>
  <si>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</si>
  <si>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</si>
  <si>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</si>
  <si>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</si>
  <si>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</si>
  <si>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</si>
  <si>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</si>
  <si>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</si>
  <si>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</si>
  <si>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</si>
  <si>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</si>
  <si>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</si>
  <si>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</si>
  <si>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</si>
  <si>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7800</t>
  </si>
  <si>
    <t>大野南幼稚園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</si>
  <si>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</si>
  <si>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</si>
  <si>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</si>
  <si>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</si>
  <si>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</si>
  <si>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</si>
  <si>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</si>
  <si>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</si>
  <si>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</si>
  <si>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</si>
  <si>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</si>
  <si>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</si>
  <si>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</si>
  <si>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</si>
  <si>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</si>
  <si>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</si>
  <si>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</si>
  <si>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</si>
  <si>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</si>
  <si>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</si>
  <si>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</si>
  <si>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</si>
  <si>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</si>
  <si>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</si>
  <si>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</si>
  <si>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</si>
  <si>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</si>
  <si>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</si>
  <si>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</si>
  <si>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</si>
  <si>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</si>
  <si>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</si>
  <si>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</si>
  <si>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</si>
  <si>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</si>
  <si>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</si>
  <si>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</si>
  <si>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</si>
  <si>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</si>
  <si>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</si>
  <si>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</si>
  <si>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</si>
  <si>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</si>
  <si>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</si>
  <si>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</si>
  <si>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</si>
  <si>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</si>
  <si>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</si>
  <si>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</si>
  <si>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</si>
  <si>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</si>
  <si>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</si>
  <si>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</si>
  <si>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</si>
  <si>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</si>
  <si>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</si>
  <si>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</si>
  <si>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</si>
  <si>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</si>
  <si>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</si>
  <si>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</si>
  <si>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</si>
  <si>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</si>
  <si>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</si>
  <si>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</si>
  <si>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</si>
  <si>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</si>
  <si>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</si>
  <si>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</si>
  <si>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</si>
  <si>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</si>
  <si>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</si>
  <si>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</si>
  <si>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</si>
  <si>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</si>
  <si>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</si>
  <si>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</si>
  <si>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</si>
  <si>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</si>
  <si>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</si>
  <si>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</si>
  <si>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</si>
  <si>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</si>
  <si>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</si>
  <si>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</si>
  <si>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</si>
  <si>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</si>
  <si>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</si>
  <si>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</si>
  <si>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</si>
  <si>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</si>
  <si>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</si>
  <si>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</si>
  <si>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</si>
  <si>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</si>
  <si>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</si>
  <si>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</si>
  <si>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</si>
  <si>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</si>
  <si>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</si>
  <si>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</si>
  <si>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</si>
  <si>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</si>
  <si>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</si>
  <si>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</si>
  <si>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</si>
  <si>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</si>
  <si>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</si>
  <si>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</si>
  <si>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</si>
  <si>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</si>
  <si>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</si>
  <si>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</si>
  <si>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</si>
  <si>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</si>
  <si>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</si>
  <si>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</si>
  <si>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</si>
  <si>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</si>
  <si>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</si>
  <si>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</si>
  <si>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</si>
  <si>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</si>
  <si>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</si>
  <si>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</si>
  <si>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</si>
  <si>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</si>
  <si>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</si>
  <si>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</si>
  <si>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</si>
  <si>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</si>
  <si>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</si>
  <si>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</si>
  <si>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</si>
  <si>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</si>
  <si>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</si>
  <si>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</si>
  <si>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</si>
  <si>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</si>
  <si>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</si>
  <si>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</si>
  <si>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</si>
  <si>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</si>
  <si>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</si>
  <si>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</si>
  <si>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</si>
  <si>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</si>
  <si>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</si>
  <si>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</si>
  <si>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</si>
  <si>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</si>
  <si>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</si>
  <si>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</si>
  <si>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</si>
  <si>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</si>
  <si>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</si>
  <si>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</si>
  <si>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</si>
  <si>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</si>
  <si>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</si>
  <si>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</si>
  <si>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</si>
  <si>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</si>
  <si>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</si>
  <si>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</si>
  <si>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</si>
  <si>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</si>
  <si>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</si>
  <si>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</si>
  <si>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</si>
  <si>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</si>
  <si>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</si>
  <si>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</si>
  <si>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</si>
  <si>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</si>
  <si>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</si>
  <si>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</si>
  <si>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</si>
  <si>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</si>
  <si>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</si>
  <si>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</si>
  <si>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</si>
  <si>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</si>
  <si>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</si>
  <si>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</si>
  <si>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</si>
  <si>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</si>
  <si>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</si>
  <si>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</si>
  <si>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</si>
  <si>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</si>
  <si>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</si>
  <si>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</si>
  <si>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</si>
  <si>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</si>
  <si>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</si>
  <si>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</si>
  <si>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</si>
  <si>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</si>
  <si>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</si>
  <si>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</si>
  <si>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</si>
  <si>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</si>
  <si>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</si>
  <si>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</si>
  <si>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</si>
  <si>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</si>
  <si>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</si>
  <si>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</si>
  <si>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</si>
  <si>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</si>
  <si>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</si>
  <si>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</si>
  <si>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</si>
  <si>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</si>
  <si>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</si>
  <si>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</si>
  <si>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</si>
  <si>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</si>
  <si>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</si>
  <si>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</si>
  <si>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</si>
  <si>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</si>
  <si>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</si>
  <si>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</si>
  <si>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</si>
  <si>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</si>
  <si>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</si>
  <si>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</si>
  <si>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</si>
  <si>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</si>
  <si>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</si>
  <si>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</si>
  <si>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</si>
  <si>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</si>
  <si>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</si>
  <si>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</si>
  <si>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</si>
  <si>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</si>
  <si>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</si>
  <si>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</si>
  <si>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</si>
  <si>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</si>
  <si>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</si>
  <si>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</si>
  <si>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</si>
  <si>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</si>
  <si>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</si>
  <si>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</si>
  <si>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</si>
  <si>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</si>
  <si>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</si>
  <si>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</si>
  <si>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</si>
  <si>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</si>
  <si>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</si>
  <si>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</si>
  <si>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</si>
  <si>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</si>
  <si>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</si>
  <si>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</si>
  <si>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</si>
  <si>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</si>
  <si>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</si>
  <si>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</si>
  <si>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</si>
  <si>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</si>
  <si>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</si>
  <si>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</si>
  <si>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</si>
  <si>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</si>
  <si>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</si>
  <si>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</si>
  <si>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</si>
  <si>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</si>
  <si>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</si>
  <si>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</si>
  <si>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</si>
  <si>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</si>
  <si>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</si>
  <si>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</si>
  <si>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</si>
  <si>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</si>
  <si>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</si>
  <si>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</si>
  <si>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</si>
  <si>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</si>
  <si>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</si>
  <si>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</si>
  <si>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</si>
  <si>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</si>
  <si>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</si>
  <si>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</si>
  <si>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</si>
  <si>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</si>
  <si>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</si>
  <si>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</si>
  <si>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</si>
  <si>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</si>
  <si>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</si>
  <si>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</si>
  <si>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</si>
  <si>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</si>
  <si>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</si>
  <si>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</si>
  <si>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</si>
  <si>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</si>
  <si>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</si>
  <si>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</si>
  <si>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</si>
  <si>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</si>
  <si>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</si>
  <si>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</si>
  <si>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</si>
  <si>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</si>
  <si>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</si>
  <si>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</si>
  <si>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</si>
  <si>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</si>
  <si>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</si>
  <si>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</si>
  <si>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</si>
  <si>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</si>
  <si>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</si>
  <si>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</si>
  <si>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</si>
  <si>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</si>
  <si>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</si>
  <si>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</si>
  <si>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</si>
  <si>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</si>
  <si>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</si>
  <si>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</si>
  <si>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</si>
  <si>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</si>
  <si>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</si>
  <si>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</si>
  <si>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</si>
  <si>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</si>
  <si>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</si>
  <si>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</si>
  <si>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</si>
  <si>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</si>
  <si>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</si>
  <si>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</si>
  <si>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</si>
  <si>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</si>
  <si>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</si>
  <si>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</si>
  <si>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</si>
  <si>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</si>
  <si>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</si>
  <si>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</si>
  <si>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</si>
  <si>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</si>
  <si>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</si>
  <si>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</si>
  <si>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</si>
  <si>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</si>
  <si>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</si>
  <si>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</si>
  <si>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</si>
  <si>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</si>
  <si>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</si>
  <si>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</si>
  <si>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</si>
  <si>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</si>
  <si>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</si>
  <si>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</si>
  <si>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</si>
  <si>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</si>
  <si>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</si>
  <si>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</si>
  <si>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</si>
  <si>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</si>
  <si>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</si>
  <si>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</si>
  <si>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</si>
  <si>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</si>
  <si>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</si>
  <si>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</si>
  <si>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</si>
  <si>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</si>
  <si>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</si>
  <si>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</si>
  <si>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</si>
  <si>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</si>
  <si>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</si>
  <si>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</si>
  <si>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</si>
  <si>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</si>
  <si>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</si>
  <si>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</si>
  <si>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</si>
  <si>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</si>
  <si>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</si>
  <si>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</si>
  <si>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</si>
  <si>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</si>
  <si>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</si>
  <si>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</si>
  <si>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</si>
  <si>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</si>
  <si>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</si>
  <si>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</si>
  <si>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</si>
  <si>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</si>
  <si>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</si>
  <si>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</si>
  <si>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</si>
  <si>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</si>
  <si>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</si>
  <si>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</si>
  <si>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</si>
  <si>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</si>
  <si>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</si>
  <si>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</si>
  <si>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</si>
  <si>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</si>
  <si>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</si>
  <si>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</si>
  <si>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</si>
  <si>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</si>
  <si>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</si>
  <si>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</si>
  <si>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</si>
  <si>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</si>
  <si>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</si>
  <si>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</si>
  <si>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</si>
  <si>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</si>
  <si>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</si>
  <si>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</si>
  <si>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</si>
  <si>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</si>
  <si>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</si>
  <si>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</si>
  <si>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</si>
  <si>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</si>
  <si>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</si>
  <si>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</si>
  <si>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</si>
  <si>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</si>
  <si>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</si>
  <si>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</si>
  <si>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</si>
  <si>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</si>
  <si>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</si>
  <si>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</si>
  <si>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</si>
  <si>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</si>
  <si>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</si>
  <si>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</si>
  <si>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</si>
  <si>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</si>
  <si>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</si>
  <si>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</si>
  <si>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</si>
  <si>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</si>
  <si>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</si>
  <si>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</si>
  <si>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</si>
  <si>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</si>
  <si>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</si>
  <si>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</si>
  <si>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</si>
  <si>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</si>
  <si>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</si>
  <si>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</si>
  <si>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</si>
  <si>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</si>
  <si>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</si>
  <si>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</si>
  <si>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</si>
  <si>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</si>
  <si>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</si>
  <si>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</si>
  <si>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</si>
  <si>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</si>
  <si>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</si>
  <si>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</si>
  <si>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</si>
  <si>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</si>
  <si>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</si>
  <si>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</si>
  <si>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</si>
  <si>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</si>
  <si>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</si>
  <si>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</si>
  <si>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</si>
  <si>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</si>
  <si>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</si>
  <si>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</si>
  <si>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</si>
  <si>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</si>
  <si>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</si>
  <si>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</si>
  <si>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</si>
  <si>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</si>
  <si>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</si>
  <si>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</si>
  <si>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</si>
  <si>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</si>
  <si>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</si>
  <si>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</si>
  <si>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</si>
  <si>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</si>
  <si>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</si>
  <si>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</si>
  <si>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</si>
  <si>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</si>
  <si>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</si>
  <si>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</si>
  <si>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</si>
  <si>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</si>
  <si>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</si>
  <si>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</si>
  <si>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</si>
  <si>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</si>
  <si>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</si>
  <si>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</si>
  <si>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</si>
  <si>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</si>
  <si>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</si>
  <si>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</si>
  <si>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</si>
  <si>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</si>
  <si>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</si>
  <si>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</si>
  <si>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</si>
  <si>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</si>
  <si>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</si>
  <si>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</si>
  <si>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</si>
  <si>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</si>
  <si>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</si>
  <si>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</si>
  <si>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</si>
  <si>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</si>
  <si>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</si>
  <si>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</si>
  <si>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</si>
  <si>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</si>
  <si>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</si>
  <si>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</si>
  <si>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</si>
  <si>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</si>
  <si>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</si>
  <si>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</si>
  <si>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</si>
  <si>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</si>
  <si>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</si>
  <si>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</si>
  <si>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</si>
  <si>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</si>
  <si>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</si>
  <si>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</si>
  <si>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</si>
  <si>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</si>
  <si>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</si>
  <si>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</si>
  <si>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</si>
  <si>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</si>
  <si>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</si>
  <si>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</si>
  <si>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</si>
  <si>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</si>
  <si>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</si>
  <si>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</si>
  <si>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</si>
  <si>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</si>
  <si>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</si>
  <si>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</si>
  <si>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</si>
  <si>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</si>
  <si>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</si>
  <si>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</si>
  <si>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</si>
  <si>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</si>
  <si>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</si>
  <si>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</si>
  <si>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</si>
  <si>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</si>
  <si>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</si>
  <si>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</si>
  <si>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</si>
  <si>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</si>
  <si>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</si>
  <si>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</si>
  <si>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</si>
  <si>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</si>
  <si>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</si>
  <si>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</si>
  <si>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</si>
  <si>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</si>
  <si>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</si>
  <si>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</si>
  <si>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</si>
  <si>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</si>
  <si>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</si>
  <si>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</si>
  <si>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</si>
  <si>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</si>
  <si>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</si>
  <si>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</si>
  <si>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</si>
  <si>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</si>
  <si>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</si>
  <si>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</si>
  <si>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</si>
  <si>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</si>
  <si>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</si>
  <si>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</si>
  <si>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</si>
  <si>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</si>
  <si>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</si>
  <si>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</si>
  <si>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</si>
  <si>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</si>
  <si>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</si>
  <si>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</si>
  <si>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</si>
  <si>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</si>
  <si>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</si>
  <si>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</si>
  <si>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</si>
  <si>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</si>
  <si>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</si>
  <si>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</si>
  <si>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</si>
  <si>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</si>
  <si>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</si>
  <si>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</si>
  <si>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</si>
  <si>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</si>
  <si>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</si>
  <si>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</si>
  <si>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</si>
  <si>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</si>
  <si>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</si>
  <si>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</si>
  <si>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</si>
  <si>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</si>
  <si>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</si>
  <si>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</si>
  <si>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</si>
  <si>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</si>
  <si>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</si>
  <si>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</si>
  <si>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</si>
  <si>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</si>
  <si>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</si>
  <si>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</si>
  <si>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</si>
  <si>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</si>
  <si>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</si>
  <si>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</si>
  <si>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</si>
  <si>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13000</t>
  </si>
  <si>
    <t>学校法人奈良屋学園　奈良屋幼稚園</t>
  </si>
  <si>
    <t>ｶﾞｯｺｳﾎｳｼﾞﾝﾅﾗﾔｶﾞｸｴﾝ ﾅﾗﾔﾖｳﾁｴﾝ</t>
  </si>
  <si>
    <t>奈良屋幼稚園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</si>
  <si>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</si>
  <si>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</si>
  <si>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</si>
  <si>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</si>
  <si>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</si>
  <si>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</si>
  <si>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</si>
  <si>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</si>
  <si>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</si>
  <si>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</si>
  <si>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13002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</si>
  <si>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</si>
  <si>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</si>
  <si>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</si>
  <si>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</si>
  <si>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</si>
  <si>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</si>
  <si>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</si>
  <si>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13004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</si>
  <si>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</si>
  <si>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</si>
  <si>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</si>
  <si>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</si>
  <si>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</si>
  <si>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</si>
  <si>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</si>
  <si>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</si>
  <si>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</si>
  <si>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</si>
  <si>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</si>
  <si>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</si>
  <si>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</si>
  <si>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</si>
  <si>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</si>
  <si>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</si>
  <si>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</si>
  <si>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</si>
  <si>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</si>
  <si>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</si>
  <si>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</si>
  <si>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</si>
  <si>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</si>
  <si>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</si>
  <si>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</si>
  <si>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</si>
  <si>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</si>
  <si>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</si>
  <si>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</si>
  <si>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</si>
  <si>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</si>
  <si>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</si>
  <si>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</si>
  <si>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</si>
  <si>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</si>
  <si>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</si>
  <si>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</si>
  <si>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</si>
  <si>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</si>
  <si>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</si>
  <si>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</si>
  <si>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</si>
  <si>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</si>
  <si>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</si>
  <si>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</si>
  <si>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</si>
  <si>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</si>
  <si>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</si>
  <si>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</si>
  <si>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</si>
  <si>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</si>
  <si>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</si>
  <si>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</si>
  <si>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</si>
  <si>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</si>
  <si>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</si>
  <si>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</si>
  <si>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</si>
  <si>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</si>
  <si>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</si>
  <si>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</si>
  <si>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</si>
  <si>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</si>
  <si>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</si>
  <si>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</si>
  <si>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</si>
  <si>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</si>
  <si>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</si>
  <si>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</si>
  <si>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</si>
  <si>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</si>
  <si>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</si>
  <si>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</si>
  <si>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</si>
  <si>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</si>
  <si>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</si>
  <si>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</si>
  <si>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</si>
  <si>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</si>
  <si>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</si>
  <si>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</si>
  <si>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</si>
  <si>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</si>
  <si>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</si>
  <si>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</si>
  <si>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</si>
  <si>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</si>
  <si>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</si>
  <si>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</si>
  <si>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</si>
  <si>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</si>
  <si>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</si>
  <si>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</si>
  <si>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</si>
  <si>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</si>
  <si>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</si>
  <si>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</si>
  <si>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</si>
  <si>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</si>
  <si>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</si>
  <si>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</si>
  <si>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</si>
  <si>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</si>
  <si>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</si>
  <si>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</si>
  <si>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</si>
  <si>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</si>
  <si>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</si>
  <si>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</si>
  <si>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</si>
  <si>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</si>
  <si>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</si>
  <si>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</si>
  <si>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</si>
  <si>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</si>
  <si>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</si>
  <si>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</si>
  <si>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</si>
  <si>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</si>
  <si>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</si>
  <si>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</si>
  <si>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</si>
  <si>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</si>
  <si>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</si>
  <si>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</si>
  <si>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</si>
  <si>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</si>
  <si>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</si>
  <si>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</si>
  <si>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</si>
  <si>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</si>
  <si>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</si>
  <si>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</si>
  <si>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</si>
  <si>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</si>
  <si>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</si>
  <si>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</si>
  <si>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</si>
  <si>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</si>
  <si>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</si>
  <si>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</si>
  <si>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</si>
  <si>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</si>
  <si>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</si>
  <si>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</si>
  <si>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</si>
  <si>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</si>
  <si>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</si>
  <si>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</si>
  <si>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</si>
  <si>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</si>
  <si>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</si>
  <si>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</si>
  <si>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</si>
  <si>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</si>
  <si>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</si>
  <si>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</si>
  <si>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</si>
  <si>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</si>
  <si>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</si>
  <si>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</si>
  <si>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</si>
  <si>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</si>
  <si>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</si>
  <si>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</si>
  <si>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</si>
  <si>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</si>
  <si>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</si>
  <si>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</si>
  <si>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</si>
  <si>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</si>
  <si>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</si>
  <si>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</si>
  <si>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</si>
  <si>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</si>
  <si>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</si>
  <si>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</si>
  <si>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</si>
  <si>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</si>
  <si>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</si>
  <si>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</si>
  <si>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</si>
  <si>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</si>
  <si>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</si>
  <si>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</si>
  <si>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</si>
  <si>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</si>
  <si>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</si>
  <si>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</si>
  <si>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</si>
  <si>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</si>
  <si>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</si>
  <si>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</si>
  <si>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</si>
  <si>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</si>
  <si>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</si>
  <si>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</si>
  <si>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</si>
  <si>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</si>
  <si>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</si>
  <si>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</si>
  <si>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</si>
  <si>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</si>
  <si>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</si>
  <si>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</si>
  <si>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</si>
  <si>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</si>
  <si>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</si>
  <si>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</si>
  <si>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</si>
  <si>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</si>
  <si>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</si>
  <si>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</si>
  <si>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</si>
  <si>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</si>
  <si>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</si>
  <si>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</si>
  <si>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</si>
  <si>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</si>
  <si>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</si>
  <si>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</si>
  <si>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</si>
  <si>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</si>
  <si>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</si>
  <si>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</si>
  <si>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</si>
  <si>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</si>
  <si>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</si>
  <si>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</si>
  <si>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</si>
  <si>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</si>
  <si>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</si>
  <si>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</si>
  <si>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</si>
  <si>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</si>
  <si>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</si>
  <si>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</si>
  <si>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</si>
  <si>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</si>
  <si>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</si>
  <si>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</si>
  <si>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</si>
  <si>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</si>
  <si>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</si>
  <si>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</si>
  <si>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</si>
  <si>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</si>
  <si>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</si>
  <si>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</si>
  <si>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</si>
  <si>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</si>
  <si>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</si>
  <si>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</si>
  <si>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</si>
  <si>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</si>
  <si>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</si>
  <si>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</si>
  <si>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</si>
  <si>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</si>
  <si>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</si>
  <si>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</si>
  <si>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</si>
  <si>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</si>
  <si>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</si>
  <si>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</si>
  <si>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</si>
  <si>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</si>
  <si>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</si>
  <si>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</si>
  <si>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</si>
  <si>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</si>
  <si>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</si>
  <si>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</si>
  <si>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</si>
  <si>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</si>
  <si>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</si>
  <si>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</si>
  <si>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</si>
  <si>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</si>
  <si>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</si>
  <si>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</si>
  <si>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</si>
  <si>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</si>
  <si>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</si>
  <si>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</si>
  <si>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</si>
  <si>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</si>
  <si>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</si>
  <si>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</si>
  <si>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</si>
  <si>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</si>
  <si>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</si>
  <si>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</si>
  <si>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</si>
  <si>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</si>
  <si>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</si>
  <si>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</si>
  <si>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</si>
  <si>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</si>
  <si>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</si>
  <si>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</si>
  <si>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</si>
  <si>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</si>
  <si>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</si>
  <si>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</si>
  <si>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</si>
  <si>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</si>
  <si>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</si>
  <si>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</si>
  <si>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</si>
  <si>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</si>
  <si>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</si>
  <si>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</si>
  <si>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</si>
  <si>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</si>
  <si>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</si>
  <si>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</si>
  <si>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</si>
  <si>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</si>
  <si>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</si>
  <si>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</si>
  <si>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</si>
  <si>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</si>
  <si>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</si>
  <si>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</si>
  <si>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</si>
  <si>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</si>
  <si>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</si>
  <si>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</si>
  <si>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</si>
  <si>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</si>
  <si>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</si>
  <si>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</si>
  <si>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</si>
  <si>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</si>
  <si>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</si>
  <si>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</si>
  <si>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</si>
  <si>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</si>
  <si>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</si>
  <si>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</si>
  <si>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</si>
  <si>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</si>
  <si>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</si>
  <si>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</si>
  <si>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</si>
  <si>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</si>
  <si>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</si>
  <si>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</si>
  <si>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</si>
  <si>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</si>
  <si>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</si>
  <si>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</si>
  <si>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</si>
  <si>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</si>
  <si>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</si>
  <si>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</si>
  <si>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</si>
  <si>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</si>
  <si>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</si>
  <si>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</si>
  <si>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</si>
  <si>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</si>
  <si>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</si>
  <si>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</si>
  <si>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</si>
  <si>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</si>
  <si>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</si>
  <si>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</si>
  <si>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</si>
  <si>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</si>
  <si>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</si>
  <si>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</si>
  <si>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</si>
  <si>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</si>
  <si>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</si>
  <si>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</si>
  <si>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</si>
  <si>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</si>
  <si>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</si>
  <si>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</si>
  <si>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</si>
  <si>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</si>
  <si>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</si>
  <si>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</si>
  <si>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</si>
  <si>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</si>
  <si>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</si>
  <si>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</si>
  <si>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</si>
  <si>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学校法人　大原幼稚園</t>
  </si>
  <si>
    <t>ｶﾞｯｺｳﾎｳｼﾞﾝ ｵｵﾊﾗﾖｳﾁｴﾝ</t>
  </si>
  <si>
    <t>大原幼稚園</t>
  </si>
  <si>
    <t>814-0023</t>
  </si>
  <si>
    <t>福岡市早良区原団地1-1</t>
  </si>
  <si>
    <t>092-831-4157</t>
  </si>
  <si>
    <t>092-831-5168</t>
  </si>
  <si>
    <t>2023/04/22 11:05:39</t>
  </si>
  <si>
    <t>16602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</si>
  <si>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</si>
  <si>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</si>
  <si>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</si>
  <si>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2021/03/23 9:13:36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</si>
  <si>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</si>
  <si>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</si>
  <si>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</si>
  <si>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</si>
  <si>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</si>
  <si>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</si>
  <si>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</si>
  <si>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16800</t>
  </si>
  <si>
    <t>学校法人清光学園　宝幼稚園</t>
  </si>
  <si>
    <t>ﾀｶﾗ</t>
  </si>
  <si>
    <t>宝幼稚園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</si>
  <si>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</si>
  <si>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</si>
  <si>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</si>
  <si>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</si>
  <si>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</si>
  <si>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</si>
  <si>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</si>
  <si>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</si>
  <si>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</si>
  <si>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</si>
  <si>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</si>
  <si>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</si>
  <si>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</si>
  <si>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</si>
  <si>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</si>
  <si>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</si>
  <si>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</si>
  <si>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</si>
  <si>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</si>
  <si>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</si>
  <si>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</si>
  <si>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</si>
  <si>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</si>
  <si>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</si>
  <si>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</si>
  <si>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</si>
  <si>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</si>
  <si>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</si>
  <si>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</si>
  <si>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</si>
  <si>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</si>
  <si>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</si>
  <si>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</si>
  <si>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</si>
  <si>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</si>
  <si>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</si>
  <si>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</si>
  <si>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</si>
  <si>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</si>
  <si>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</si>
  <si>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</si>
  <si>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</si>
  <si>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</si>
  <si>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</si>
  <si>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</si>
  <si>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</si>
  <si>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</si>
  <si>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</si>
  <si>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</si>
  <si>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</si>
  <si>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</si>
  <si>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2025/09/30 16:08:23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</si>
  <si>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</si>
  <si>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</si>
  <si>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</si>
  <si>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</si>
  <si>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</si>
  <si>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</si>
  <si>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</si>
  <si>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</si>
  <si>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</si>
  <si>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</si>
  <si>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</si>
  <si>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</si>
  <si>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</si>
  <si>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</si>
  <si>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</si>
  <si>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</si>
  <si>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</si>
  <si>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</si>
  <si>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</si>
  <si>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</si>
  <si>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</si>
  <si>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</si>
  <si>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</si>
  <si>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</si>
  <si>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</si>
  <si>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</si>
  <si>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</si>
  <si>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</si>
  <si>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</si>
  <si>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</si>
  <si>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</si>
  <si>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</si>
  <si>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</si>
  <si>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</si>
  <si>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</si>
  <si>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</si>
  <si>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</si>
  <si>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</si>
  <si>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</si>
  <si>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</si>
  <si>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</si>
  <si>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</si>
  <si>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</si>
  <si>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</si>
  <si>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</si>
  <si>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</si>
  <si>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</si>
  <si>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</si>
  <si>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</si>
  <si>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</si>
  <si>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</si>
  <si>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</si>
  <si>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</si>
  <si>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</si>
  <si>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</si>
  <si>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</si>
  <si>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</si>
  <si>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</si>
  <si>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</si>
  <si>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</si>
  <si>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</si>
  <si>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</si>
  <si>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</si>
  <si>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</si>
  <si>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</si>
  <si>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</si>
  <si>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</si>
  <si>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</si>
  <si>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</si>
  <si>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</si>
  <si>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</si>
  <si>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</si>
  <si>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</si>
  <si>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</si>
  <si>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</si>
  <si>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</si>
  <si>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</si>
  <si>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</si>
  <si>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</si>
  <si>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</si>
  <si>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</si>
  <si>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</si>
  <si>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</si>
  <si>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</si>
  <si>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</si>
  <si>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</si>
  <si>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</si>
  <si>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</si>
  <si>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</si>
  <si>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</si>
  <si>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</si>
  <si>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</si>
  <si>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</si>
  <si>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</si>
  <si>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</si>
  <si>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</si>
  <si>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</si>
  <si>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</si>
  <si>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</si>
  <si>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</si>
  <si>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</si>
  <si>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</si>
  <si>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</si>
  <si>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</si>
  <si>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</si>
  <si>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</si>
  <si>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</si>
  <si>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</si>
  <si>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</si>
  <si>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</si>
  <si>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</si>
  <si>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</si>
  <si>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</si>
  <si>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</si>
  <si>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</si>
  <si>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</si>
  <si>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</si>
  <si>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</si>
  <si>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</si>
  <si>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</si>
  <si>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</si>
  <si>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</si>
  <si>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</si>
  <si>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</si>
  <si>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</si>
  <si>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</si>
  <si>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</si>
  <si>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</si>
  <si>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</si>
  <si>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</si>
  <si>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</si>
  <si>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</si>
  <si>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</si>
  <si>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</si>
  <si>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</si>
  <si>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</si>
  <si>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</si>
  <si>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</si>
  <si>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</si>
  <si>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</si>
  <si>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</si>
  <si>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</si>
  <si>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</si>
  <si>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</si>
  <si>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</si>
  <si>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</si>
  <si>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</si>
  <si>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</si>
  <si>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</si>
  <si>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</si>
  <si>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</si>
  <si>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</si>
  <si>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</si>
  <si>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</si>
  <si>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</si>
  <si>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</si>
  <si>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</si>
  <si>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</si>
  <si>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</si>
  <si>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</si>
  <si>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</si>
  <si>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</si>
  <si>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</si>
  <si>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</si>
  <si>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</si>
  <si>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</si>
  <si>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</si>
  <si>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</si>
  <si>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</si>
  <si>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</si>
  <si>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</si>
  <si>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</si>
  <si>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</si>
  <si>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</si>
  <si>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</si>
  <si>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</si>
  <si>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</si>
  <si>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</si>
  <si>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</si>
  <si>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</si>
  <si>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</si>
  <si>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</si>
  <si>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</si>
  <si>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</si>
  <si>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</si>
  <si>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</si>
  <si>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</si>
  <si>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</si>
  <si>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</si>
  <si>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</si>
  <si>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</si>
  <si>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</si>
  <si>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</si>
  <si>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</si>
  <si>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</si>
  <si>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</si>
  <si>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</si>
  <si>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</si>
  <si>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</si>
  <si>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</si>
  <si>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</si>
  <si>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</si>
  <si>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</si>
  <si>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</si>
  <si>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</si>
  <si>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</si>
  <si>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</si>
  <si>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</si>
  <si>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</si>
  <si>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</si>
  <si>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</si>
  <si>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</si>
  <si>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</si>
  <si>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</si>
  <si>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</si>
  <si>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</si>
  <si>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</si>
  <si>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</si>
  <si>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</si>
  <si>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</si>
  <si>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</si>
  <si>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</si>
  <si>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</si>
  <si>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</si>
  <si>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</si>
  <si>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</si>
  <si>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</si>
  <si>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</si>
  <si>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</si>
  <si>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</si>
  <si>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</si>
  <si>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</si>
  <si>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</si>
  <si>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</si>
  <si>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</si>
  <si>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</si>
  <si>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</si>
  <si>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</si>
  <si>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</si>
  <si>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</si>
  <si>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2025/09/09 9:27:27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</si>
  <si>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</si>
  <si>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</si>
  <si>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</si>
  <si>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</si>
  <si>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</si>
  <si>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</si>
  <si>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</si>
  <si>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</si>
  <si>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</si>
  <si>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</si>
  <si>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</si>
  <si>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</si>
  <si>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</si>
  <si>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</si>
  <si>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</si>
  <si>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</si>
  <si>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</si>
  <si>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</si>
  <si>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</si>
  <si>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</si>
  <si>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</si>
  <si>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</si>
  <si>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</si>
  <si>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</si>
  <si>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</si>
  <si>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</si>
  <si>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</si>
  <si>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</si>
  <si>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</si>
  <si>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</si>
  <si>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</si>
  <si>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</si>
  <si>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</si>
  <si>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</si>
  <si>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</si>
  <si>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</si>
  <si>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</si>
  <si>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</si>
  <si>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</si>
  <si>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</si>
  <si>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</si>
  <si>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</si>
  <si>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</si>
  <si>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</si>
  <si>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</si>
  <si>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</si>
  <si>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</si>
  <si>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</si>
  <si>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</si>
  <si>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</si>
  <si>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</si>
  <si>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</si>
  <si>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</si>
  <si>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</si>
  <si>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</si>
  <si>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</si>
  <si>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</si>
  <si>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</si>
  <si>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</si>
  <si>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</si>
  <si>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</si>
  <si>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</si>
  <si>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</si>
  <si>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</si>
  <si>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</si>
  <si>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</si>
  <si>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</si>
  <si>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</si>
  <si>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</si>
  <si>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</si>
  <si>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</si>
  <si>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</si>
  <si>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</si>
  <si>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</si>
  <si>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</si>
  <si>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</si>
  <si>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</si>
  <si>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</si>
  <si>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</si>
  <si>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</si>
  <si>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</si>
  <si>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</si>
  <si>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</si>
  <si>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</si>
  <si>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</si>
  <si>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</si>
  <si>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</si>
  <si>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</si>
  <si>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</si>
  <si>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</si>
  <si>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</si>
  <si>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</si>
  <si>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</si>
  <si>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</si>
  <si>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</si>
  <si>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</si>
  <si>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</si>
  <si>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学校法人　清洋学園　泉ヶ丘幼稚園</t>
  </si>
  <si>
    <t>ｶﾞｯｺｳﾎｳｼﾞﾝ ｾｲﾖｳｶﾞｸｴﾝ ｲｽﾞﾐｶﾞｵｶｹ</t>
  </si>
  <si>
    <t>816-0853</t>
  </si>
  <si>
    <t>春日市泉2丁目2番</t>
  </si>
  <si>
    <t>092-574-4154</t>
  </si>
  <si>
    <t>092-574-4157</t>
  </si>
  <si>
    <t>2024/05/07 16:58:44</t>
  </si>
  <si>
    <t>30022</t>
  </si>
  <si>
    <t>泉ヶ丘幼稚園　ぺんぎん組</t>
  </si>
  <si>
    <t>ｲｽﾞﾐｶﾞｵｶﾖｳﾁｴﾝ ﾍﾟﾝｷﾞﾝｸﾐ</t>
  </si>
  <si>
    <t>2024/05/10 9:30:09</t>
  </si>
  <si>
    <t>30023</t>
  </si>
  <si>
    <t>泉ヶ丘幼稚園　ホームクラス</t>
  </si>
  <si>
    <t>ｲｽﾞﾐｶﾞｵｶ ﾎｰﾑｸﾗｽ</t>
  </si>
  <si>
    <t>2024/06/18 11:50:27</t>
  </si>
  <si>
    <t>30024</t>
  </si>
  <si>
    <t>泉ヶ丘幼稚園　ホームクラス　先生</t>
  </si>
  <si>
    <t>ｲｽﾞﾐｶﾞｵｶ ﾎｰﾑｸﾗｽ ｾﾝｾｲ</t>
  </si>
  <si>
    <t>2024/06/18 11:50:43</t>
  </si>
  <si>
    <t>40000</t>
  </si>
  <si>
    <t>2024/07/18 12:04:16</t>
  </si>
  <si>
    <t>40050</t>
  </si>
  <si>
    <t>2024/07/17 17:28:57</t>
  </si>
  <si>
    <t>2024/10/29 14:24:40</t>
  </si>
  <si>
    <t>2024/07/17 17:31:21</t>
  </si>
  <si>
    <t>40103</t>
  </si>
  <si>
    <t>2024/07/17 17:31:53</t>
  </si>
  <si>
    <t>40104</t>
  </si>
  <si>
    <t>泉ヶ丘幼稚園　ホームクラス先生</t>
  </si>
  <si>
    <t>2025/07/15 10:28:16</t>
  </si>
  <si>
    <t>40150</t>
  </si>
  <si>
    <t>2025/09/10 13:53:33</t>
  </si>
  <si>
    <t>40152</t>
  </si>
  <si>
    <t>2024/07/17 17:33:26</t>
  </si>
  <si>
    <t>2024/07/17 17:33:45</t>
  </si>
  <si>
    <t>40201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</si>
  <si>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</si>
  <si>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</si>
  <si>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</si>
  <si>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</si>
  <si>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</si>
  <si>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</si>
  <si>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</si>
  <si>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</si>
  <si>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</si>
  <si>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2024/07/17 17:35:05</t>
  </si>
  <si>
    <t>40351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</si>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</sst>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3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177" fontId="19" fillId="0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5D968192-5647-03B9-5B92-36849A9833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 x14ac:dyDescent="0.45"/>
  <cols>
    <col min="1" max="1" width="16.69921875" style="147" customWidth="1"/>
    <col min="5" max="5" width="8.796875" style="147" customWidth="1"/>
    <col min="6" max="6" width="21.69921875" style="147" customWidth="1"/>
  </cols>
  <sheetData>
    <row r="1" spans="1:7" x14ac:dyDescent="0.45">
      <c r="A1"/>
      <c r="F1" t="s">
        <v>4</v>
      </c>
      <c r="G1">
        <v>24</v>
      </c>
    </row>
    <row r="2" spans="1:7" x14ac:dyDescent="0.45">
      <c r="A2"/>
      <c r="F2" t="s">
        <v>9</v>
      </c>
      <c r="G2">
        <v>24</v>
      </c>
    </row>
    <row r="3" spans="1:7" x14ac:dyDescent="0.45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 x14ac:dyDescent="0.45">
      <c r="A4"/>
      <c r="F4" t="str">
        <f t="shared" si="0"/>
        <v/>
      </c>
      <c r="G4" t="str">
        <f t="shared" si="1"/>
        <v/>
      </c>
    </row>
    <row r="5" spans="1:7" x14ac:dyDescent="0.45">
      <c r="A5"/>
      <c r="F5" t="str">
        <f t="shared" si="0"/>
        <v/>
      </c>
      <c r="G5" t="str">
        <f t="shared" si="1"/>
        <v/>
      </c>
    </row>
    <row r="6" spans="1:7" x14ac:dyDescent="0.45">
      <c r="A6"/>
      <c r="F6" t="str">
        <f t="shared" si="0"/>
        <v/>
      </c>
      <c r="G6" t="str">
        <f t="shared" si="1"/>
        <v/>
      </c>
    </row>
    <row r="7" spans="1:7" x14ac:dyDescent="0.45">
      <c r="A7"/>
      <c r="F7" t="str">
        <f t="shared" si="0"/>
        <v/>
      </c>
      <c r="G7" t="str">
        <f t="shared" si="1"/>
        <v/>
      </c>
    </row>
    <row r="8" spans="1:7" x14ac:dyDescent="0.45">
      <c r="A8"/>
      <c r="F8" t="str">
        <f t="shared" si="0"/>
        <v/>
      </c>
      <c r="G8" t="str">
        <f t="shared" si="1"/>
        <v/>
      </c>
    </row>
    <row r="9" spans="1:7" x14ac:dyDescent="0.45">
      <c r="F9" t="str">
        <f t="shared" si="0"/>
        <v/>
      </c>
      <c r="G9" t="str">
        <f t="shared" si="1"/>
        <v/>
      </c>
    </row>
    <row r="10" spans="1:7" x14ac:dyDescent="0.45">
      <c r="F10" t="str">
        <f t="shared" si="0"/>
        <v/>
      </c>
      <c r="G10" t="str">
        <f t="shared" si="1"/>
        <v/>
      </c>
    </row>
    <row r="11" spans="1:7" x14ac:dyDescent="0.45">
      <c r="F11" t="str">
        <f t="shared" si="0"/>
        <v/>
      </c>
      <c r="G11" t="str">
        <f t="shared" si="1"/>
        <v/>
      </c>
    </row>
    <row r="12" spans="1:7" x14ac:dyDescent="0.45">
      <c r="F12" t="str">
        <f t="shared" si="0"/>
        <v/>
      </c>
      <c r="G12" t="str">
        <f t="shared" si="1"/>
        <v/>
      </c>
    </row>
    <row r="13" spans="1:7" x14ac:dyDescent="0.45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workbookViewId="0">
      <selection activeCell="G1" sqref="A1:G1048576"/>
    </sheetView>
  </sheetViews>
  <sheetFormatPr defaultRowHeight="18" x14ac:dyDescent="0.45"/>
  <cols>
    <col min="1" max="1" width="28.59765625" style="147" customWidth="1"/>
    <col min="8" max="8" width="3.19921875" style="65" customWidth="1"/>
    <col min="9" max="9" width="5.59765625" style="147" customWidth="1"/>
    <col min="10" max="15" width="14.796875" style="147" customWidth="1"/>
    <col min="16" max="21" width="4" style="147" customWidth="1"/>
  </cols>
  <sheetData>
    <row r="1" spans="1:23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 cm="1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 cm="1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 cm="1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 cm="1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3">IF(P1&lt;&gt;"",
IF(LEFT(V1,1)=P1,"","●"),"")</f>
        <v/>
      </c>
    </row>
    <row r="2" spans="1:23" x14ac:dyDescent="0.45">
      <c r="A2"/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 cm="1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 cm="1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ref="S2:S10" ca="1" si="5">IFERROR(
SUBSTITUTE(ADDRESS(1,
IFERROR(COLUMN(INDEX(INDIRECT("数出表_Excel!B"&amp;$I2&amp;":T"&amp;$I2&amp;""),1,MATCH(TEXT(E2,0),INDIRECT("数出表_Excel!B"&amp;$I2&amp;":T"&amp;$I2&amp;""),0))),""),4),"1",""),
"")</f>
        <v/>
      </c>
      <c r="T2" t="str" cm="1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 cm="1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 x14ac:dyDescent="0.45">
      <c r="A3"/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 cm="1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 cm="1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5"/>
        <v/>
      </c>
      <c r="T3" t="str" cm="1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 cm="1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 x14ac:dyDescent="0.45">
      <c r="A4"/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 cm="1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 cm="1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5"/>
        <v/>
      </c>
      <c r="T4" t="str" cm="1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 cm="1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 x14ac:dyDescent="0.45">
      <c r="A5"/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 cm="1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 cm="1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5"/>
        <v/>
      </c>
      <c r="T5" t="str" cm="1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 cm="1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 x14ac:dyDescent="0.45">
      <c r="A6"/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 cm="1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 cm="1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5"/>
        <v/>
      </c>
      <c r="T6" t="str" cm="1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 cm="1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 x14ac:dyDescent="0.45">
      <c r="A7"/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 cm="1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 cm="1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5"/>
        <v/>
      </c>
      <c r="T7" t="str" cm="1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 cm="1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 x14ac:dyDescent="0.45">
      <c r="A8"/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 cm="1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 cm="1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5"/>
        <v/>
      </c>
      <c r="T8" t="str" cm="1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 cm="1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 x14ac:dyDescent="0.45">
      <c r="A9"/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 cm="1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 cm="1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5"/>
        <v/>
      </c>
      <c r="T9" t="str" cm="1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 cm="1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 x14ac:dyDescent="0.45">
      <c r="A10"/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 cm="1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 cm="1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5"/>
        <v/>
      </c>
      <c r="T10" t="str" cm="1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 cm="1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 x14ac:dyDescent="0.45">
      <c r="A11"/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 cm="1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 cm="1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ref="S11:S53" ca="1" si="6">IFERROR(
SUBSTITUTE(ADDRESS(1,
IFERROR(COLUMN(INDEX(INDIRECT("数出表_Excel!B"&amp;$I11&amp;":T"&amp;$I11&amp;""),1,MATCH(TEXT(E11,0),INDIRECT("数出表_Excel!B"&amp;$I11&amp;":T"&amp;$I11&amp;""),0))),""),4),"1",""),
"")</f>
        <v/>
      </c>
      <c r="T11" t="str" cm="1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 cm="1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 x14ac:dyDescent="0.45">
      <c r="A12"/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 cm="1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 cm="1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6"/>
        <v/>
      </c>
      <c r="T12" t="str" cm="1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 cm="1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 x14ac:dyDescent="0.45">
      <c r="A13"/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 cm="1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 cm="1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6"/>
        <v/>
      </c>
      <c r="T13" t="str" cm="1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 cm="1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 x14ac:dyDescent="0.45">
      <c r="A14"/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 cm="1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 cm="1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6"/>
        <v/>
      </c>
      <c r="T14" t="str" cm="1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 cm="1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 x14ac:dyDescent="0.45">
      <c r="A15"/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 cm="1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 cm="1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6"/>
        <v/>
      </c>
      <c r="T15" t="str" cm="1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 cm="1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 x14ac:dyDescent="0.45">
      <c r="A16"/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 cm="1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 cm="1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6"/>
        <v/>
      </c>
      <c r="T16" t="str" cm="1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 cm="1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 x14ac:dyDescent="0.45">
      <c r="A17"/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 cm="1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 cm="1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6"/>
        <v/>
      </c>
      <c r="T17" t="str" cm="1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 cm="1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 x14ac:dyDescent="0.45">
      <c r="A18"/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 cm="1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 cm="1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6"/>
        <v/>
      </c>
      <c r="T18" t="str" cm="1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 cm="1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 x14ac:dyDescent="0.45">
      <c r="A19"/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 cm="1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 cm="1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6"/>
        <v/>
      </c>
      <c r="T19" t="str" cm="1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 cm="1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 x14ac:dyDescent="0.45">
      <c r="A20"/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 cm="1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 cm="1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6"/>
        <v/>
      </c>
      <c r="T20" t="str" cm="1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 cm="1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 x14ac:dyDescent="0.45">
      <c r="A21"/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 cm="1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 cm="1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6"/>
        <v/>
      </c>
      <c r="T21" t="str" cm="1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 cm="1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 x14ac:dyDescent="0.45">
      <c r="A22"/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 cm="1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 cm="1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6"/>
        <v/>
      </c>
      <c r="T22" t="str" cm="1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 cm="1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 x14ac:dyDescent="0.45">
      <c r="A23"/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 cm="1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 cm="1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6"/>
        <v/>
      </c>
      <c r="T23" t="str" cm="1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 cm="1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 x14ac:dyDescent="0.45">
      <c r="A24"/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 cm="1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 cm="1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6"/>
        <v/>
      </c>
      <c r="T24" t="str" cm="1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 cm="1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 x14ac:dyDescent="0.45">
      <c r="A25"/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 cm="1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 cm="1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6"/>
        <v/>
      </c>
      <c r="T25" t="str" cm="1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 cm="1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 x14ac:dyDescent="0.45">
      <c r="A26"/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 cm="1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 cm="1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6"/>
        <v/>
      </c>
      <c r="T26" t="str" cm="1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 cm="1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 x14ac:dyDescent="0.45">
      <c r="A27"/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 cm="1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 cm="1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6"/>
        <v/>
      </c>
      <c r="T27" t="str" cm="1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 cm="1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 x14ac:dyDescent="0.45">
      <c r="A28"/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 cm="1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 cm="1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6"/>
        <v/>
      </c>
      <c r="T28" t="str" cm="1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 cm="1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 x14ac:dyDescent="0.45">
      <c r="A29"/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 cm="1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 cm="1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6"/>
        <v/>
      </c>
      <c r="T29" t="str" cm="1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 cm="1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 x14ac:dyDescent="0.45">
      <c r="A30"/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 cm="1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 cm="1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6"/>
        <v/>
      </c>
      <c r="T30" t="str" cm="1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 cm="1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 x14ac:dyDescent="0.45">
      <c r="A31"/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 cm="1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 cm="1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6"/>
        <v/>
      </c>
      <c r="T31" t="str" cm="1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 cm="1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 x14ac:dyDescent="0.45">
      <c r="A32"/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 cm="1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 cm="1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6"/>
        <v/>
      </c>
      <c r="T32" t="str" cm="1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 cm="1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 x14ac:dyDescent="0.45">
      <c r="A33"/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7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 cm="1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 cm="1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ca="1" si="6"/>
        <v/>
      </c>
      <c r="T33" t="str" cm="1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 cm="1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8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9">IF(P33&lt;&gt;"",
IF(LEFT(V33,1)=P33,"","●"),"")</f>
        <v/>
      </c>
    </row>
    <row r="34" spans="1:23" x14ac:dyDescent="0.45">
      <c r="A34"/>
      <c r="I34">
        <f t="shared" ref="I34:I70" si="10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7"/>
        <v/>
      </c>
      <c r="Q34" t="str" cm="1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 cm="1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 cm="1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 cm="1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8"/>
        <v/>
      </c>
      <c r="W34" t="str">
        <f t="shared" ca="1" si="9"/>
        <v/>
      </c>
    </row>
    <row r="35" spans="1:23" x14ac:dyDescent="0.45">
      <c r="A35"/>
      <c r="I35">
        <f t="shared" si="10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7"/>
        <v/>
      </c>
      <c r="Q35" t="str" cm="1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 cm="1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 cm="1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 cm="1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8"/>
        <v/>
      </c>
      <c r="W35" t="str">
        <f t="shared" ca="1" si="9"/>
        <v/>
      </c>
    </row>
    <row r="36" spans="1:23" x14ac:dyDescent="0.45">
      <c r="A36"/>
      <c r="I36">
        <f t="shared" si="10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7"/>
        <v/>
      </c>
      <c r="Q36" t="str" cm="1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 cm="1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 cm="1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 cm="1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8"/>
        <v/>
      </c>
      <c r="W36" t="str">
        <f t="shared" ca="1" si="9"/>
        <v/>
      </c>
    </row>
    <row r="37" spans="1:23" x14ac:dyDescent="0.45">
      <c r="A37"/>
      <c r="I37">
        <f t="shared" si="10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7"/>
        <v/>
      </c>
      <c r="Q37" t="str" cm="1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 cm="1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 cm="1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 cm="1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8"/>
        <v/>
      </c>
      <c r="W37" t="str">
        <f t="shared" ca="1" si="9"/>
        <v/>
      </c>
    </row>
    <row r="38" spans="1:23" x14ac:dyDescent="0.45">
      <c r="A38"/>
      <c r="I38">
        <f t="shared" si="10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7"/>
        <v/>
      </c>
      <c r="Q38" t="str" cm="1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 cm="1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 cm="1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 cm="1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8"/>
        <v/>
      </c>
      <c r="W38" t="str">
        <f t="shared" ca="1" si="9"/>
        <v/>
      </c>
    </row>
    <row r="39" spans="1:23" x14ac:dyDescent="0.45">
      <c r="A39"/>
      <c r="I39">
        <f t="shared" si="10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7"/>
        <v/>
      </c>
      <c r="Q39" t="str" cm="1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 cm="1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 cm="1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 cm="1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8"/>
        <v/>
      </c>
      <c r="W39" t="str">
        <f t="shared" ca="1" si="9"/>
        <v/>
      </c>
    </row>
    <row r="40" spans="1:23" x14ac:dyDescent="0.45">
      <c r="A40"/>
      <c r="I40">
        <f t="shared" si="10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7"/>
        <v/>
      </c>
      <c r="Q40" t="str" cm="1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 cm="1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 cm="1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 cm="1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8"/>
        <v/>
      </c>
      <c r="W40" t="str">
        <f t="shared" ca="1" si="9"/>
        <v/>
      </c>
    </row>
    <row r="41" spans="1:23" x14ac:dyDescent="0.45">
      <c r="A41"/>
      <c r="I41">
        <f t="shared" si="10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7"/>
        <v/>
      </c>
      <c r="Q41" t="str" cm="1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 cm="1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 cm="1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 cm="1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8"/>
        <v/>
      </c>
      <c r="W41" t="str">
        <f t="shared" ca="1" si="9"/>
        <v/>
      </c>
    </row>
    <row r="42" spans="1:23" x14ac:dyDescent="0.45">
      <c r="A42"/>
      <c r="I42">
        <f t="shared" si="10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7"/>
        <v/>
      </c>
      <c r="Q42" t="str" cm="1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 cm="1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 cm="1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 cm="1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8"/>
        <v/>
      </c>
      <c r="W42" t="str">
        <f t="shared" ca="1" si="9"/>
        <v/>
      </c>
    </row>
    <row r="43" spans="1:23" x14ac:dyDescent="0.45">
      <c r="A43"/>
      <c r="I43">
        <f t="shared" si="10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7"/>
        <v/>
      </c>
      <c r="Q43" t="str" cm="1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 cm="1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 cm="1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 cm="1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8"/>
        <v/>
      </c>
      <c r="W43" t="str">
        <f t="shared" ca="1" si="9"/>
        <v/>
      </c>
    </row>
    <row r="44" spans="1:23" x14ac:dyDescent="0.45">
      <c r="A44"/>
      <c r="I44">
        <f t="shared" si="10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7"/>
        <v/>
      </c>
      <c r="Q44" t="str" cm="1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 cm="1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 cm="1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 cm="1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8"/>
        <v/>
      </c>
      <c r="W44" t="str">
        <f t="shared" ca="1" si="9"/>
        <v/>
      </c>
    </row>
    <row r="45" spans="1:23" x14ac:dyDescent="0.45">
      <c r="A45"/>
      <c r="I45">
        <f t="shared" si="10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7"/>
        <v/>
      </c>
      <c r="Q45" t="str" cm="1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 cm="1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 cm="1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 cm="1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8"/>
        <v/>
      </c>
      <c r="W45" t="str">
        <f t="shared" ca="1" si="9"/>
        <v/>
      </c>
    </row>
    <row r="46" spans="1:23" x14ac:dyDescent="0.45">
      <c r="A46"/>
      <c r="I46">
        <f t="shared" si="10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7"/>
        <v/>
      </c>
      <c r="Q46" t="str" cm="1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 cm="1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 cm="1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 cm="1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8"/>
        <v/>
      </c>
      <c r="W46" t="str">
        <f t="shared" ca="1" si="9"/>
        <v/>
      </c>
    </row>
    <row r="47" spans="1:23" x14ac:dyDescent="0.45">
      <c r="A47"/>
      <c r="I47">
        <f t="shared" si="10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7"/>
        <v/>
      </c>
      <c r="Q47" t="str" cm="1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 cm="1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 cm="1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 cm="1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8"/>
        <v/>
      </c>
      <c r="W47" t="str">
        <f t="shared" ca="1" si="9"/>
        <v/>
      </c>
    </row>
    <row r="48" spans="1:23" x14ac:dyDescent="0.45">
      <c r="A48"/>
      <c r="I48">
        <f t="shared" si="10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7"/>
        <v/>
      </c>
      <c r="Q48" t="str" cm="1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 cm="1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 cm="1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 cm="1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8"/>
        <v/>
      </c>
      <c r="W48" t="str">
        <f t="shared" ca="1" si="9"/>
        <v/>
      </c>
    </row>
    <row r="49" spans="1:23" x14ac:dyDescent="0.45">
      <c r="A49"/>
      <c r="I49">
        <f t="shared" si="10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7"/>
        <v/>
      </c>
      <c r="Q49" t="str" cm="1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 cm="1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 cm="1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 cm="1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8"/>
        <v/>
      </c>
      <c r="W49" t="str">
        <f t="shared" ca="1" si="9"/>
        <v/>
      </c>
    </row>
    <row r="50" spans="1:23" x14ac:dyDescent="0.45">
      <c r="A50"/>
      <c r="I50">
        <f t="shared" si="10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7"/>
        <v/>
      </c>
      <c r="Q50" t="str" cm="1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 cm="1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 cm="1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 cm="1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8"/>
        <v/>
      </c>
      <c r="W50" t="str">
        <f t="shared" ca="1" si="9"/>
        <v/>
      </c>
    </row>
    <row r="51" spans="1:23" x14ac:dyDescent="0.45">
      <c r="A51"/>
      <c r="I51">
        <f t="shared" si="10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7"/>
        <v/>
      </c>
      <c r="Q51" t="str" cm="1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 cm="1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 cm="1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 cm="1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8"/>
        <v/>
      </c>
      <c r="W51" t="str">
        <f t="shared" ca="1" si="9"/>
        <v/>
      </c>
    </row>
    <row r="52" spans="1:23" x14ac:dyDescent="0.45">
      <c r="A52"/>
      <c r="I52">
        <f t="shared" si="10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7"/>
        <v/>
      </c>
      <c r="Q52" t="str" cm="1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 cm="1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 cm="1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 cm="1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8"/>
        <v/>
      </c>
      <c r="W52" t="str">
        <f t="shared" ca="1" si="9"/>
        <v/>
      </c>
    </row>
    <row r="53" spans="1:23" x14ac:dyDescent="0.45">
      <c r="A53"/>
      <c r="I53">
        <f t="shared" si="10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7"/>
        <v/>
      </c>
      <c r="Q53" t="str" cm="1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 cm="1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 cm="1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 cm="1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8"/>
        <v/>
      </c>
      <c r="W53" t="str">
        <f t="shared" ca="1" si="9"/>
        <v/>
      </c>
    </row>
    <row r="54" spans="1:23" x14ac:dyDescent="0.45">
      <c r="A54"/>
      <c r="I54">
        <f t="shared" si="10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7"/>
        <v/>
      </c>
      <c r="Q54" t="str" cm="1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 cm="1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ref="S54:S70" ca="1" si="11">IFERROR(
SUBSTITUTE(ADDRESS(1,
IFERROR(COLUMN(INDEX(INDIRECT("数出表_Excel!B"&amp;$I54&amp;":T"&amp;$I54&amp;""),1,MATCH(TEXT(E54,0),INDIRECT("数出表_Excel!B"&amp;$I54&amp;":T"&amp;$I54&amp;""),0))),""),4),"1",""),
"")</f>
        <v/>
      </c>
      <c r="T54" t="str" cm="1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 cm="1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8"/>
        <v/>
      </c>
      <c r="W54" t="str">
        <f t="shared" ca="1" si="9"/>
        <v/>
      </c>
    </row>
    <row r="55" spans="1:23" x14ac:dyDescent="0.45">
      <c r="A55"/>
      <c r="I55">
        <f t="shared" si="10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7"/>
        <v/>
      </c>
      <c r="Q55" t="str" cm="1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 cm="1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11"/>
        <v/>
      </c>
      <c r="T55" t="str" cm="1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 cm="1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8"/>
        <v/>
      </c>
      <c r="W55" t="str">
        <f t="shared" ca="1" si="9"/>
        <v/>
      </c>
    </row>
    <row r="56" spans="1:23" x14ac:dyDescent="0.45">
      <c r="A56"/>
      <c r="I56">
        <f t="shared" si="10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7"/>
        <v/>
      </c>
      <c r="Q56" t="str" cm="1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 cm="1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11"/>
        <v/>
      </c>
      <c r="T56" t="str" cm="1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 cm="1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8"/>
        <v/>
      </c>
      <c r="W56" t="str">
        <f t="shared" ca="1" si="9"/>
        <v/>
      </c>
    </row>
    <row r="57" spans="1:23" x14ac:dyDescent="0.45">
      <c r="A57"/>
      <c r="I57">
        <f t="shared" si="10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7"/>
        <v/>
      </c>
      <c r="Q57" t="str" cm="1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 cm="1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11"/>
        <v/>
      </c>
      <c r="T57" t="str" cm="1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 cm="1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8"/>
        <v/>
      </c>
      <c r="W57" t="str">
        <f t="shared" ca="1" si="9"/>
        <v/>
      </c>
    </row>
    <row r="58" spans="1:23" x14ac:dyDescent="0.45">
      <c r="A58"/>
      <c r="I58">
        <f t="shared" si="10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7"/>
        <v/>
      </c>
      <c r="Q58" t="str" cm="1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 cm="1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11"/>
        <v/>
      </c>
      <c r="T58" t="str" cm="1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 cm="1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8"/>
        <v/>
      </c>
      <c r="W58" t="str">
        <f t="shared" ca="1" si="9"/>
        <v/>
      </c>
    </row>
    <row r="59" spans="1:23" x14ac:dyDescent="0.45">
      <c r="A59"/>
      <c r="I59">
        <f t="shared" si="10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7"/>
        <v/>
      </c>
      <c r="Q59" t="str" cm="1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 cm="1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11"/>
        <v/>
      </c>
      <c r="T59" t="str" cm="1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 cm="1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8"/>
        <v/>
      </c>
      <c r="W59" t="str">
        <f t="shared" ca="1" si="9"/>
        <v/>
      </c>
    </row>
    <row r="60" spans="1:23" x14ac:dyDescent="0.45">
      <c r="A60"/>
      <c r="I60">
        <f t="shared" si="10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7"/>
        <v/>
      </c>
      <c r="Q60" t="str" cm="1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 cm="1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11"/>
        <v/>
      </c>
      <c r="T60" t="str" cm="1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 cm="1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8"/>
        <v/>
      </c>
      <c r="W60" t="str">
        <f t="shared" ca="1" si="9"/>
        <v/>
      </c>
    </row>
    <row r="61" spans="1:23" x14ac:dyDescent="0.45">
      <c r="A61"/>
      <c r="I61">
        <f t="shared" si="10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7"/>
        <v/>
      </c>
      <c r="Q61" t="str" cm="1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 cm="1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11"/>
        <v/>
      </c>
      <c r="T61" t="str" cm="1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 cm="1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8"/>
        <v/>
      </c>
      <c r="W61" t="str">
        <f t="shared" ca="1" si="9"/>
        <v/>
      </c>
    </row>
    <row r="62" spans="1:23" x14ac:dyDescent="0.45">
      <c r="A62"/>
      <c r="I62">
        <f t="shared" si="10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7"/>
        <v/>
      </c>
      <c r="Q62" t="str" cm="1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 cm="1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11"/>
        <v/>
      </c>
      <c r="T62" t="str" cm="1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 cm="1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8"/>
        <v/>
      </c>
      <c r="W62" t="str">
        <f t="shared" ca="1" si="9"/>
        <v/>
      </c>
    </row>
    <row r="63" spans="1:23" x14ac:dyDescent="0.45">
      <c r="A63"/>
      <c r="I63">
        <f t="shared" si="10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7"/>
        <v/>
      </c>
      <c r="Q63" t="str" cm="1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 cm="1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11"/>
        <v/>
      </c>
      <c r="T63" t="str" cm="1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 cm="1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8"/>
        <v/>
      </c>
      <c r="W63" t="str">
        <f t="shared" ca="1" si="9"/>
        <v/>
      </c>
    </row>
    <row r="64" spans="1:23" x14ac:dyDescent="0.45">
      <c r="A64"/>
      <c r="I64">
        <f t="shared" si="10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7"/>
        <v/>
      </c>
      <c r="Q64" t="str" cm="1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 cm="1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11"/>
        <v/>
      </c>
      <c r="T64" t="str" cm="1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 cm="1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8"/>
        <v/>
      </c>
      <c r="W64" t="str">
        <f t="shared" ca="1" si="9"/>
        <v/>
      </c>
    </row>
    <row r="65" spans="1:23" x14ac:dyDescent="0.45">
      <c r="A65"/>
      <c r="I65">
        <f t="shared" si="10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2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 cm="1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 cm="1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ca="1" si="11"/>
        <v/>
      </c>
      <c r="T65" t="str" cm="1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 cm="1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96" ca="1" si="13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96" ca="1" si="14">IF(P65&lt;&gt;"",
IF(LEFT(V65,1)=P65,"","●"),"")</f>
        <v/>
      </c>
    </row>
    <row r="66" spans="1:23" x14ac:dyDescent="0.45">
      <c r="A66"/>
      <c r="I66">
        <f t="shared" si="10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2"/>
        <v/>
      </c>
      <c r="Q66" t="str" cm="1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 cm="1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 cm="1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 cm="1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3"/>
        <v/>
      </c>
      <c r="W66" t="str">
        <f t="shared" ca="1" si="14"/>
        <v/>
      </c>
    </row>
    <row r="67" spans="1:23" x14ac:dyDescent="0.45">
      <c r="A67"/>
      <c r="I67">
        <f t="shared" si="10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2"/>
        <v/>
      </c>
      <c r="Q67" t="str" cm="1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 cm="1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 cm="1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 cm="1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3"/>
        <v/>
      </c>
      <c r="W67" t="str">
        <f t="shared" ca="1" si="14"/>
        <v/>
      </c>
    </row>
    <row r="68" spans="1:23" x14ac:dyDescent="0.45">
      <c r="I68">
        <f t="shared" si="10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2"/>
        <v/>
      </c>
      <c r="Q68" t="str" cm="1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 cm="1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 cm="1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 cm="1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3"/>
        <v/>
      </c>
      <c r="W68" t="str">
        <f t="shared" ca="1" si="14"/>
        <v/>
      </c>
    </row>
    <row r="69" spans="1:23" x14ac:dyDescent="0.45">
      <c r="I69">
        <f t="shared" si="10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2"/>
        <v/>
      </c>
      <c r="Q69" t="str" cm="1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 cm="1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 cm="1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 cm="1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3"/>
        <v/>
      </c>
      <c r="W69" t="str">
        <f t="shared" ca="1" si="14"/>
        <v/>
      </c>
    </row>
    <row r="70" spans="1:23" s="66" customFormat="1" x14ac:dyDescent="0.45">
      <c r="H70" s="65"/>
      <c r="I70" s="66">
        <f t="shared" si="10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2"/>
        <v/>
      </c>
      <c r="Q70" s="66" t="str" cm="1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6" t="str" cm="1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6" t="str">
        <f t="shared" ca="1" si="11"/>
        <v/>
      </c>
      <c r="T70" s="66" t="str" cm="1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6" t="str" cm="1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6" t="str">
        <f t="shared" ca="1" si="13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A144" sqref="A144:A145"/>
    </sheetView>
  </sheetViews>
  <sheetFormatPr defaultRowHeight="18" x14ac:dyDescent="0.45"/>
  <cols>
    <col min="1" max="1" width="26.69921875" style="147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47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45</v>
      </c>
      <c r="J2" s="16"/>
      <c r="K2" s="16" t="s">
        <v>46</v>
      </c>
      <c r="L2" s="16"/>
      <c r="M2" s="16" t="s">
        <v>45</v>
      </c>
      <c r="N2" s="10"/>
      <c r="O2"/>
      <c r="P2"/>
      <c r="Q2"/>
      <c r="R2" t="s">
        <v>47</v>
      </c>
      <c r="S2"/>
      <c r="T2" t="s">
        <v>48</v>
      </c>
      <c r="U2" t="s">
        <v>48</v>
      </c>
      <c r="V2" s="52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84" t="s">
        <v>4</v>
      </c>
      <c r="C3" s="23" t="s">
        <v>4</v>
      </c>
      <c r="D3" s="84" t="s">
        <v>9</v>
      </c>
      <c r="E3" s="24" t="s">
        <v>9</v>
      </c>
      <c r="F3" s="23" t="s">
        <v>9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49</v>
      </c>
      <c r="U3" s="15"/>
      <c r="V3" s="53"/>
      <c r="W3" s="6"/>
    </row>
    <row r="4" spans="1:23" x14ac:dyDescent="0.45">
      <c r="A4" s="2" t="s">
        <v>50</v>
      </c>
      <c r="B4" s="13" t="s">
        <v>51</v>
      </c>
      <c r="C4" s="13" t="s">
        <v>51</v>
      </c>
      <c r="D4" s="13" t="s">
        <v>51</v>
      </c>
      <c r="E4" s="13" t="s">
        <v>52</v>
      </c>
      <c r="F4" s="13" t="s">
        <v>53</v>
      </c>
      <c r="G4" s="13" t="s">
        <v>51</v>
      </c>
      <c r="H4" s="13" t="s">
        <v>51</v>
      </c>
      <c r="I4" s="13" t="s">
        <v>52</v>
      </c>
      <c r="J4" s="13" t="s">
        <v>52</v>
      </c>
      <c r="K4" s="13" t="s">
        <v>53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57</v>
      </c>
      <c r="F5" s="13"/>
      <c r="G5" s="13">
        <v>120</v>
      </c>
      <c r="H5" s="13">
        <v>100</v>
      </c>
      <c r="I5" s="13" t="s">
        <v>57</v>
      </c>
      <c r="J5" s="13" t="s">
        <v>58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 x14ac:dyDescent="0.45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 x14ac:dyDescent="0.45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 x14ac:dyDescent="0.45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 x14ac:dyDescent="0.45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 x14ac:dyDescent="0.45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 x14ac:dyDescent="0.45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 x14ac:dyDescent="0.45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 x14ac:dyDescent="0.45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 x14ac:dyDescent="0.45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 x14ac:dyDescent="0.45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 x14ac:dyDescent="0.45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 x14ac:dyDescent="0.45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 x14ac:dyDescent="0.45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 x14ac:dyDescent="0.45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 x14ac:dyDescent="0.45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 x14ac:dyDescent="0.45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 x14ac:dyDescent="0.45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 x14ac:dyDescent="0.45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 x14ac:dyDescent="0.45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 x14ac:dyDescent="0.45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 x14ac:dyDescent="0.45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 x14ac:dyDescent="0.45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 x14ac:dyDescent="0.45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 x14ac:dyDescent="0.45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 x14ac:dyDescent="0.45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 x14ac:dyDescent="0.45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 x14ac:dyDescent="0.45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 x14ac:dyDescent="0.45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 x14ac:dyDescent="0.45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 x14ac:dyDescent="0.45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 x14ac:dyDescent="0.45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 x14ac:dyDescent="0.45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 x14ac:dyDescent="0.45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 x14ac:dyDescent="0.45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 x14ac:dyDescent="0.45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 x14ac:dyDescent="0.45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 x14ac:dyDescent="0.45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 x14ac:dyDescent="0.45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 x14ac:dyDescent="0.45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 x14ac:dyDescent="0.45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 x14ac:dyDescent="0.45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 x14ac:dyDescent="0.45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 x14ac:dyDescent="0.45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 x14ac:dyDescent="0.45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 x14ac:dyDescent="0.45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 x14ac:dyDescent="0.45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 x14ac:dyDescent="0.45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 x14ac:dyDescent="0.45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 x14ac:dyDescent="0.45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 x14ac:dyDescent="0.45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 x14ac:dyDescent="0.45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 x14ac:dyDescent="0.45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 x14ac:dyDescent="0.45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 x14ac:dyDescent="0.45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 x14ac:dyDescent="0.45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 x14ac:dyDescent="0.45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 x14ac:dyDescent="0.45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 x14ac:dyDescent="0.45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 x14ac:dyDescent="0.45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 x14ac:dyDescent="0.45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 x14ac:dyDescent="0.45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 x14ac:dyDescent="0.45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 x14ac:dyDescent="0.45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 x14ac:dyDescent="0.45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 x14ac:dyDescent="0.45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 x14ac:dyDescent="0.45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 x14ac:dyDescent="0.45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 x14ac:dyDescent="0.45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 x14ac:dyDescent="0.45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 x14ac:dyDescent="0.45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 x14ac:dyDescent="0.45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 x14ac:dyDescent="0.45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 x14ac:dyDescent="0.45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 x14ac:dyDescent="0.45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 x14ac:dyDescent="0.45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 x14ac:dyDescent="0.45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 x14ac:dyDescent="0.45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 x14ac:dyDescent="0.45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 x14ac:dyDescent="0.45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 x14ac:dyDescent="0.45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 x14ac:dyDescent="0.45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 x14ac:dyDescent="0.45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 x14ac:dyDescent="0.45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 x14ac:dyDescent="0.45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 x14ac:dyDescent="0.45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 x14ac:dyDescent="0.45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 x14ac:dyDescent="0.45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 x14ac:dyDescent="0.45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 x14ac:dyDescent="0.45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 x14ac:dyDescent="0.45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 x14ac:dyDescent="0.45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 x14ac:dyDescent="0.45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 x14ac:dyDescent="0.45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 x14ac:dyDescent="0.45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 x14ac:dyDescent="0.45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 x14ac:dyDescent="0.45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 x14ac:dyDescent="0.45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 x14ac:dyDescent="0.45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 x14ac:dyDescent="0.45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 x14ac:dyDescent="0.45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 x14ac:dyDescent="0.45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 x14ac:dyDescent="0.45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 x14ac:dyDescent="0.45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 x14ac:dyDescent="0.45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 x14ac:dyDescent="0.45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 x14ac:dyDescent="0.45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 x14ac:dyDescent="0.45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 x14ac:dyDescent="0.45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 x14ac:dyDescent="0.45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 x14ac:dyDescent="0.45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 x14ac:dyDescent="0.45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 x14ac:dyDescent="0.45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 x14ac:dyDescent="0.45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 x14ac:dyDescent="0.45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 x14ac:dyDescent="0.45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 x14ac:dyDescent="0.45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 x14ac:dyDescent="0.45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 x14ac:dyDescent="0.45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 x14ac:dyDescent="0.45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 x14ac:dyDescent="0.45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 x14ac:dyDescent="0.45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 x14ac:dyDescent="0.45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 x14ac:dyDescent="0.45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 x14ac:dyDescent="0.45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 x14ac:dyDescent="0.45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 x14ac:dyDescent="0.45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 x14ac:dyDescent="0.45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 x14ac:dyDescent="0.45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 x14ac:dyDescent="0.45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 x14ac:dyDescent="0.45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 x14ac:dyDescent="0.45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 x14ac:dyDescent="0.45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 x14ac:dyDescent="0.45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 x14ac:dyDescent="0.45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 x14ac:dyDescent="0.45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 x14ac:dyDescent="0.45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 x14ac:dyDescent="0.45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O5" sqref="O5"/>
    </sheetView>
  </sheetViews>
  <sheetFormatPr defaultRowHeight="18" x14ac:dyDescent="0.45"/>
  <cols>
    <col min="1" max="1" width="23.8984375" style="147" customWidth="1"/>
    <col min="10" max="10" width="8.796875" style="57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4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A4" sqref="A4"/>
    </sheetView>
  </sheetViews>
  <sheetFormatPr defaultRowHeight="18" x14ac:dyDescent="0.45"/>
  <cols>
    <col min="1" max="1" width="17.3984375" style="147" customWidth="1"/>
  </cols>
  <sheetData>
    <row r="1" spans="1:20" x14ac:dyDescent="0.45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150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 x14ac:dyDescent="0.45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151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 x14ac:dyDescent="0.45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152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 x14ac:dyDescent="0.45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153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 x14ac:dyDescent="0.45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154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 x14ac:dyDescent="0.45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155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 x14ac:dyDescent="0.45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156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 x14ac:dyDescent="0.45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157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 x14ac:dyDescent="0.45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150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 x14ac:dyDescent="0.45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151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 x14ac:dyDescent="0.45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152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 x14ac:dyDescent="0.45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153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 x14ac:dyDescent="0.45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154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 x14ac:dyDescent="0.45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155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 x14ac:dyDescent="0.45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156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 x14ac:dyDescent="0.45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157</v>
      </c>
    </row>
    <row r="17" spans="1:16" x14ac:dyDescent="0.45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150</v>
      </c>
    </row>
    <row r="18" spans="1:16" x14ac:dyDescent="0.45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151</v>
      </c>
    </row>
    <row r="19" spans="1:16" x14ac:dyDescent="0.45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152</v>
      </c>
    </row>
    <row r="20" spans="1:16" x14ac:dyDescent="0.45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153</v>
      </c>
    </row>
    <row r="21" spans="1:16" x14ac:dyDescent="0.45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154</v>
      </c>
    </row>
    <row r="22" spans="1:16" x14ac:dyDescent="0.45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155</v>
      </c>
    </row>
    <row r="23" spans="1:16" x14ac:dyDescent="0.45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156</v>
      </c>
    </row>
    <row r="24" spans="1:16" x14ac:dyDescent="0.45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157</v>
      </c>
    </row>
    <row r="25" spans="1:16" x14ac:dyDescent="0.45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150</v>
      </c>
    </row>
    <row r="26" spans="1:16" x14ac:dyDescent="0.45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151</v>
      </c>
    </row>
    <row r="27" spans="1:16" x14ac:dyDescent="0.45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152</v>
      </c>
    </row>
    <row r="28" spans="1:16" x14ac:dyDescent="0.45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153</v>
      </c>
    </row>
    <row r="29" spans="1:16" x14ac:dyDescent="0.45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154</v>
      </c>
    </row>
    <row r="30" spans="1:16" x14ac:dyDescent="0.45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155</v>
      </c>
    </row>
    <row r="31" spans="1:16" x14ac:dyDescent="0.45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156</v>
      </c>
    </row>
    <row r="32" spans="1:16" x14ac:dyDescent="0.45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157</v>
      </c>
    </row>
    <row r="33" spans="1:16" x14ac:dyDescent="0.45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150</v>
      </c>
    </row>
    <row r="34" spans="1:16" x14ac:dyDescent="0.45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151</v>
      </c>
    </row>
    <row r="35" spans="1:16" x14ac:dyDescent="0.45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152</v>
      </c>
    </row>
    <row r="36" spans="1:16" x14ac:dyDescent="0.45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153</v>
      </c>
    </row>
    <row r="37" spans="1:16" x14ac:dyDescent="0.45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154</v>
      </c>
    </row>
    <row r="38" spans="1:16" x14ac:dyDescent="0.45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155</v>
      </c>
    </row>
    <row r="39" spans="1:16" x14ac:dyDescent="0.45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156</v>
      </c>
    </row>
    <row r="40" spans="1:16" x14ac:dyDescent="0.45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157</v>
      </c>
    </row>
    <row r="41" spans="1:16" x14ac:dyDescent="0.45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150</v>
      </c>
    </row>
    <row r="42" spans="1:16" x14ac:dyDescent="0.45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151</v>
      </c>
    </row>
    <row r="43" spans="1:16" x14ac:dyDescent="0.45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152</v>
      </c>
    </row>
    <row r="44" spans="1:16" x14ac:dyDescent="0.45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153</v>
      </c>
    </row>
    <row r="45" spans="1:16" x14ac:dyDescent="0.45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154</v>
      </c>
    </row>
    <row r="46" spans="1:16" x14ac:dyDescent="0.45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155</v>
      </c>
    </row>
    <row r="47" spans="1:16" x14ac:dyDescent="0.45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156</v>
      </c>
    </row>
    <row r="48" spans="1:16" x14ac:dyDescent="0.45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157</v>
      </c>
    </row>
    <row r="49" spans="1:16" x14ac:dyDescent="0.45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150</v>
      </c>
    </row>
    <row r="50" spans="1:16" x14ac:dyDescent="0.45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151</v>
      </c>
    </row>
    <row r="51" spans="1:16" x14ac:dyDescent="0.45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152</v>
      </c>
    </row>
    <row r="52" spans="1:16" x14ac:dyDescent="0.45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153</v>
      </c>
    </row>
    <row r="53" spans="1:16" x14ac:dyDescent="0.45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154</v>
      </c>
    </row>
    <row r="54" spans="1:16" x14ac:dyDescent="0.45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155</v>
      </c>
    </row>
    <row r="55" spans="1:16" x14ac:dyDescent="0.45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156</v>
      </c>
    </row>
    <row r="56" spans="1:16" x14ac:dyDescent="0.45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157</v>
      </c>
    </row>
    <row r="57" spans="1:16" x14ac:dyDescent="0.45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150</v>
      </c>
    </row>
    <row r="58" spans="1:16" x14ac:dyDescent="0.45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151</v>
      </c>
    </row>
    <row r="59" spans="1:16" x14ac:dyDescent="0.45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152</v>
      </c>
    </row>
    <row r="60" spans="1:16" x14ac:dyDescent="0.45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153</v>
      </c>
    </row>
    <row r="61" spans="1:16" x14ac:dyDescent="0.45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154</v>
      </c>
    </row>
    <row r="62" spans="1:16" x14ac:dyDescent="0.45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155</v>
      </c>
    </row>
    <row r="63" spans="1:16" x14ac:dyDescent="0.45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156</v>
      </c>
    </row>
    <row r="64" spans="1:16" x14ac:dyDescent="0.45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157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C6" sqref="C6"/>
    </sheetView>
  </sheetViews>
  <sheetFormatPr defaultRowHeight="18" x14ac:dyDescent="0.45"/>
  <cols>
    <col min="1" max="1" width="15.8984375" style="147" customWidth="1"/>
  </cols>
  <sheetData>
    <row r="1" spans="1:10" x14ac:dyDescent="0.45">
      <c r="A1" t="s">
        <v>37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37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158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159</v>
      </c>
      <c r="E4" t="e">
        <f ca="1">MID(B3,FIND("新日本",B3)+3,FIND("ニシム",B3)-1-(FIND("新日本",B3)+3))</f>
        <v>#N/A</v>
      </c>
    </row>
    <row r="5" spans="1:10" x14ac:dyDescent="0.45">
      <c r="A5" t="s">
        <v>160</v>
      </c>
      <c r="E5">
        <v>2</v>
      </c>
    </row>
    <row r="6" spans="1:10" x14ac:dyDescent="0.45">
      <c r="A6" t="s">
        <v>161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zoomScale="40" zoomScaleNormal="40" zoomScalePageLayoutView="55" workbookViewId="0">
      <selection activeCell="H1" sqref="H1"/>
    </sheetView>
  </sheetViews>
  <sheetFormatPr defaultRowHeight="22.2" x14ac:dyDescent="0.55000000000000004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796875" style="143" customWidth="1"/>
    <col min="10" max="10" width="6.796875" style="143" customWidth="1"/>
    <col min="11" max="18" width="8.796875" style="143" customWidth="1"/>
    <col min="19" max="19" width="36.3984375" style="86" customWidth="1"/>
    <col min="20" max="20" width="38" style="143" customWidth="1"/>
    <col min="21" max="21" width="8.796875" style="150" customWidth="1"/>
    <col min="22" max="22" width="17.69921875" style="143" customWidth="1"/>
    <col min="23" max="29" width="8.796875" style="143" customWidth="1"/>
    <col min="30" max="30" width="8.19921875" style="143" customWidth="1"/>
    <col min="31" max="31" width="8" style="143" customWidth="1"/>
    <col min="32" max="32" width="20.296875" style="143" customWidth="1"/>
    <col min="33" max="33" width="17.59765625" style="143" customWidth="1"/>
    <col min="34" max="34" width="8.796875" style="150" customWidth="1"/>
    <col min="35" max="46" width="8.796875" style="143" customWidth="1"/>
    <col min="47" max="47" width="11.59765625" style="143" customWidth="1"/>
    <col min="48" max="77" width="8.796875" style="143" customWidth="1"/>
    <col min="78" max="16384" width="8.796875" style="143"/>
  </cols>
  <sheetData>
    <row r="1" spans="1:54" ht="18" customHeight="1" x14ac:dyDescent="0.45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51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 cm="1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VALUE(VLOOKUP("*"&amp;D1&amp;"*",商品マスタ!D:H,5,FALSE))),"")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e" cm="1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52" t="e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/VLOOKUP("*"&amp;T1&amp;"*",商品マスタ!$D:$E,2,FALSE),0)))))),"")</f>
        <v>#REF!</v>
      </c>
      <c r="V1" s="108" t="e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>#REF!</v>
      </c>
      <c r="W1" s="108" t="str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50" t="str">
        <f ca="1">IFERROR(INDEX(U:U,MATCH(SMALL($AU:$AU,ROW()),$AU:$AU,0)),"")</f>
        <v/>
      </c>
      <c r="AI1" s="143" t="str">
        <f t="shared" ref="AI1:AI64" ca="1" si="9">IFERROR(INDEX(V:V,MATCH(SMALL($AU:$AU,ROW()),$AU:$AU,0)),"")</f>
        <v/>
      </c>
      <c r="AJ1" s="143" t="str">
        <f t="shared" ref="AJ1:AJ64" ca="1" si="10">IFERROR(INDEX(W:W,MATCH(SMALL($AU:$AU,ROW()),$AU:$AU,0)),"")</f>
        <v/>
      </c>
      <c r="AK1" s="143" t="str">
        <f t="shared" ref="AK1:AK64" ca="1" si="11">IFERROR(INDEX(X:X,MATCH(SMALL($AU:$AU,ROW()),$AU:$AU,0)),"")</f>
        <v/>
      </c>
      <c r="AL1" s="143" t="str">
        <f t="shared" ref="AL1:AL64" ca="1" si="12">IFERROR(INDEX(Y:Y,MATCH(SMALL($AU:$AU,ROW()),$AU:$AU,0)),"")</f>
        <v/>
      </c>
      <c r="AM1" s="143" t="str">
        <f t="shared" ref="AM1:AM64" ca="1" si="13">IFERROR(INDEX(Z:Z,MATCH(SMALL($AU:$AU,ROW()),$AU:$AU,0)),"")</f>
        <v/>
      </c>
      <c r="AN1" s="143" t="str">
        <f t="shared" ref="AN1:AN64" ca="1" si="14">IFERROR(INDEX(AA:AA,MATCH(SMALL($AU:$AU,ROW()),$AU:$AU,0)),"")</f>
        <v/>
      </c>
      <c r="AO1" s="143" t="str">
        <f t="shared" ref="AO1:AO64" ca="1" si="15">IFERROR(INDEX(AB:AB,MATCH(SMALL($AU:$AU,ROW()),$AU:$AU,0)),"")</f>
        <v/>
      </c>
      <c r="AP1" s="143" t="str">
        <f t="shared" ref="AP1:AP64" ca="1" si="16">IFERROR(INDEX(AC:AC,MATCH(SMALL($AU:$AU,ROW()),$AU:$AU,0)),"")</f>
        <v/>
      </c>
      <c r="AU1" s="143" t="str">
        <f t="shared" ref="AU1:AU64" ca="1" si="17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8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19">IF(AX1&lt;&gt;0,
IF(COUNTIF(AX1,"*.*"),
IF(COUNTIF(AX1,"*.*")=1,"",RIGHT(AX1, LEN(AX1) - FIND(".", AX1, FIND(".", AX1) + 1))),0),0)</f>
        <v>0</v>
      </c>
      <c r="BB1" s="143">
        <f t="shared" ref="BB1:BB32" ca="1" si="20">IFERROR(SUM(AY1:BA1),0)</f>
        <v>0</v>
      </c>
    </row>
    <row r="2" spans="1:54" ht="18" customHeight="1" x14ac:dyDescent="0.45">
      <c r="A2" s="87">
        <f t="shared" ref="A2:A33" si="21">A1+2</f>
        <v>9</v>
      </c>
      <c r="B2" s="45" t="str">
        <f t="shared" ref="B2:B33" si="22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51" t="str">
        <f ca="1">IF(D2&lt;&gt;"",
IF(OR(COUNTIF(C2,"*雙葉*"),COUNTIF(C2,"*香蘭*")),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VALUE(VLOOKUP("*"&amp;D2&amp;"*",商品マスタ!D:H,5,FALSE))),"")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e" cm="1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52" t="e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/VLOOKUP("*"&amp;T2&amp;"*",商品マスタ!$D:$E,2,FALSE),0)))))),"")</f>
        <v>#REF!</v>
      </c>
      <c r="V2" s="108" t="e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>#REF!</v>
      </c>
      <c r="W2" s="108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IF(AND(LEFT(INDIRECT("B"&amp;R2&amp;""),2)="博多",INDIRECT("B"&amp;R2&amp;"")=INDIRECT("B"&amp;R2+1&amp;"")&amp;"'"),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50" t="str">
        <f t="shared" ref="AH1:AH64" ca="1" si="23">IFERROR(INDEX(U:U,MATCH(SMALL($AU:$AU,ROW()),$AU:$AU,0)),"")</f>
        <v/>
      </c>
      <c r="AI2" s="143" t="str">
        <f t="shared" ca="1" si="9"/>
        <v/>
      </c>
      <c r="AJ2" s="143" t="str">
        <f t="shared" ca="1" si="10"/>
        <v/>
      </c>
      <c r="AK2" s="143" t="str">
        <f t="shared" ca="1" si="11"/>
        <v/>
      </c>
      <c r="AL2" s="143" t="str">
        <f t="shared" ca="1" si="12"/>
        <v/>
      </c>
      <c r="AM2" s="143" t="str">
        <f t="shared" ca="1" si="13"/>
        <v/>
      </c>
      <c r="AN2" s="143" t="str">
        <f t="shared" ca="1" si="14"/>
        <v/>
      </c>
      <c r="AO2" s="143" t="str">
        <f t="shared" ca="1" si="15"/>
        <v/>
      </c>
      <c r="AP2" s="143" t="str">
        <f t="shared" ca="1" si="16"/>
        <v/>
      </c>
      <c r="AU2" s="143" t="str">
        <f t="shared" ca="1" si="17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8"/>
        <v>0</v>
      </c>
      <c r="BA2" s="57">
        <f t="shared" ca="1" si="19"/>
        <v>0</v>
      </c>
      <c r="BB2" s="143">
        <f t="shared" ca="1" si="20"/>
        <v>0</v>
      </c>
    </row>
    <row r="3" spans="1:54" ht="22.2" customHeight="1" x14ac:dyDescent="0.45">
      <c r="A3" s="87">
        <f t="shared" si="21"/>
        <v>11</v>
      </c>
      <c r="B3" s="45" t="str">
        <f t="shared" si="22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51" t="str">
        <f ca="1">IF(D3&lt;&gt;"",
IF(OR(COUNTIF(C3,"*雙葉*"),COUNTIF(C3,"*香蘭*")),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VALUE(VLOOKUP("*"&amp;D3&amp;"*",商品マスタ!D:H,5,FALSE))),"")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e" cm="1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52" t="e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/VLOOKUP("*"&amp;T3&amp;"*",商品マスタ!$D:$E,2,FALSE),0)))))),"")</f>
        <v>#REF!</v>
      </c>
      <c r="V3" s="108" t="e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>#REF!</v>
      </c>
      <c r="W3" s="108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IF(AND(LEFT(INDIRECT("B"&amp;R3&amp;""),2)="博多",INDIRECT("B"&amp;R3&amp;"")=INDIRECT("B"&amp;R3+1&amp;"")&amp;"'"),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50" t="str">
        <f t="shared" ca="1" si="23"/>
        <v/>
      </c>
      <c r="AI3" s="143" t="str">
        <f t="shared" ca="1" si="9"/>
        <v/>
      </c>
      <c r="AJ3" s="143" t="str">
        <f t="shared" ca="1" si="10"/>
        <v/>
      </c>
      <c r="AK3" s="143" t="str">
        <f t="shared" ca="1" si="11"/>
        <v/>
      </c>
      <c r="AL3" s="143" t="str">
        <f t="shared" ca="1" si="12"/>
        <v/>
      </c>
      <c r="AM3" s="143" t="str">
        <f t="shared" ca="1" si="13"/>
        <v/>
      </c>
      <c r="AN3" s="143" t="str">
        <f t="shared" ca="1" si="14"/>
        <v/>
      </c>
      <c r="AO3" s="143" t="str">
        <f t="shared" ca="1" si="15"/>
        <v/>
      </c>
      <c r="AP3" s="143" t="str">
        <f t="shared" ca="1" si="16"/>
        <v/>
      </c>
      <c r="AU3" s="143" t="str">
        <f t="shared" ca="1" si="17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8"/>
        <v>0</v>
      </c>
      <c r="BA3" s="57">
        <f t="shared" ca="1" si="19"/>
        <v>0</v>
      </c>
      <c r="BB3" s="143">
        <f t="shared" ca="1" si="20"/>
        <v>0</v>
      </c>
    </row>
    <row r="4" spans="1:54" ht="18" customHeight="1" x14ac:dyDescent="0.45">
      <c r="A4" s="87">
        <f t="shared" si="21"/>
        <v>13</v>
      </c>
      <c r="B4" s="45" t="str">
        <f t="shared" si="22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51" t="str">
        <f ca="1">IF(D4&lt;&gt;"",
IF(OR(COUNTIF(C4,"*雙葉*"),COUNTIF(C4,"*香蘭*")),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VALUE(VLOOKUP("*"&amp;D4&amp;"*",商品マスタ!D:H,5,FALSE))),"")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e" cm="1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52" t="e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/VLOOKUP("*"&amp;T4&amp;"*",商品マスタ!$D:$E,2,FALSE),0)))))),"")</f>
        <v>#REF!</v>
      </c>
      <c r="V4" s="108" t="e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>#REF!</v>
      </c>
      <c r="W4" s="108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IF(AND(LEFT(INDIRECT("B"&amp;R4&amp;""),2)="博多",INDIRECT("B"&amp;R4&amp;"")=INDIRECT("B"&amp;R4+1&amp;"")&amp;"'"),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50" t="str">
        <f t="shared" ca="1" si="23"/>
        <v/>
      </c>
      <c r="AI4" s="143" t="str">
        <f t="shared" ca="1" si="9"/>
        <v/>
      </c>
      <c r="AJ4" s="143" t="str">
        <f t="shared" ca="1" si="10"/>
        <v/>
      </c>
      <c r="AK4" s="143" t="str">
        <f t="shared" ca="1" si="11"/>
        <v/>
      </c>
      <c r="AL4" s="143" t="str">
        <f t="shared" ca="1" si="12"/>
        <v/>
      </c>
      <c r="AM4" s="143" t="str">
        <f t="shared" ca="1" si="13"/>
        <v/>
      </c>
      <c r="AN4" s="143" t="str">
        <f t="shared" ca="1" si="14"/>
        <v/>
      </c>
      <c r="AO4" s="143" t="str">
        <f t="shared" ca="1" si="15"/>
        <v/>
      </c>
      <c r="AP4" s="143" t="str">
        <f t="shared" ca="1" si="16"/>
        <v/>
      </c>
      <c r="AU4" s="143" t="str">
        <f t="shared" ca="1" si="17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8"/>
        <v>0</v>
      </c>
      <c r="BA4" s="57">
        <f t="shared" ca="1" si="19"/>
        <v>0</v>
      </c>
      <c r="BB4" s="143">
        <f t="shared" ca="1" si="20"/>
        <v>0</v>
      </c>
    </row>
    <row r="5" spans="1:54" ht="18" customHeight="1" x14ac:dyDescent="0.45">
      <c r="A5" s="87">
        <f t="shared" si="21"/>
        <v>15</v>
      </c>
      <c r="B5" s="45" t="str">
        <f t="shared" si="22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51" t="str">
        <f ca="1">IF(D5&lt;&gt;"",
IF(OR(COUNTIF(C5,"*雙葉*"),COUNTIF(C5,"*香蘭*")),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VALUE(VLOOKUP("*"&amp;D5&amp;"*",商品マスタ!D:H,5,FALSE))),"")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e" cm="1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52" t="e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/VLOOKUP("*"&amp;T5&amp;"*",商品マスタ!$D:$E,2,FALSE),0)))))),"")</f>
        <v>#REF!</v>
      </c>
      <c r="V5" s="108" t="e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>#REF!</v>
      </c>
      <c r="W5" s="108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IF(AND(LEFT(INDIRECT("B"&amp;R5&amp;""),2)="博多",INDIRECT("B"&amp;R5&amp;"")=INDIRECT("B"&amp;R5+1&amp;"")&amp;"'"),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50" t="str">
        <f t="shared" ca="1" si="23"/>
        <v/>
      </c>
      <c r="AI5" s="143" t="str">
        <f t="shared" ca="1" si="9"/>
        <v/>
      </c>
      <c r="AJ5" s="143" t="str">
        <f t="shared" ca="1" si="10"/>
        <v/>
      </c>
      <c r="AK5" s="143" t="str">
        <f t="shared" ca="1" si="11"/>
        <v/>
      </c>
      <c r="AL5" s="143" t="str">
        <f t="shared" ca="1" si="12"/>
        <v/>
      </c>
      <c r="AM5" s="143" t="str">
        <f t="shared" ca="1" si="13"/>
        <v/>
      </c>
      <c r="AN5" s="143" t="str">
        <f t="shared" ca="1" si="14"/>
        <v/>
      </c>
      <c r="AO5" s="143" t="str">
        <f t="shared" ca="1" si="15"/>
        <v/>
      </c>
      <c r="AP5" s="143" t="str">
        <f t="shared" ca="1" si="16"/>
        <v/>
      </c>
      <c r="AU5" s="143" t="str">
        <f t="shared" ca="1" si="17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8"/>
        <v>0</v>
      </c>
      <c r="BA5" s="57">
        <f t="shared" ca="1" si="19"/>
        <v>0</v>
      </c>
      <c r="BB5" s="143">
        <f t="shared" ca="1" si="20"/>
        <v>0</v>
      </c>
    </row>
    <row r="6" spans="1:54" ht="22.2" customHeight="1" x14ac:dyDescent="0.45">
      <c r="A6" s="87">
        <f t="shared" si="21"/>
        <v>17</v>
      </c>
      <c r="B6" s="45" t="str">
        <f t="shared" si="22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51" t="str">
        <f ca="1">IF(D6&lt;&gt;"",
IF(OR(COUNTIF(C6,"*雙葉*"),COUNTIF(C6,"*香蘭*")),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VALUE(VLOOKUP("*"&amp;D6&amp;"*",商品マスタ!D:H,5,FALSE))),"")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e" cm="1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52" t="e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/VLOOKUP("*"&amp;T6&amp;"*",商品マスタ!$D:$E,2,FALSE),0)))))),"")</f>
        <v>#REF!</v>
      </c>
      <c r="V6" s="108" t="e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>#REF!</v>
      </c>
      <c r="W6" s="108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IF(AND(LEFT(INDIRECT("B"&amp;R6&amp;""),2)="博多",INDIRECT("B"&amp;R6&amp;"")=INDIRECT("B"&amp;R6+1&amp;"")&amp;"'"),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50" t="str">
        <f t="shared" ca="1" si="23"/>
        <v/>
      </c>
      <c r="AI6" s="143" t="str">
        <f t="shared" ca="1" si="9"/>
        <v/>
      </c>
      <c r="AJ6" s="143" t="str">
        <f t="shared" ca="1" si="10"/>
        <v/>
      </c>
      <c r="AK6" s="143" t="str">
        <f t="shared" ca="1" si="11"/>
        <v/>
      </c>
      <c r="AL6" s="143" t="str">
        <f t="shared" ca="1" si="12"/>
        <v/>
      </c>
      <c r="AM6" s="143" t="str">
        <f t="shared" ca="1" si="13"/>
        <v/>
      </c>
      <c r="AN6" s="143" t="str">
        <f t="shared" ca="1" si="14"/>
        <v/>
      </c>
      <c r="AO6" s="143" t="str">
        <f t="shared" ca="1" si="15"/>
        <v/>
      </c>
      <c r="AP6" s="143" t="str">
        <f t="shared" ca="1" si="16"/>
        <v/>
      </c>
      <c r="AU6" s="143" t="str">
        <f t="shared" ca="1" si="17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8"/>
        <v>0</v>
      </c>
      <c r="BA6" s="57">
        <f t="shared" ca="1" si="19"/>
        <v>0</v>
      </c>
      <c r="BB6" s="143">
        <f t="shared" ca="1" si="20"/>
        <v>0</v>
      </c>
    </row>
    <row r="7" spans="1:54" ht="21" customHeight="1" x14ac:dyDescent="0.45">
      <c r="A7" s="87">
        <f t="shared" si="21"/>
        <v>19</v>
      </c>
      <c r="B7" s="45" t="str">
        <f t="shared" si="22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51" t="str">
        <f ca="1">IF(D7&lt;&gt;"",
IF(OR(COUNTIF(C7,"*雙葉*"),COUNTIF(C7,"*香蘭*")),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VALUE(VLOOKUP("*"&amp;D7&amp;"*",商品マスタ!D:H,5,FALSE))),"")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e" cm="1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52" t="e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/VLOOKUP("*"&amp;T7&amp;"*",商品マスタ!$D:$E,2,FALSE),0)))))),"")</f>
        <v>#REF!</v>
      </c>
      <c r="V7" s="108" t="e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>#REF!</v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IF(AND(LEFT(INDIRECT("B"&amp;R7&amp;""),2)="博多",INDIRECT("B"&amp;R7&amp;"")=INDIRECT("B"&amp;R7+1&amp;"")&amp;"'"),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50" t="str">
        <f t="shared" ca="1" si="23"/>
        <v/>
      </c>
      <c r="AI7" s="143" t="str">
        <f t="shared" ca="1" si="9"/>
        <v/>
      </c>
      <c r="AJ7" s="143" t="str">
        <f t="shared" ca="1" si="10"/>
        <v/>
      </c>
      <c r="AK7" s="143" t="str">
        <f t="shared" ca="1" si="11"/>
        <v/>
      </c>
      <c r="AL7" s="143" t="str">
        <f t="shared" ca="1" si="12"/>
        <v/>
      </c>
      <c r="AM7" s="143" t="str">
        <f t="shared" ca="1" si="13"/>
        <v/>
      </c>
      <c r="AN7" s="143" t="str">
        <f t="shared" ca="1" si="14"/>
        <v/>
      </c>
      <c r="AO7" s="143" t="str">
        <f t="shared" ca="1" si="15"/>
        <v/>
      </c>
      <c r="AP7" s="143" t="str">
        <f t="shared" ca="1" si="16"/>
        <v/>
      </c>
      <c r="AU7" s="143" t="str">
        <f t="shared" ca="1" si="17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8"/>
        <v>0</v>
      </c>
      <c r="BA7" s="57">
        <f t="shared" ca="1" si="19"/>
        <v>0</v>
      </c>
      <c r="BB7" s="143">
        <f t="shared" ca="1" si="20"/>
        <v>0</v>
      </c>
    </row>
    <row r="8" spans="1:54" ht="18" customHeight="1" x14ac:dyDescent="0.45">
      <c r="A8" s="87">
        <f t="shared" si="21"/>
        <v>21</v>
      </c>
      <c r="B8" s="45" t="str">
        <f t="shared" si="22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51" t="str">
        <f ca="1">IF(D8&lt;&gt;"",
IF(OR(COUNTIF(C8,"*雙葉*"),COUNTIF(C8,"*香蘭*")),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VALUE(VLOOKUP("*"&amp;D8&amp;"*",商品マスタ!D:H,5,FALSE))),"")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e" cm="1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52" t="e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/VLOOKUP("*"&amp;T8&amp;"*",商品マスタ!$D:$E,2,FALSE),0)))))),"")</f>
        <v>#REF!</v>
      </c>
      <c r="V8" s="108" t="e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>#REF!</v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IF(AND(LEFT(INDIRECT("B"&amp;R8&amp;""),2)="博多",INDIRECT("B"&amp;R8&amp;"")=INDIRECT("B"&amp;R8+1&amp;"")&amp;"'"),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50" t="str">
        <f t="shared" ca="1" si="23"/>
        <v/>
      </c>
      <c r="AI8" s="143" t="str">
        <f t="shared" ca="1" si="9"/>
        <v/>
      </c>
      <c r="AJ8" s="143" t="str">
        <f t="shared" ca="1" si="10"/>
        <v/>
      </c>
      <c r="AK8" s="143" t="str">
        <f t="shared" ca="1" si="11"/>
        <v/>
      </c>
      <c r="AL8" s="143" t="str">
        <f t="shared" ca="1" si="12"/>
        <v/>
      </c>
      <c r="AM8" s="143" t="str">
        <f t="shared" ca="1" si="13"/>
        <v/>
      </c>
      <c r="AN8" s="143" t="str">
        <f t="shared" ca="1" si="14"/>
        <v/>
      </c>
      <c r="AO8" s="143" t="str">
        <f t="shared" ca="1" si="15"/>
        <v/>
      </c>
      <c r="AP8" s="143" t="str">
        <f t="shared" ca="1" si="16"/>
        <v/>
      </c>
      <c r="AU8" s="143" t="str">
        <f t="shared" ca="1" si="17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8"/>
        <v>0</v>
      </c>
      <c r="BA8" s="57">
        <f t="shared" ca="1" si="19"/>
        <v>0</v>
      </c>
      <c r="BB8" s="143">
        <f t="shared" ca="1" si="20"/>
        <v>0</v>
      </c>
    </row>
    <row r="9" spans="1:54" ht="18" customHeight="1" x14ac:dyDescent="0.45">
      <c r="A9" s="87">
        <f t="shared" si="21"/>
        <v>23</v>
      </c>
      <c r="B9" s="45" t="str">
        <f t="shared" si="22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51" t="str">
        <f ca="1">IF(D9&lt;&gt;"",
IF(OR(COUNTIF(C9,"*雙葉*"),COUNTIF(C9,"*香蘭*")),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VALUE(VLOOKUP("*"&amp;D9&amp;"*",商品マスタ!D:H,5,FALSE))),"")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e" cm="1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52" t="e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/VLOOKUP("*"&amp;T9&amp;"*",商品マスタ!$D:$E,2,FALSE),0)))))),"")</f>
        <v>#REF!</v>
      </c>
      <c r="V9" s="108" t="e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>#REF!</v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IF(AND(LEFT(INDIRECT("B"&amp;R9&amp;""),2)="博多",INDIRECT("B"&amp;R9&amp;"")=INDIRECT("B"&amp;R9+1&amp;"")&amp;"'"),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50" t="str">
        <f t="shared" ca="1" si="23"/>
        <v/>
      </c>
      <c r="AI9" s="143" t="str">
        <f t="shared" ca="1" si="9"/>
        <v/>
      </c>
      <c r="AJ9" s="143" t="str">
        <f t="shared" ca="1" si="10"/>
        <v/>
      </c>
      <c r="AK9" s="143" t="str">
        <f t="shared" ca="1" si="11"/>
        <v/>
      </c>
      <c r="AL9" s="143" t="str">
        <f t="shared" ca="1" si="12"/>
        <v/>
      </c>
      <c r="AM9" s="143" t="str">
        <f t="shared" ca="1" si="13"/>
        <v/>
      </c>
      <c r="AN9" s="143" t="str">
        <f t="shared" ca="1" si="14"/>
        <v/>
      </c>
      <c r="AO9" s="143" t="str">
        <f t="shared" ca="1" si="15"/>
        <v/>
      </c>
      <c r="AP9" s="143" t="str">
        <f t="shared" ca="1" si="16"/>
        <v/>
      </c>
      <c r="AU9" s="143" t="str">
        <f t="shared" ca="1" si="17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8"/>
        <v>0</v>
      </c>
      <c r="BA9" s="57">
        <f t="shared" ca="1" si="19"/>
        <v>0</v>
      </c>
      <c r="BB9" s="143">
        <f t="shared" ca="1" si="20"/>
        <v>0</v>
      </c>
    </row>
    <row r="10" spans="1:54" ht="22.2" customHeight="1" x14ac:dyDescent="0.45">
      <c r="A10" s="87">
        <f t="shared" si="21"/>
        <v>25</v>
      </c>
      <c r="B10" s="45" t="str">
        <f t="shared" si="22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51" t="str">
        <f ca="1">IF(D10&lt;&gt;"",
IF(OR(COUNTIF(C10,"*雙葉*"),COUNTIF(C10,"*香蘭*")),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VALUE(VLOOKUP("*"&amp;D10&amp;"*",商品マスタ!D:H,5,FALSE))),"")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e" cm="1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52" t="e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/VLOOKUP("*"&amp;T10&amp;"*",商品マスタ!$D:$E,2,FALSE),0)))))),"")</f>
        <v>#REF!</v>
      </c>
      <c r="V10" s="108" t="e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>#REF!</v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IF(AND(LEFT(INDIRECT("B"&amp;R10&amp;""),2)="博多",INDIRECT("B"&amp;R10&amp;"")=INDIRECT("B"&amp;R10+1&amp;"")&amp;"'"),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50" t="str">
        <f t="shared" ca="1" si="23"/>
        <v/>
      </c>
      <c r="AI10" s="143" t="str">
        <f t="shared" ca="1" si="9"/>
        <v/>
      </c>
      <c r="AJ10" s="143" t="str">
        <f t="shared" ca="1" si="10"/>
        <v/>
      </c>
      <c r="AK10" s="143" t="str">
        <f t="shared" ca="1" si="11"/>
        <v/>
      </c>
      <c r="AL10" s="143" t="str">
        <f t="shared" ca="1" si="12"/>
        <v/>
      </c>
      <c r="AM10" s="143" t="str">
        <f t="shared" ca="1" si="13"/>
        <v/>
      </c>
      <c r="AN10" s="143" t="str">
        <f t="shared" ca="1" si="14"/>
        <v/>
      </c>
      <c r="AO10" s="143" t="str">
        <f t="shared" ca="1" si="15"/>
        <v/>
      </c>
      <c r="AP10" s="143" t="str">
        <f t="shared" ca="1" si="16"/>
        <v/>
      </c>
      <c r="AU10" s="143" t="str">
        <f t="shared" ca="1" si="17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8"/>
        <v>0</v>
      </c>
      <c r="BA10" s="57">
        <f t="shared" ca="1" si="19"/>
        <v>0</v>
      </c>
      <c r="BB10" s="143">
        <f t="shared" ca="1" si="20"/>
        <v>0</v>
      </c>
    </row>
    <row r="11" spans="1:54" ht="18" customHeight="1" x14ac:dyDescent="0.45">
      <c r="A11" s="87">
        <f t="shared" si="21"/>
        <v>27</v>
      </c>
      <c r="B11" s="45" t="str">
        <f t="shared" si="22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51" t="str">
        <f ca="1">IF(D11&lt;&gt;"",
IF(OR(COUNTIF(C11,"*雙葉*"),COUNTIF(C11,"*香蘭*")),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VALUE(VLOOKUP("*"&amp;D11&amp;"*",商品マスタ!D:H,5,FALSE))),"")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e" cm="1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52" t="e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/VLOOKUP("*"&amp;T11&amp;"*",商品マスタ!$D:$E,2,FALSE),0)))))),"")</f>
        <v>#REF!</v>
      </c>
      <c r="V11" s="108" t="e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>#REF!</v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IF(AND(LEFT(INDIRECT("B"&amp;R11&amp;""),2)="博多",INDIRECT("B"&amp;R11&amp;"")=INDIRECT("B"&amp;R11+1&amp;"")&amp;"'"),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50" t="str">
        <f t="shared" ca="1" si="23"/>
        <v/>
      </c>
      <c r="AI11" s="143" t="str">
        <f t="shared" ca="1" si="9"/>
        <v/>
      </c>
      <c r="AJ11" s="143" t="str">
        <f t="shared" ca="1" si="10"/>
        <v/>
      </c>
      <c r="AK11" s="143" t="str">
        <f t="shared" ca="1" si="11"/>
        <v/>
      </c>
      <c r="AL11" s="143" t="str">
        <f t="shared" ca="1" si="12"/>
        <v/>
      </c>
      <c r="AM11" s="143" t="str">
        <f t="shared" ca="1" si="13"/>
        <v/>
      </c>
      <c r="AN11" s="143" t="str">
        <f t="shared" ca="1" si="14"/>
        <v/>
      </c>
      <c r="AO11" s="143" t="str">
        <f t="shared" ca="1" si="15"/>
        <v/>
      </c>
      <c r="AP11" s="143" t="str">
        <f t="shared" ca="1" si="16"/>
        <v/>
      </c>
      <c r="AU11" s="143" t="str">
        <f t="shared" ca="1" si="17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8"/>
        <v>0</v>
      </c>
      <c r="BA11" s="57">
        <f t="shared" ca="1" si="19"/>
        <v>0</v>
      </c>
      <c r="BB11" s="143">
        <f t="shared" ca="1" si="20"/>
        <v>0</v>
      </c>
    </row>
    <row r="12" spans="1:54" ht="18" customHeight="1" x14ac:dyDescent="0.45">
      <c r="A12" s="87">
        <f t="shared" si="21"/>
        <v>29</v>
      </c>
      <c r="B12" s="45" t="str">
        <f t="shared" si="22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51" t="str">
        <f ca="1">IF(D12&lt;&gt;"",
IF(OR(COUNTIF(C12,"*雙葉*"),COUNTIF(C12,"*香蘭*")),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VALUE(VLOOKUP("*"&amp;D12&amp;"*",商品マスタ!D:H,5,FALSE))),"")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e" cm="1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52" t="e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/VLOOKUP("*"&amp;T12&amp;"*",商品マスタ!$D:$E,2,FALSE),0)))))),"")</f>
        <v>#REF!</v>
      </c>
      <c r="V12" s="108" t="e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>#REF!</v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IF(AND(LEFT(INDIRECT("B"&amp;R12&amp;""),2)="博多",INDIRECT("B"&amp;R12&amp;"")=INDIRECT("B"&amp;R12+1&amp;"")&amp;"'"),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50" t="str">
        <f t="shared" ca="1" si="23"/>
        <v/>
      </c>
      <c r="AI12" s="143" t="str">
        <f t="shared" ca="1" si="9"/>
        <v/>
      </c>
      <c r="AJ12" s="143" t="str">
        <f t="shared" ca="1" si="10"/>
        <v/>
      </c>
      <c r="AK12" s="143" t="str">
        <f t="shared" ca="1" si="11"/>
        <v/>
      </c>
      <c r="AL12" s="143" t="str">
        <f t="shared" ca="1" si="12"/>
        <v/>
      </c>
      <c r="AM12" s="143" t="str">
        <f t="shared" ca="1" si="13"/>
        <v/>
      </c>
      <c r="AN12" s="143" t="str">
        <f t="shared" ca="1" si="14"/>
        <v/>
      </c>
      <c r="AO12" s="143" t="str">
        <f t="shared" ca="1" si="15"/>
        <v/>
      </c>
      <c r="AP12" s="143" t="str">
        <f t="shared" ca="1" si="16"/>
        <v/>
      </c>
      <c r="AU12" s="143" t="str">
        <f t="shared" ca="1" si="17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8"/>
        <v>0</v>
      </c>
      <c r="BA12" s="57">
        <f t="shared" ca="1" si="19"/>
        <v>0</v>
      </c>
      <c r="BB12" s="143">
        <f t="shared" ca="1" si="20"/>
        <v>0</v>
      </c>
    </row>
    <row r="13" spans="1:54" ht="22.2" customHeight="1" x14ac:dyDescent="0.45">
      <c r="A13" s="87">
        <f t="shared" si="21"/>
        <v>31</v>
      </c>
      <c r="B13" s="45" t="str">
        <f t="shared" si="22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51" t="str">
        <f ca="1">IF(D13&lt;&gt;"",
IF(OR(COUNTIF(C13,"*雙葉*"),COUNTIF(C13,"*香蘭*")),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VALUE(VLOOKUP("*"&amp;D13&amp;"*",商品マスタ!D:H,5,FALSE))),"")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e" cm="1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52" t="e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/VLOOKUP("*"&amp;T13&amp;"*",商品マスタ!$D:$E,2,FALSE),0)))))),"")</f>
        <v>#REF!</v>
      </c>
      <c r="V13" s="108" t="e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>#REF!</v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IF(AND(LEFT(INDIRECT("B"&amp;R13&amp;""),2)="博多",INDIRECT("B"&amp;R13&amp;"")=INDIRECT("B"&amp;R13+1&amp;"")&amp;"'"),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50" t="str">
        <f t="shared" ca="1" si="23"/>
        <v/>
      </c>
      <c r="AI13" s="143" t="str">
        <f t="shared" ca="1" si="9"/>
        <v/>
      </c>
      <c r="AJ13" s="143" t="str">
        <f t="shared" ca="1" si="10"/>
        <v/>
      </c>
      <c r="AK13" s="143" t="str">
        <f t="shared" ca="1" si="11"/>
        <v/>
      </c>
      <c r="AL13" s="143" t="str">
        <f t="shared" ca="1" si="12"/>
        <v/>
      </c>
      <c r="AM13" s="143" t="str">
        <f t="shared" ca="1" si="13"/>
        <v/>
      </c>
      <c r="AN13" s="143" t="str">
        <f t="shared" ca="1" si="14"/>
        <v/>
      </c>
      <c r="AO13" s="143" t="str">
        <f t="shared" ca="1" si="15"/>
        <v/>
      </c>
      <c r="AP13" s="143" t="str">
        <f t="shared" ca="1" si="16"/>
        <v/>
      </c>
      <c r="AU13" s="143" t="str">
        <f t="shared" ca="1" si="17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8"/>
        <v>0</v>
      </c>
      <c r="BA13" s="57">
        <f t="shared" ca="1" si="19"/>
        <v>0</v>
      </c>
      <c r="BB13" s="143">
        <f t="shared" ca="1" si="20"/>
        <v>0</v>
      </c>
    </row>
    <row r="14" spans="1:54" ht="21" customHeight="1" x14ac:dyDescent="0.45">
      <c r="A14" s="87">
        <f t="shared" si="21"/>
        <v>33</v>
      </c>
      <c r="B14" s="45" t="str">
        <f t="shared" si="22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51" t="str">
        <f ca="1">IF(D14&lt;&gt;"",
IF(OR(COUNTIF(C14,"*雙葉*"),COUNTIF(C14,"*香蘭*")),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VALUE(VLOOKUP("*"&amp;D14&amp;"*",商品マスタ!D:H,5,FALSE))),"")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e" cm="1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52" t="e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/VLOOKUP("*"&amp;T14&amp;"*",商品マスタ!$D:$E,2,FALSE),0)))))),"")</f>
        <v>#REF!</v>
      </c>
      <c r="V14" s="108" t="e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>#REF!</v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IF(AND(LEFT(INDIRECT("B"&amp;R14&amp;""),2)="博多",INDIRECT("B"&amp;R14&amp;"")=INDIRECT("B"&amp;R14+1&amp;"")&amp;"'"),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50" t="str">
        <f t="shared" ca="1" si="23"/>
        <v/>
      </c>
      <c r="AI14" s="143" t="str">
        <f t="shared" ca="1" si="9"/>
        <v/>
      </c>
      <c r="AJ14" s="143" t="str">
        <f t="shared" ca="1" si="10"/>
        <v/>
      </c>
      <c r="AK14" s="143" t="str">
        <f t="shared" ca="1" si="11"/>
        <v/>
      </c>
      <c r="AL14" s="143" t="str">
        <f t="shared" ca="1" si="12"/>
        <v/>
      </c>
      <c r="AM14" s="143" t="str">
        <f t="shared" ca="1" si="13"/>
        <v/>
      </c>
      <c r="AN14" s="143" t="str">
        <f t="shared" ca="1" si="14"/>
        <v/>
      </c>
      <c r="AO14" s="143" t="str">
        <f t="shared" ca="1" si="15"/>
        <v/>
      </c>
      <c r="AP14" s="143" t="str">
        <f t="shared" ca="1" si="16"/>
        <v/>
      </c>
      <c r="AU14" s="143" t="str">
        <f t="shared" ca="1" si="17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8"/>
        <v>0</v>
      </c>
      <c r="BA14" s="57">
        <f t="shared" ca="1" si="19"/>
        <v>0</v>
      </c>
      <c r="BB14" s="143">
        <f t="shared" ca="1" si="20"/>
        <v>0</v>
      </c>
    </row>
    <row r="15" spans="1:54" ht="18" customHeight="1" x14ac:dyDescent="0.45">
      <c r="A15" s="87">
        <f t="shared" si="21"/>
        <v>35</v>
      </c>
      <c r="B15" s="45" t="str">
        <f t="shared" si="22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51" t="str">
        <f ca="1">IF(D15&lt;&gt;"",
IF(OR(COUNTIF(C15,"*雙葉*"),COUNTIF(C15,"*香蘭*")),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VALUE(VLOOKUP("*"&amp;D15&amp;"*",商品マスタ!D:H,5,FALSE))),"")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e" cm="1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52" t="e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/VLOOKUP("*"&amp;T15&amp;"*",商品マスタ!$D:$E,2,FALSE),0)))))),"")</f>
        <v>#REF!</v>
      </c>
      <c r="V15" s="108" t="e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>#REF!</v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IF(AND(LEFT(INDIRECT("B"&amp;R15&amp;""),2)="博多",INDIRECT("B"&amp;R15&amp;"")=INDIRECT("B"&amp;R15+1&amp;"")&amp;"'"),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50" t="str">
        <f t="shared" ca="1" si="23"/>
        <v/>
      </c>
      <c r="AI15" s="143" t="str">
        <f t="shared" ca="1" si="9"/>
        <v/>
      </c>
      <c r="AJ15" s="143" t="str">
        <f t="shared" ca="1" si="10"/>
        <v/>
      </c>
      <c r="AK15" s="143" t="str">
        <f t="shared" ca="1" si="11"/>
        <v/>
      </c>
      <c r="AL15" s="143" t="str">
        <f t="shared" ca="1" si="12"/>
        <v/>
      </c>
      <c r="AM15" s="143" t="str">
        <f t="shared" ca="1" si="13"/>
        <v/>
      </c>
      <c r="AN15" s="143" t="str">
        <f t="shared" ca="1" si="14"/>
        <v/>
      </c>
      <c r="AO15" s="143" t="str">
        <f t="shared" ca="1" si="15"/>
        <v/>
      </c>
      <c r="AP15" s="143" t="str">
        <f t="shared" ca="1" si="16"/>
        <v/>
      </c>
      <c r="AU15" s="143" t="str">
        <f t="shared" ca="1" si="17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8"/>
        <v>0</v>
      </c>
      <c r="BA15" s="57">
        <f t="shared" ca="1" si="19"/>
        <v>0</v>
      </c>
      <c r="BB15" s="143">
        <f t="shared" ca="1" si="20"/>
        <v>0</v>
      </c>
    </row>
    <row r="16" spans="1:54" ht="18" customHeight="1" x14ac:dyDescent="0.45">
      <c r="A16" s="87">
        <f t="shared" si="21"/>
        <v>37</v>
      </c>
      <c r="B16" s="45" t="str">
        <f t="shared" si="22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51" t="str">
        <f ca="1">IF(D16&lt;&gt;"",
IF(OR(COUNTIF(C16,"*雙葉*"),COUNTIF(C16,"*香蘭*")),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VALUE(VLOOKUP("*"&amp;D16&amp;"*",商品マスタ!D:H,5,FALSE))),"")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e" cm="1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52" t="e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/VLOOKUP("*"&amp;T16&amp;"*",商品マスタ!$D:$E,2,FALSE),0)))))),"")</f>
        <v>#REF!</v>
      </c>
      <c r="V16" s="108" t="e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>#REF!</v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IF(AND(LEFT(INDIRECT("B"&amp;R16&amp;""),2)="博多",INDIRECT("B"&amp;R16&amp;"")=INDIRECT("B"&amp;R16+1&amp;"")&amp;"'"),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50" t="str">
        <f t="shared" ca="1" si="23"/>
        <v/>
      </c>
      <c r="AI16" s="143" t="str">
        <f t="shared" ca="1" si="9"/>
        <v/>
      </c>
      <c r="AJ16" s="143" t="str">
        <f t="shared" ca="1" si="10"/>
        <v/>
      </c>
      <c r="AK16" s="143" t="str">
        <f t="shared" ca="1" si="11"/>
        <v/>
      </c>
      <c r="AL16" s="143" t="str">
        <f t="shared" ca="1" si="12"/>
        <v/>
      </c>
      <c r="AM16" s="143" t="str">
        <f t="shared" ca="1" si="13"/>
        <v/>
      </c>
      <c r="AN16" s="143" t="str">
        <f t="shared" ca="1" si="14"/>
        <v/>
      </c>
      <c r="AO16" s="143" t="str">
        <f t="shared" ca="1" si="15"/>
        <v/>
      </c>
      <c r="AP16" s="143" t="str">
        <f t="shared" ca="1" si="16"/>
        <v/>
      </c>
      <c r="AU16" s="143" t="str">
        <f t="shared" ca="1" si="17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8"/>
        <v>0</v>
      </c>
      <c r="BA16" s="57">
        <f t="shared" ca="1" si="19"/>
        <v>0</v>
      </c>
      <c r="BB16" s="143">
        <f t="shared" ca="1" si="20"/>
        <v>0</v>
      </c>
    </row>
    <row r="17" spans="1:54" ht="22.2" customHeight="1" x14ac:dyDescent="0.45">
      <c r="A17" s="87">
        <f t="shared" si="21"/>
        <v>39</v>
      </c>
      <c r="B17" s="45" t="str">
        <f t="shared" si="22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51" t="str">
        <f ca="1">IF(D17&lt;&gt;"",
IF(OR(COUNTIF(C17,"*雙葉*"),COUNTIF(C17,"*香蘭*")),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VALUE(VLOOKUP("*"&amp;D17&amp;"*",商品マスタ!D:H,5,FALSE))),"")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e" cm="1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52" t="e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/VLOOKUP("*"&amp;T17&amp;"*",商品マスタ!$D:$E,2,FALSE),0)))))),"")</f>
        <v>#REF!</v>
      </c>
      <c r="V17" s="108" t="e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>#REF!</v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IF(AND(LEFT(INDIRECT("B"&amp;R17&amp;""),2)="博多",INDIRECT("B"&amp;R17&amp;"")=INDIRECT("B"&amp;R17+1&amp;"")&amp;"'"),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50" t="str">
        <f t="shared" ca="1" si="23"/>
        <v/>
      </c>
      <c r="AI17" s="143" t="str">
        <f t="shared" ca="1" si="9"/>
        <v/>
      </c>
      <c r="AJ17" s="143" t="str">
        <f t="shared" ca="1" si="10"/>
        <v/>
      </c>
      <c r="AK17" s="143" t="str">
        <f t="shared" ca="1" si="11"/>
        <v/>
      </c>
      <c r="AL17" s="143" t="str">
        <f t="shared" ca="1" si="12"/>
        <v/>
      </c>
      <c r="AM17" s="143" t="str">
        <f t="shared" ca="1" si="13"/>
        <v/>
      </c>
      <c r="AN17" s="143" t="str">
        <f t="shared" ca="1" si="14"/>
        <v/>
      </c>
      <c r="AO17" s="143" t="str">
        <f t="shared" ca="1" si="15"/>
        <v/>
      </c>
      <c r="AP17" s="143" t="str">
        <f t="shared" ca="1" si="16"/>
        <v/>
      </c>
      <c r="AU17" s="143" t="str">
        <f t="shared" ca="1" si="17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8"/>
        <v>0</v>
      </c>
      <c r="BA17" s="57">
        <f t="shared" ca="1" si="19"/>
        <v>0</v>
      </c>
      <c r="BB17" s="143">
        <f t="shared" ca="1" si="20"/>
        <v>0</v>
      </c>
    </row>
    <row r="18" spans="1:54" ht="18" customHeight="1" x14ac:dyDescent="0.45">
      <c r="A18" s="87">
        <f t="shared" si="21"/>
        <v>41</v>
      </c>
      <c r="B18" s="45" t="str">
        <f t="shared" si="22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51" t="str">
        <f ca="1">IF(D18&lt;&gt;"",
IF(OR(COUNTIF(C18,"*雙葉*"),COUNTIF(C18,"*香蘭*")),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VALUE(VLOOKUP("*"&amp;D18&amp;"*",商品マスタ!D:H,5,FALSE))),"")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e" cm="1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52" t="e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/VLOOKUP("*"&amp;T18&amp;"*",商品マスタ!$D:$E,2,FALSE),0)))))),"")</f>
        <v>#REF!</v>
      </c>
      <c r="V18" s="108" t="e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>#REF!</v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IF(AND(LEFT(INDIRECT("B"&amp;R18&amp;""),2)="博多",INDIRECT("B"&amp;R18&amp;"")=INDIRECT("B"&amp;R18+1&amp;"")&amp;"'"),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50" t="str">
        <f t="shared" ca="1" si="23"/>
        <v/>
      </c>
      <c r="AI18" s="143" t="str">
        <f t="shared" ca="1" si="9"/>
        <v/>
      </c>
      <c r="AJ18" s="143" t="str">
        <f t="shared" ca="1" si="10"/>
        <v/>
      </c>
      <c r="AK18" s="143" t="str">
        <f t="shared" ca="1" si="11"/>
        <v/>
      </c>
      <c r="AL18" s="143" t="str">
        <f t="shared" ca="1" si="12"/>
        <v/>
      </c>
      <c r="AM18" s="143" t="str">
        <f t="shared" ca="1" si="13"/>
        <v/>
      </c>
      <c r="AN18" s="143" t="str">
        <f t="shared" ca="1" si="14"/>
        <v/>
      </c>
      <c r="AO18" s="143" t="str">
        <f t="shared" ca="1" si="15"/>
        <v/>
      </c>
      <c r="AP18" s="143" t="str">
        <f t="shared" ca="1" si="16"/>
        <v/>
      </c>
      <c r="AU18" s="143" t="str">
        <f t="shared" ca="1" si="17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8"/>
        <v>0</v>
      </c>
      <c r="BA18" s="57">
        <f t="shared" ca="1" si="19"/>
        <v>0</v>
      </c>
      <c r="BB18" s="143">
        <f t="shared" ca="1" si="20"/>
        <v>0</v>
      </c>
    </row>
    <row r="19" spans="1:54" ht="18" customHeight="1" x14ac:dyDescent="0.45">
      <c r="A19" s="87">
        <f t="shared" si="21"/>
        <v>43</v>
      </c>
      <c r="B19" s="45" t="str">
        <f t="shared" si="22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51" t="str">
        <f ca="1">IF(D19&lt;&gt;"",
IF(OR(COUNTIF(C19,"*雙葉*"),COUNTIF(C19,"*香蘭*")),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VALUE(VLOOKUP("*"&amp;D19&amp;"*",商品マスタ!D:H,5,FALSE))),"")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e" cm="1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52" t="e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/VLOOKUP("*"&amp;T19&amp;"*",商品マスタ!$D:$E,2,FALSE),0)))))),"")</f>
        <v>#REF!</v>
      </c>
      <c r="V19" s="108" t="e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>#REF!</v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IF(AND(LEFT(INDIRECT("B"&amp;R19&amp;""),2)="博多",INDIRECT("B"&amp;R19&amp;"")=INDIRECT("B"&amp;R19+1&amp;"")&amp;"'"),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50" t="str">
        <f t="shared" ca="1" si="23"/>
        <v/>
      </c>
      <c r="AI19" s="143" t="str">
        <f t="shared" ca="1" si="9"/>
        <v/>
      </c>
      <c r="AJ19" s="143" t="str">
        <f t="shared" ca="1" si="10"/>
        <v/>
      </c>
      <c r="AK19" s="143" t="str">
        <f t="shared" ca="1" si="11"/>
        <v/>
      </c>
      <c r="AL19" s="143" t="str">
        <f t="shared" ca="1" si="12"/>
        <v/>
      </c>
      <c r="AM19" s="143" t="str">
        <f t="shared" ca="1" si="13"/>
        <v/>
      </c>
      <c r="AN19" s="143" t="str">
        <f t="shared" ca="1" si="14"/>
        <v/>
      </c>
      <c r="AO19" s="143" t="str">
        <f t="shared" ca="1" si="15"/>
        <v/>
      </c>
      <c r="AP19" s="143" t="str">
        <f t="shared" ca="1" si="16"/>
        <v/>
      </c>
      <c r="AU19" s="143" t="str">
        <f t="shared" ca="1" si="17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0"/>
        <v>0</v>
      </c>
    </row>
    <row r="20" spans="1:54" ht="22.2" customHeight="1" x14ac:dyDescent="0.45">
      <c r="A20" s="87">
        <f t="shared" si="21"/>
        <v>45</v>
      </c>
      <c r="B20" s="45" t="str">
        <f t="shared" si="22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51" t="str">
        <f ca="1">IF(D20&lt;&gt;"",
IF(OR(COUNTIF(C20,"*雙葉*"),COUNTIF(C20,"*香蘭*")),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VALUE(VLOOKUP("*"&amp;D20&amp;"*",商品マスタ!D:H,5,FALSE))),"")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e" cm="1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52" t="e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/VLOOKUP("*"&amp;T20&amp;"*",商品マスタ!$D:$E,2,FALSE),0)))))),"")</f>
        <v>#REF!</v>
      </c>
      <c r="V20" s="108" t="e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>#REF!</v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IF(AND(LEFT(INDIRECT("B"&amp;R20&amp;""),2)="博多",INDIRECT("B"&amp;R20&amp;"")=INDIRECT("B"&amp;R20+1&amp;"")&amp;"'"),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50" t="str">
        <f t="shared" ca="1" si="23"/>
        <v/>
      </c>
      <c r="AI20" s="143" t="str">
        <f t="shared" ca="1" si="9"/>
        <v/>
      </c>
      <c r="AJ20" s="143" t="str">
        <f t="shared" ca="1" si="10"/>
        <v/>
      </c>
      <c r="AK20" s="143" t="str">
        <f t="shared" ca="1" si="11"/>
        <v/>
      </c>
      <c r="AL20" s="143" t="str">
        <f t="shared" ca="1" si="12"/>
        <v/>
      </c>
      <c r="AM20" s="143" t="str">
        <f t="shared" ca="1" si="13"/>
        <v/>
      </c>
      <c r="AN20" s="143" t="str">
        <f t="shared" ca="1" si="14"/>
        <v/>
      </c>
      <c r="AO20" s="143" t="str">
        <f t="shared" ca="1" si="15"/>
        <v/>
      </c>
      <c r="AP20" s="143" t="str">
        <f t="shared" ca="1" si="16"/>
        <v/>
      </c>
      <c r="AU20" s="143" t="str">
        <f t="shared" ca="1" si="17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0"/>
        <v>0</v>
      </c>
    </row>
    <row r="21" spans="1:54" ht="21" customHeight="1" x14ac:dyDescent="0.45">
      <c r="A21" s="87">
        <f t="shared" si="21"/>
        <v>47</v>
      </c>
      <c r="B21" s="45" t="str">
        <f t="shared" si="22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51" t="str">
        <f ca="1">IF(D21&lt;&gt;"",
IF(OR(COUNTIF(C21,"*雙葉*"),COUNTIF(C21,"*香蘭*")),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VALUE(VLOOKUP("*"&amp;D21&amp;"*",商品マスタ!D:H,5,FALSE))),"")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e" cm="1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52" t="e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/VLOOKUP("*"&amp;T21&amp;"*",商品マスタ!$D:$E,2,FALSE),0)))))),"")</f>
        <v>#REF!</v>
      </c>
      <c r="V21" s="108" t="e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>#REF!</v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IF(AND(LEFT(INDIRECT("B"&amp;R21&amp;""),2)="博多",INDIRECT("B"&amp;R21&amp;"")=INDIRECT("B"&amp;R21+1&amp;"")&amp;"'"),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50" t="str">
        <f t="shared" ca="1" si="23"/>
        <v/>
      </c>
      <c r="AI21" s="143" t="str">
        <f t="shared" ca="1" si="9"/>
        <v/>
      </c>
      <c r="AJ21" s="143" t="str">
        <f t="shared" ca="1" si="10"/>
        <v/>
      </c>
      <c r="AK21" s="143" t="str">
        <f t="shared" ca="1" si="11"/>
        <v/>
      </c>
      <c r="AL21" s="143" t="str">
        <f t="shared" ca="1" si="12"/>
        <v/>
      </c>
      <c r="AM21" s="143" t="str">
        <f t="shared" ca="1" si="13"/>
        <v/>
      </c>
      <c r="AN21" s="143" t="str">
        <f t="shared" ca="1" si="14"/>
        <v/>
      </c>
      <c r="AO21" s="143" t="str">
        <f t="shared" ca="1" si="15"/>
        <v/>
      </c>
      <c r="AP21" s="143" t="str">
        <f t="shared" ca="1" si="16"/>
        <v/>
      </c>
      <c r="AU21" s="143" t="str">
        <f t="shared" ca="1" si="17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0"/>
        <v>0</v>
      </c>
    </row>
    <row r="22" spans="1:54" ht="18" customHeight="1" x14ac:dyDescent="0.45">
      <c r="A22" s="87">
        <f t="shared" si="21"/>
        <v>49</v>
      </c>
      <c r="B22" s="45" t="str">
        <f t="shared" si="22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51" t="str">
        <f ca="1">IF(D22&lt;&gt;"",
IF(OR(COUNTIF(C22,"*雙葉*"),COUNTIF(C22,"*香蘭*")),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VALUE(VLOOKUP("*"&amp;D22&amp;"*",商品マスタ!D:H,5,FALSE))),"")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e" cm="1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52" t="e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/VLOOKUP("*"&amp;T22&amp;"*",商品マスタ!$D:$E,2,FALSE),0)))))),"")</f>
        <v>#REF!</v>
      </c>
      <c r="V22" s="108" t="e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>#REF!</v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IF(AND(LEFT(INDIRECT("B"&amp;R22&amp;""),2)="博多",INDIRECT("B"&amp;R22&amp;"")=INDIRECT("B"&amp;R22+1&amp;"")&amp;"'"),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50" t="str">
        <f t="shared" ca="1" si="23"/>
        <v/>
      </c>
      <c r="AI22" s="143" t="str">
        <f t="shared" ca="1" si="9"/>
        <v/>
      </c>
      <c r="AJ22" s="143" t="str">
        <f t="shared" ca="1" si="10"/>
        <v/>
      </c>
      <c r="AK22" s="143" t="str">
        <f t="shared" ca="1" si="11"/>
        <v/>
      </c>
      <c r="AL22" s="143" t="str">
        <f t="shared" ca="1" si="12"/>
        <v/>
      </c>
      <c r="AM22" s="143" t="str">
        <f t="shared" ca="1" si="13"/>
        <v/>
      </c>
      <c r="AN22" s="143" t="str">
        <f t="shared" ca="1" si="14"/>
        <v/>
      </c>
      <c r="AO22" s="143" t="str">
        <f t="shared" ca="1" si="15"/>
        <v/>
      </c>
      <c r="AP22" s="143" t="str">
        <f t="shared" ca="1" si="16"/>
        <v/>
      </c>
      <c r="AU22" s="143" t="str">
        <f t="shared" ca="1" si="17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0"/>
        <v>0</v>
      </c>
    </row>
    <row r="23" spans="1:54" ht="18" customHeight="1" x14ac:dyDescent="0.45">
      <c r="A23" s="87">
        <f t="shared" si="21"/>
        <v>51</v>
      </c>
      <c r="B23" s="45" t="str">
        <f t="shared" si="22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51" t="str">
        <f ca="1">IF(D23&lt;&gt;"",
IF(OR(COUNTIF(C23,"*雙葉*"),COUNTIF(C23,"*香蘭*")),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VALUE(VLOOKUP("*"&amp;D23&amp;"*",商品マスタ!D:H,5,FALSE))),"")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e" cm="1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52" t="e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/VLOOKUP("*"&amp;T23&amp;"*",商品マスタ!$D:$E,2,FALSE),0)))))),"")</f>
        <v>#REF!</v>
      </c>
      <c r="V23" s="108" t="e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>#REF!</v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IF(AND(LEFT(INDIRECT("B"&amp;R23&amp;""),2)="博多",INDIRECT("B"&amp;R23&amp;"")=INDIRECT("B"&amp;R23+1&amp;"")&amp;"'"),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50" t="str">
        <f t="shared" ca="1" si="23"/>
        <v/>
      </c>
      <c r="AI23" s="143" t="str">
        <f t="shared" ca="1" si="9"/>
        <v/>
      </c>
      <c r="AJ23" s="143" t="str">
        <f t="shared" ca="1" si="10"/>
        <v/>
      </c>
      <c r="AK23" s="143" t="str">
        <f t="shared" ca="1" si="11"/>
        <v/>
      </c>
      <c r="AL23" s="143" t="str">
        <f t="shared" ca="1" si="12"/>
        <v/>
      </c>
      <c r="AM23" s="143" t="str">
        <f t="shared" ca="1" si="13"/>
        <v/>
      </c>
      <c r="AN23" s="143" t="str">
        <f t="shared" ca="1" si="14"/>
        <v/>
      </c>
      <c r="AO23" s="143" t="str">
        <f t="shared" ca="1" si="15"/>
        <v/>
      </c>
      <c r="AP23" s="143" t="str">
        <f t="shared" ca="1" si="16"/>
        <v/>
      </c>
      <c r="AU23" s="143" t="str">
        <f t="shared" ca="1" si="17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0"/>
        <v>0</v>
      </c>
    </row>
    <row r="24" spans="1:54" ht="22.2" customHeight="1" x14ac:dyDescent="0.45">
      <c r="A24" s="87">
        <f t="shared" si="21"/>
        <v>53</v>
      </c>
      <c r="B24" s="45" t="str">
        <f t="shared" si="22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51" t="str">
        <f ca="1">IF(D24&lt;&gt;"",
IF(OR(COUNTIF(C24,"*雙葉*"),COUNTIF(C24,"*香蘭*")),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VALUE(VLOOKUP("*"&amp;D24&amp;"*",商品マスタ!D:H,5,FALSE))),"")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e" cm="1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52" t="e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/VLOOKUP("*"&amp;T24&amp;"*",商品マスタ!$D:$E,2,FALSE),0)))))),"")</f>
        <v>#REF!</v>
      </c>
      <c r="V24" s="108" t="e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>#REF!</v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IF(AND(LEFT(INDIRECT("B"&amp;R24&amp;""),2)="博多",INDIRECT("B"&amp;R24&amp;"")=INDIRECT("B"&amp;R24+1&amp;"")&amp;"'"),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50" t="str">
        <f t="shared" ca="1" si="23"/>
        <v/>
      </c>
      <c r="AI24" s="143" t="str">
        <f t="shared" ca="1" si="9"/>
        <v/>
      </c>
      <c r="AJ24" s="143" t="str">
        <f t="shared" ca="1" si="10"/>
        <v/>
      </c>
      <c r="AK24" s="143" t="str">
        <f t="shared" ca="1" si="11"/>
        <v/>
      </c>
      <c r="AL24" s="143" t="str">
        <f t="shared" ca="1" si="12"/>
        <v/>
      </c>
      <c r="AM24" s="143" t="str">
        <f t="shared" ca="1" si="13"/>
        <v/>
      </c>
      <c r="AN24" s="143" t="str">
        <f t="shared" ca="1" si="14"/>
        <v/>
      </c>
      <c r="AO24" s="143" t="str">
        <f t="shared" ca="1" si="15"/>
        <v/>
      </c>
      <c r="AP24" s="143" t="str">
        <f t="shared" ca="1" si="16"/>
        <v/>
      </c>
      <c r="AU24" s="143" t="str">
        <f t="shared" ca="1" si="17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0"/>
        <v>0</v>
      </c>
    </row>
    <row r="25" spans="1:54" ht="18" customHeight="1" x14ac:dyDescent="0.45">
      <c r="A25" s="87">
        <f t="shared" si="21"/>
        <v>55</v>
      </c>
      <c r="B25" s="45" t="str">
        <f t="shared" si="22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51" t="str">
        <f ca="1">IF(D25&lt;&gt;"",
IF(OR(COUNTIF(C25,"*雙葉*"),COUNTIF(C25,"*香蘭*")),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VALUE(VLOOKUP("*"&amp;D25&amp;"*",商品マスタ!D:H,5,FALSE))),"")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e" cm="1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52" t="e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/VLOOKUP("*"&amp;T25&amp;"*",商品マスタ!$D:$E,2,FALSE),0)))))),"")</f>
        <v>#REF!</v>
      </c>
      <c r="V25" s="108" t="e">
        <f ca="1">IF(U25&lt;&gt;"",
IF(VALUE(W25-AB25)&gt;VALUE(IF(COUNTIF(T25,"*キャラ*"),
VLOOKUP("*キャラ*",商品マスタ!$D:$E,2,FALSE),
IF(COUNTIF(T25,"*赤*"),
VLOOKUP("*赤*",商品マスタ!$D:$E,2,FALSE),
VLOOKUP("*"&amp;T25&amp;"*",商品マスタ!$D:$E,2,FALSE)))*U25),
"+"&amp;(W25-AB25)-IF(COUNTIF(T25,"*キャラ*"),
VLOOKUP("*キャラ*",商品マスタ!$D:$E,2,FALSE),
IF(COUNTIF(T25,"*赤*"),
VLOOKUP("*赤*",商品マスタ!$D:$E,2,FALSE),
VLOOKUP("*"&amp;T25&amp;"*",商品マスタ!$D:$E,2,FALSE)))*U25,
(W25-AB25)-IF(COUNTIF(T25,"*キャラ*"),
VLOOKUP("*キャラ*",商品マスタ!$D:$E,2,FALSE),
IF(COUNTIF(T25,"*赤*"),
VLOOKUP("*赤*",商品マスタ!$D:$E,2,FALSE),
VLOOKUP("*"&amp;T25&amp;"*",商品マスタ!$D:$E,2,FALSE)))*U25),"")</f>
        <v>#REF!</v>
      </c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IF(AND(LEFT(INDIRECT("B"&amp;R25&amp;""),2)="博多",INDIRECT("B"&amp;R25&amp;"")=INDIRECT("B"&amp;R25+1&amp;"")&amp;"'"),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50" t="str">
        <f t="shared" ca="1" si="23"/>
        <v/>
      </c>
      <c r="AI25" s="143" t="str">
        <f t="shared" ca="1" si="9"/>
        <v/>
      </c>
      <c r="AJ25" s="143" t="str">
        <f t="shared" ca="1" si="10"/>
        <v/>
      </c>
      <c r="AK25" s="143" t="str">
        <f t="shared" ca="1" si="11"/>
        <v/>
      </c>
      <c r="AL25" s="143" t="str">
        <f t="shared" ca="1" si="12"/>
        <v/>
      </c>
      <c r="AM25" s="143" t="str">
        <f t="shared" ca="1" si="13"/>
        <v/>
      </c>
      <c r="AN25" s="143" t="str">
        <f t="shared" ca="1" si="14"/>
        <v/>
      </c>
      <c r="AO25" s="143" t="str">
        <f t="shared" ca="1" si="15"/>
        <v/>
      </c>
      <c r="AP25" s="143" t="str">
        <f t="shared" ca="1" si="16"/>
        <v/>
      </c>
      <c r="AU25" s="143" t="str">
        <f t="shared" ca="1" si="17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0"/>
        <v>0</v>
      </c>
    </row>
    <row r="26" spans="1:54" ht="18" customHeight="1" x14ac:dyDescent="0.45">
      <c r="A26" s="87">
        <f t="shared" si="21"/>
        <v>57</v>
      </c>
      <c r="B26" s="45" t="str">
        <f t="shared" si="22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51" t="str">
        <f ca="1">IF(D26&lt;&gt;"",
IF(OR(COUNTIF(C26,"*雙葉*"),COUNTIF(C26,"*香蘭*")),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VALUE(VLOOKUP("*"&amp;D26&amp;"*",商品マスタ!D:H,5,FALSE))),"")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e" cm="1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52" t="e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/VLOOKUP("*"&amp;T26&amp;"*",商品マスタ!$D:$E,2,FALSE),0)))))),"")</f>
        <v>#REF!</v>
      </c>
      <c r="V26" s="108" t="e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>#REF!</v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IF(AND(LEFT(INDIRECT("B"&amp;R26&amp;""),2)="博多",INDIRECT("B"&amp;R26&amp;"")=INDIRECT("B"&amp;R26+1&amp;"")&amp;"'"),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50" t="str">
        <f t="shared" ca="1" si="23"/>
        <v/>
      </c>
      <c r="AI26" s="143" t="str">
        <f t="shared" ca="1" si="9"/>
        <v/>
      </c>
      <c r="AJ26" s="143" t="str">
        <f t="shared" ca="1" si="10"/>
        <v/>
      </c>
      <c r="AK26" s="143" t="str">
        <f t="shared" ca="1" si="11"/>
        <v/>
      </c>
      <c r="AL26" s="143" t="str">
        <f t="shared" ca="1" si="12"/>
        <v/>
      </c>
      <c r="AM26" s="143" t="str">
        <f t="shared" ca="1" si="13"/>
        <v/>
      </c>
      <c r="AN26" s="143" t="str">
        <f t="shared" ca="1" si="14"/>
        <v/>
      </c>
      <c r="AO26" s="143" t="str">
        <f t="shared" ca="1" si="15"/>
        <v/>
      </c>
      <c r="AP26" s="143" t="str">
        <f t="shared" ca="1" si="16"/>
        <v/>
      </c>
      <c r="AU26" s="143" t="str">
        <f t="shared" ca="1" si="17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0"/>
        <v>0</v>
      </c>
    </row>
    <row r="27" spans="1:54" ht="22.2" customHeight="1" x14ac:dyDescent="0.45">
      <c r="A27" s="87">
        <f t="shared" si="21"/>
        <v>59</v>
      </c>
      <c r="B27" s="45" t="str">
        <f t="shared" si="22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51" t="str">
        <f ca="1">IF(D27&lt;&gt;"",
IF(OR(COUNTIF(C27,"*雙葉*"),COUNTIF(C27,"*香蘭*")),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VALUE(VLOOKUP("*"&amp;D27&amp;"*",商品マスタ!D:H,5,FALSE))),"")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e" cm="1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52" t="e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/VLOOKUP("*"&amp;T27&amp;"*",商品マスタ!$D:$E,2,FALSE),0)))))),"")</f>
        <v>#REF!</v>
      </c>
      <c r="V27" s="108" t="e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>#REF!</v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IF(AND(LEFT(INDIRECT("B"&amp;R27&amp;""),2)="博多",INDIRECT("B"&amp;R27&amp;"")=INDIRECT("B"&amp;R27+1&amp;"")&amp;"'"),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50" t="str">
        <f t="shared" ca="1" si="23"/>
        <v/>
      </c>
      <c r="AI27" s="143" t="str">
        <f t="shared" ca="1" si="9"/>
        <v/>
      </c>
      <c r="AJ27" s="143" t="str">
        <f t="shared" ca="1" si="10"/>
        <v/>
      </c>
      <c r="AK27" s="143" t="str">
        <f t="shared" ca="1" si="11"/>
        <v/>
      </c>
      <c r="AL27" s="143" t="str">
        <f t="shared" ca="1" si="12"/>
        <v/>
      </c>
      <c r="AM27" s="143" t="str">
        <f t="shared" ca="1" si="13"/>
        <v/>
      </c>
      <c r="AN27" s="143" t="str">
        <f t="shared" ca="1" si="14"/>
        <v/>
      </c>
      <c r="AO27" s="143" t="str">
        <f t="shared" ca="1" si="15"/>
        <v/>
      </c>
      <c r="AP27" s="143" t="str">
        <f t="shared" ca="1" si="16"/>
        <v/>
      </c>
      <c r="AU27" s="143" t="str">
        <f t="shared" ca="1" si="17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0"/>
        <v>0</v>
      </c>
    </row>
    <row r="28" spans="1:54" ht="21" customHeight="1" x14ac:dyDescent="0.45">
      <c r="A28" s="87">
        <f t="shared" si="21"/>
        <v>61</v>
      </c>
      <c r="B28" s="45" t="str">
        <f t="shared" si="22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51" t="str">
        <f ca="1">IF(D28&lt;&gt;"",
IF(OR(COUNTIF(C28,"*雙葉*"),COUNTIF(C28,"*香蘭*")),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VALUE(VLOOKUP("*"&amp;D28&amp;"*",商品マスタ!D:H,5,FALSE))),"")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e" cm="1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52" t="e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/VLOOKUP("*"&amp;T28&amp;"*",商品マスタ!$D:$E,2,FALSE),0)))))),"")</f>
        <v>#REF!</v>
      </c>
      <c r="V28" s="108" t="e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>#REF!</v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IF(AND(LEFT(INDIRECT("B"&amp;R28&amp;""),2)="博多",INDIRECT("B"&amp;R28&amp;"")=INDIRECT("B"&amp;R28+1&amp;"")&amp;"'"),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50" t="str">
        <f t="shared" ca="1" si="23"/>
        <v/>
      </c>
      <c r="AI28" s="143" t="str">
        <f t="shared" ca="1" si="9"/>
        <v/>
      </c>
      <c r="AJ28" s="143" t="str">
        <f t="shared" ca="1" si="10"/>
        <v/>
      </c>
      <c r="AK28" s="143" t="str">
        <f t="shared" ca="1" si="11"/>
        <v/>
      </c>
      <c r="AL28" s="143" t="str">
        <f t="shared" ca="1" si="12"/>
        <v/>
      </c>
      <c r="AM28" s="143" t="str">
        <f t="shared" ca="1" si="13"/>
        <v/>
      </c>
      <c r="AN28" s="143" t="str">
        <f t="shared" ca="1" si="14"/>
        <v/>
      </c>
      <c r="AO28" s="143" t="str">
        <f t="shared" ca="1" si="15"/>
        <v/>
      </c>
      <c r="AP28" s="143" t="str">
        <f t="shared" ca="1" si="16"/>
        <v/>
      </c>
      <c r="AU28" s="143" t="str">
        <f t="shared" ca="1" si="17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0"/>
        <v>0</v>
      </c>
    </row>
    <row r="29" spans="1:54" ht="18" customHeight="1" x14ac:dyDescent="0.45">
      <c r="A29" s="87">
        <f t="shared" si="21"/>
        <v>63</v>
      </c>
      <c r="B29" s="45" t="str">
        <f t="shared" si="22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51" t="str">
        <f ca="1">IF(D29&lt;&gt;"",
IF(OR(COUNTIF(C29,"*雙葉*"),COUNTIF(C29,"*香蘭*")),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VALUE(VLOOKUP("*"&amp;D29&amp;"*",商品マスタ!D:H,5,FALSE))),"")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e" cm="1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52" t="e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/VLOOKUP("*"&amp;T29&amp;"*",商品マスタ!$D:$E,2,FALSE),0)))))),"")</f>
        <v>#REF!</v>
      </c>
      <c r="V29" s="108" t="e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>#REF!</v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IF(AND(LEFT(INDIRECT("B"&amp;R29&amp;""),2)="博多",INDIRECT("B"&amp;R29&amp;"")=INDIRECT("B"&amp;R29+1&amp;"")&amp;"'"),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50" t="str">
        <f t="shared" ca="1" si="23"/>
        <v/>
      </c>
      <c r="AI29" s="143" t="str">
        <f t="shared" ca="1" si="9"/>
        <v/>
      </c>
      <c r="AJ29" s="143" t="str">
        <f t="shared" ca="1" si="10"/>
        <v/>
      </c>
      <c r="AK29" s="143" t="str">
        <f t="shared" ca="1" si="11"/>
        <v/>
      </c>
      <c r="AL29" s="143" t="str">
        <f t="shared" ca="1" si="12"/>
        <v/>
      </c>
      <c r="AM29" s="143" t="str">
        <f t="shared" ca="1" si="13"/>
        <v/>
      </c>
      <c r="AN29" s="143" t="str">
        <f t="shared" ca="1" si="14"/>
        <v/>
      </c>
      <c r="AO29" s="143" t="str">
        <f t="shared" ca="1" si="15"/>
        <v/>
      </c>
      <c r="AP29" s="143" t="str">
        <f t="shared" ca="1" si="16"/>
        <v/>
      </c>
      <c r="AU29" s="143" t="str">
        <f t="shared" ca="1" si="17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0"/>
        <v>0</v>
      </c>
    </row>
    <row r="30" spans="1:54" ht="18" customHeight="1" x14ac:dyDescent="0.45">
      <c r="A30" s="87">
        <f t="shared" si="21"/>
        <v>65</v>
      </c>
      <c r="B30" s="45" t="str">
        <f t="shared" si="22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51" t="str">
        <f ca="1">IF(D30&lt;&gt;"",
IF(OR(COUNTIF(C30,"*雙葉*"),COUNTIF(C30,"*香蘭*")),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VALUE(VLOOKUP("*"&amp;D30&amp;"*",商品マスタ!D:H,5,FALSE))),"")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e" cm="1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52" t="e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/VLOOKUP("*"&amp;T30&amp;"*",商品マスタ!$D:$E,2,FALSE),0)))))),"")</f>
        <v>#REF!</v>
      </c>
      <c r="V30" s="108" t="e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>#REF!</v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IF(AND(LEFT(INDIRECT("B"&amp;R30&amp;""),2)="博多",INDIRECT("B"&amp;R30&amp;"")=INDIRECT("B"&amp;R30+1&amp;"")&amp;"'"),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50" t="str">
        <f t="shared" ca="1" si="23"/>
        <v/>
      </c>
      <c r="AI30" s="143" t="str">
        <f t="shared" ca="1" si="9"/>
        <v/>
      </c>
      <c r="AJ30" s="143" t="str">
        <f t="shared" ca="1" si="10"/>
        <v/>
      </c>
      <c r="AK30" s="143" t="str">
        <f t="shared" ca="1" si="11"/>
        <v/>
      </c>
      <c r="AL30" s="143" t="str">
        <f t="shared" ca="1" si="12"/>
        <v/>
      </c>
      <c r="AM30" s="143" t="str">
        <f t="shared" ca="1" si="13"/>
        <v/>
      </c>
      <c r="AN30" s="143" t="str">
        <f t="shared" ca="1" si="14"/>
        <v/>
      </c>
      <c r="AO30" s="143" t="str">
        <f t="shared" ca="1" si="15"/>
        <v/>
      </c>
      <c r="AP30" s="143" t="str">
        <f t="shared" ca="1" si="16"/>
        <v/>
      </c>
      <c r="AU30" s="143" t="str">
        <f t="shared" ca="1" si="17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0"/>
        <v>0</v>
      </c>
    </row>
    <row r="31" spans="1:54" ht="22.2" customHeight="1" x14ac:dyDescent="0.45">
      <c r="A31" s="87">
        <f t="shared" si="21"/>
        <v>67</v>
      </c>
      <c r="B31" s="45" t="str">
        <f t="shared" si="22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51" t="str">
        <f ca="1">IF(D31&lt;&gt;"",
IF(OR(COUNTIF(C31,"*雙葉*"),COUNTIF(C31,"*香蘭*")),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VALUE(VLOOKUP("*"&amp;D31&amp;"*",商品マスタ!D:H,5,FALSE))),"")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e" cm="1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52" t="e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/VLOOKUP("*"&amp;T31&amp;"*",商品マスタ!$D:$E,2,FALSE),0)))))),"")</f>
        <v>#REF!</v>
      </c>
      <c r="V31" s="108" t="e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>#REF!</v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IF(AND(LEFT(INDIRECT("B"&amp;R31&amp;""),2)="博多",INDIRECT("B"&amp;R31&amp;"")=INDIRECT("B"&amp;R31+1&amp;"")&amp;"'"),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50" t="str">
        <f t="shared" ca="1" si="23"/>
        <v/>
      </c>
      <c r="AI31" s="143" t="str">
        <f t="shared" ca="1" si="9"/>
        <v/>
      </c>
      <c r="AJ31" s="143" t="str">
        <f t="shared" ca="1" si="10"/>
        <v/>
      </c>
      <c r="AK31" s="143" t="str">
        <f t="shared" ca="1" si="11"/>
        <v/>
      </c>
      <c r="AL31" s="143" t="str">
        <f t="shared" ca="1" si="12"/>
        <v/>
      </c>
      <c r="AM31" s="143" t="str">
        <f t="shared" ca="1" si="13"/>
        <v/>
      </c>
      <c r="AN31" s="143" t="str">
        <f t="shared" ca="1" si="14"/>
        <v/>
      </c>
      <c r="AO31" s="143" t="str">
        <f t="shared" ca="1" si="15"/>
        <v/>
      </c>
      <c r="AP31" s="143" t="str">
        <f t="shared" ca="1" si="16"/>
        <v/>
      </c>
      <c r="AU31" s="143" t="str">
        <f t="shared" ca="1" si="17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0"/>
        <v>0</v>
      </c>
    </row>
    <row r="32" spans="1:54" ht="18" customHeight="1" x14ac:dyDescent="0.45">
      <c r="A32" s="87">
        <f t="shared" si="21"/>
        <v>69</v>
      </c>
      <c r="B32" s="45" t="str">
        <f t="shared" si="22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51" t="str">
        <f ca="1">IF(D32&lt;&gt;"",
IF(OR(COUNTIF(C32,"*雙葉*"),COUNTIF(C32,"*香蘭*")),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VALUE(VLOOKUP("*"&amp;D32&amp;"*",商品マスタ!D:H,5,FALSE))),"")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e" cm="1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52" t="e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/VLOOKUP("*"&amp;T32&amp;"*",商品マスタ!$D:$E,2,FALSE),0)))))),"")</f>
        <v>#REF!</v>
      </c>
      <c r="V32" s="108" t="e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>#REF!</v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IF(AND(LEFT(INDIRECT("B"&amp;R32&amp;""),2)="博多",INDIRECT("B"&amp;R32&amp;"")=INDIRECT("B"&amp;R32+1&amp;"")&amp;"'"),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50" t="str">
        <f t="shared" ca="1" si="23"/>
        <v/>
      </c>
      <c r="AI32" s="143" t="str">
        <f t="shared" ca="1" si="9"/>
        <v/>
      </c>
      <c r="AJ32" s="143" t="str">
        <f t="shared" ca="1" si="10"/>
        <v/>
      </c>
      <c r="AK32" s="143" t="str">
        <f t="shared" ca="1" si="11"/>
        <v/>
      </c>
      <c r="AL32" s="143" t="str">
        <f t="shared" ca="1" si="12"/>
        <v/>
      </c>
      <c r="AM32" s="143" t="str">
        <f t="shared" ca="1" si="13"/>
        <v/>
      </c>
      <c r="AN32" s="143" t="str">
        <f t="shared" ca="1" si="14"/>
        <v/>
      </c>
      <c r="AO32" s="143" t="str">
        <f t="shared" ca="1" si="15"/>
        <v/>
      </c>
      <c r="AP32" s="143" t="str">
        <f t="shared" ca="1" si="16"/>
        <v/>
      </c>
      <c r="AU32" s="143" t="str">
        <f t="shared" ca="1" si="17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0"/>
        <v>0</v>
      </c>
    </row>
    <row r="33" spans="1:54" ht="18" customHeight="1" x14ac:dyDescent="0.45">
      <c r="A33" s="87">
        <f t="shared" si="21"/>
        <v>71</v>
      </c>
      <c r="B33" s="45" t="str">
        <f t="shared" si="22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51" t="str">
        <f ca="1">IF(D33&lt;&gt;"",
IF(OR(COUNTIF(C33,"*雙葉*"),COUNTIF(C33,"*香蘭*")),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VALUE(VLOOKUP("*"&amp;D33&amp;"*",商品マスタ!D:H,5,FALSE))),"")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e" cm="1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52" t="e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/VLOOKUP("*"&amp;T33&amp;"*",商品マスタ!$D:$E,2,FALSE),0)))))),"")</f>
        <v>#REF!</v>
      </c>
      <c r="V33" s="108" t="e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>#REF!</v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IF(AND(LEFT(INDIRECT("B"&amp;R33&amp;""),2)="博多",INDIRECT("B"&amp;R33&amp;"")=INDIRECT("B"&amp;R33+1&amp;"")&amp;"'"),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50" t="str">
        <f t="shared" ca="1" si="23"/>
        <v/>
      </c>
      <c r="AI33" s="143" t="str">
        <f t="shared" ca="1" si="9"/>
        <v/>
      </c>
      <c r="AJ33" s="143" t="str">
        <f t="shared" ca="1" si="10"/>
        <v/>
      </c>
      <c r="AK33" s="143" t="str">
        <f t="shared" ca="1" si="11"/>
        <v/>
      </c>
      <c r="AL33" s="143" t="str">
        <f t="shared" ca="1" si="12"/>
        <v/>
      </c>
      <c r="AM33" s="143" t="str">
        <f t="shared" ca="1" si="13"/>
        <v/>
      </c>
      <c r="AN33" s="143" t="str">
        <f t="shared" ca="1" si="14"/>
        <v/>
      </c>
      <c r="AO33" s="143" t="str">
        <f t="shared" ca="1" si="15"/>
        <v/>
      </c>
      <c r="AP33" s="143" t="str">
        <f t="shared" ca="1" si="16"/>
        <v/>
      </c>
      <c r="AU33" s="143" t="str">
        <f t="shared" ca="1" si="17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 x14ac:dyDescent="0.45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51" t="str">
        <f ca="1">IF(D34&lt;&gt;"",
IF(OR(COUNTIF(C34,"*雙葉*"),COUNTIF(C34,"*香蘭*")),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VALUE(VLOOKUP("*"&amp;D34&amp;"*",商品マスタ!D:H,5,FALSE))),"")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e" cm="1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52" t="e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/VLOOKUP("*"&amp;T34&amp;"*",商品マスタ!$D:$E,2,FALSE),0)))))),"")</f>
        <v>#REF!</v>
      </c>
      <c r="V34" s="108" t="e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>#REF!</v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IF(AND(LEFT(INDIRECT("B"&amp;R34&amp;""),2)="博多",INDIRECT("B"&amp;R34&amp;"")=INDIRECT("B"&amp;R34+1&amp;"")&amp;"'"),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50" t="str">
        <f t="shared" ca="1" si="23"/>
        <v/>
      </c>
      <c r="AI34" s="143" t="str">
        <f t="shared" ca="1" si="9"/>
        <v/>
      </c>
      <c r="AJ34" s="143" t="str">
        <f t="shared" ca="1" si="10"/>
        <v/>
      </c>
      <c r="AK34" s="143" t="str">
        <f t="shared" ca="1" si="11"/>
        <v/>
      </c>
      <c r="AL34" s="143" t="str">
        <f t="shared" ca="1" si="12"/>
        <v/>
      </c>
      <c r="AM34" s="143" t="str">
        <f t="shared" ca="1" si="13"/>
        <v/>
      </c>
      <c r="AN34" s="143" t="str">
        <f t="shared" ca="1" si="14"/>
        <v/>
      </c>
      <c r="AO34" s="143" t="str">
        <f t="shared" ca="1" si="15"/>
        <v/>
      </c>
      <c r="AP34" s="143" t="str">
        <f t="shared" ca="1" si="16"/>
        <v/>
      </c>
      <c r="AU34" s="143" t="str">
        <f t="shared" ca="1" si="17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 x14ac:dyDescent="0.45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51" t="str">
        <f ca="1">IF(D35&lt;&gt;"",
IF(OR(COUNTIF(C35,"*雙葉*"),COUNTIF(C35,"*香蘭*")),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VALUE(VLOOKUP("*"&amp;D35&amp;"*",商品マスタ!D:H,5,FALSE))),"")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e" cm="1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52" t="e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/VLOOKUP("*"&amp;T35&amp;"*",商品マスタ!$D:$E,2,FALSE),0)))))),"")</f>
        <v>#REF!</v>
      </c>
      <c r="V35" s="108" t="e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>#REF!</v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IF(AND(LEFT(INDIRECT("B"&amp;R35&amp;""),2)="博多",INDIRECT("B"&amp;R35&amp;"")=INDIRECT("B"&amp;R35+1&amp;"")&amp;"'"),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50" t="str">
        <f t="shared" ca="1" si="23"/>
        <v/>
      </c>
      <c r="AI35" s="143" t="str">
        <f t="shared" ca="1" si="9"/>
        <v/>
      </c>
      <c r="AJ35" s="143" t="str">
        <f t="shared" ca="1" si="10"/>
        <v/>
      </c>
      <c r="AK35" s="143" t="str">
        <f t="shared" ca="1" si="11"/>
        <v/>
      </c>
      <c r="AL35" s="143" t="str">
        <f t="shared" ca="1" si="12"/>
        <v/>
      </c>
      <c r="AM35" s="143" t="str">
        <f t="shared" ca="1" si="13"/>
        <v/>
      </c>
      <c r="AN35" s="143" t="str">
        <f t="shared" ca="1" si="14"/>
        <v/>
      </c>
      <c r="AO35" s="143" t="str">
        <f t="shared" ca="1" si="15"/>
        <v/>
      </c>
      <c r="AP35" s="143" t="str">
        <f t="shared" ca="1" si="16"/>
        <v/>
      </c>
      <c r="AU35" s="143" t="str">
        <f t="shared" ca="1" si="17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 x14ac:dyDescent="0.45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51" t="str">
        <f ca="1">IF(D36&lt;&gt;"",
IF(OR(COUNTIF(C36,"*雙葉*"),COUNTIF(C36,"*香蘭*")),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VALUE(VLOOKUP("*"&amp;D36&amp;"*",商品マスタ!D:H,5,FALSE))),"")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e" cm="1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52" t="e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/VLOOKUP("*"&amp;T36&amp;"*",商品マスタ!$D:$E,2,FALSE),0)))))),"")</f>
        <v>#REF!</v>
      </c>
      <c r="V36" s="108" t="e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>#REF!</v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IF(AND(LEFT(INDIRECT("B"&amp;R36&amp;""),2)="博多",INDIRECT("B"&amp;R36&amp;"")=INDIRECT("B"&amp;R36+1&amp;"")&amp;"'"),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50" t="str">
        <f t="shared" ca="1" si="23"/>
        <v/>
      </c>
      <c r="AI36" s="143" t="str">
        <f t="shared" ca="1" si="9"/>
        <v/>
      </c>
      <c r="AJ36" s="143" t="str">
        <f t="shared" ca="1" si="10"/>
        <v/>
      </c>
      <c r="AK36" s="143" t="str">
        <f t="shared" ca="1" si="11"/>
        <v/>
      </c>
      <c r="AL36" s="143" t="str">
        <f t="shared" ca="1" si="12"/>
        <v/>
      </c>
      <c r="AM36" s="143" t="str">
        <f t="shared" ca="1" si="13"/>
        <v/>
      </c>
      <c r="AN36" s="143" t="str">
        <f t="shared" ca="1" si="14"/>
        <v/>
      </c>
      <c r="AO36" s="143" t="str">
        <f t="shared" ca="1" si="15"/>
        <v/>
      </c>
      <c r="AP36" s="143" t="str">
        <f t="shared" ca="1" si="16"/>
        <v/>
      </c>
      <c r="AU36" s="143" t="str">
        <f t="shared" ca="1" si="17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 x14ac:dyDescent="0.45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51" t="str">
        <f ca="1">IF(D37&lt;&gt;"",
IF(OR(COUNTIF(C37,"*雙葉*"),COUNTIF(C37,"*香蘭*")),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VALUE(VLOOKUP("*"&amp;D37&amp;"*",商品マスタ!D:H,5,FALSE))),"")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e" cm="1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52" t="e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/VLOOKUP("*"&amp;T37&amp;"*",商品マスタ!$D:$E,2,FALSE),0)))))),"")</f>
        <v>#REF!</v>
      </c>
      <c r="V37" s="108" t="e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>#REF!</v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IF(AND(LEFT(INDIRECT("B"&amp;R37&amp;""),2)="博多",INDIRECT("B"&amp;R37&amp;"")=INDIRECT("B"&amp;R37+1&amp;"")&amp;"'"),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50" t="str">
        <f t="shared" ca="1" si="23"/>
        <v/>
      </c>
      <c r="AI37" s="143" t="str">
        <f t="shared" ca="1" si="9"/>
        <v/>
      </c>
      <c r="AJ37" s="143" t="str">
        <f t="shared" ca="1" si="10"/>
        <v/>
      </c>
      <c r="AK37" s="143" t="str">
        <f t="shared" ca="1" si="11"/>
        <v/>
      </c>
      <c r="AL37" s="143" t="str">
        <f t="shared" ca="1" si="12"/>
        <v/>
      </c>
      <c r="AM37" s="143" t="str">
        <f t="shared" ca="1" si="13"/>
        <v/>
      </c>
      <c r="AN37" s="143" t="str">
        <f t="shared" ca="1" si="14"/>
        <v/>
      </c>
      <c r="AO37" s="143" t="str">
        <f t="shared" ca="1" si="15"/>
        <v/>
      </c>
      <c r="AP37" s="143" t="str">
        <f t="shared" ca="1" si="16"/>
        <v/>
      </c>
      <c r="AU37" s="143" t="str">
        <f t="shared" ca="1" si="17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 x14ac:dyDescent="0.45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51" t="str">
        <f ca="1">IF(D38&lt;&gt;"",
IF(OR(COUNTIF(C38,"*雙葉*"),COUNTIF(C38,"*香蘭*")),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VALUE(VLOOKUP("*"&amp;D38&amp;"*",商品マスタ!D:H,5,FALSE))),"")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e" cm="1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52" t="e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/VLOOKUP("*"&amp;T38&amp;"*",商品マスタ!$D:$E,2,FALSE),0)))))),"")</f>
        <v>#REF!</v>
      </c>
      <c r="V38" s="108" t="e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>#REF!</v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IF(AND(LEFT(INDIRECT("B"&amp;R38&amp;""),2)="博多",INDIRECT("B"&amp;R38&amp;"")=INDIRECT("B"&amp;R38+1&amp;"")&amp;"'"),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50" t="str">
        <f t="shared" ca="1" si="23"/>
        <v/>
      </c>
      <c r="AI38" s="143" t="str">
        <f t="shared" ca="1" si="9"/>
        <v/>
      </c>
      <c r="AJ38" s="143" t="str">
        <f t="shared" ca="1" si="10"/>
        <v/>
      </c>
      <c r="AK38" s="143" t="str">
        <f t="shared" ca="1" si="11"/>
        <v/>
      </c>
      <c r="AL38" s="143" t="str">
        <f t="shared" ca="1" si="12"/>
        <v/>
      </c>
      <c r="AM38" s="143" t="str">
        <f t="shared" ca="1" si="13"/>
        <v/>
      </c>
      <c r="AN38" s="143" t="str">
        <f t="shared" ca="1" si="14"/>
        <v/>
      </c>
      <c r="AO38" s="143" t="str">
        <f t="shared" ca="1" si="15"/>
        <v/>
      </c>
      <c r="AP38" s="143" t="str">
        <f t="shared" ca="1" si="16"/>
        <v/>
      </c>
      <c r="AU38" s="143" t="str">
        <f t="shared" ca="1" si="17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 x14ac:dyDescent="0.45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51" t="str">
        <f ca="1">IF(D39&lt;&gt;"",
IF(OR(COUNTIF(C39,"*雙葉*"),COUNTIF(C39,"*香蘭*")),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VALUE(VLOOKUP("*"&amp;D39&amp;"*",商品マスタ!D:H,5,FALSE))),"")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e" cm="1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52" t="e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/VLOOKUP("*"&amp;T39&amp;"*",商品マスタ!$D:$E,2,FALSE),0)))))),"")</f>
        <v>#REF!</v>
      </c>
      <c r="V39" s="108" t="e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>#REF!</v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IF(AND(LEFT(INDIRECT("B"&amp;R39&amp;""),2)="博多",INDIRECT("B"&amp;R39&amp;"")=INDIRECT("B"&amp;R39+1&amp;"")&amp;"'"),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50" t="str">
        <f t="shared" ca="1" si="23"/>
        <v/>
      </c>
      <c r="AI39" s="143" t="str">
        <f t="shared" ca="1" si="9"/>
        <v/>
      </c>
      <c r="AJ39" s="143" t="str">
        <f t="shared" ca="1" si="10"/>
        <v/>
      </c>
      <c r="AK39" s="143" t="str">
        <f t="shared" ca="1" si="11"/>
        <v/>
      </c>
      <c r="AL39" s="143" t="str">
        <f t="shared" ca="1" si="12"/>
        <v/>
      </c>
      <c r="AM39" s="143" t="str">
        <f t="shared" ca="1" si="13"/>
        <v/>
      </c>
      <c r="AN39" s="143" t="str">
        <f t="shared" ca="1" si="14"/>
        <v/>
      </c>
      <c r="AO39" s="143" t="str">
        <f t="shared" ca="1" si="15"/>
        <v/>
      </c>
      <c r="AP39" s="143" t="str">
        <f t="shared" ca="1" si="16"/>
        <v/>
      </c>
      <c r="AU39" s="143" t="str">
        <f t="shared" ca="1" si="17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 x14ac:dyDescent="0.45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51" t="str">
        <f ca="1">IF(D40&lt;&gt;"",
IF(OR(COUNTIF(C40,"*雙葉*"),COUNTIF(C40,"*香蘭*")),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VALUE(VLOOKUP("*"&amp;D40&amp;"*",商品マスタ!D:H,5,FALSE))),"")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e" cm="1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52" t="e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/VLOOKUP("*"&amp;T40&amp;"*",商品マスタ!$D:$E,2,FALSE),0)))))),"")</f>
        <v>#REF!</v>
      </c>
      <c r="V40" s="108" t="e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>#REF!</v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IF(AND(LEFT(INDIRECT("B"&amp;R40&amp;""),2)="博多",INDIRECT("B"&amp;R40&amp;"")=INDIRECT("B"&amp;R40+1&amp;"")&amp;"'"),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50" t="str">
        <f t="shared" ca="1" si="23"/>
        <v/>
      </c>
      <c r="AI40" s="143" t="str">
        <f t="shared" ca="1" si="9"/>
        <v/>
      </c>
      <c r="AJ40" s="143" t="str">
        <f t="shared" ca="1" si="10"/>
        <v/>
      </c>
      <c r="AK40" s="143" t="str">
        <f t="shared" ca="1" si="11"/>
        <v/>
      </c>
      <c r="AL40" s="143" t="str">
        <f t="shared" ca="1" si="12"/>
        <v/>
      </c>
      <c r="AM40" s="143" t="str">
        <f t="shared" ca="1" si="13"/>
        <v/>
      </c>
      <c r="AN40" s="143" t="str">
        <f t="shared" ca="1" si="14"/>
        <v/>
      </c>
      <c r="AO40" s="143" t="str">
        <f t="shared" ca="1" si="15"/>
        <v/>
      </c>
      <c r="AP40" s="143" t="str">
        <f t="shared" ca="1" si="16"/>
        <v/>
      </c>
      <c r="AU40" s="143" t="str">
        <f t="shared" ca="1" si="17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 x14ac:dyDescent="0.45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51" t="str">
        <f ca="1">IF(D41&lt;&gt;"",
IF(OR(COUNTIF(C41,"*雙葉*"),COUNTIF(C41,"*香蘭*")),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VALUE(VLOOKUP("*"&amp;D41&amp;"*",商品マスタ!D:H,5,FALSE))),"")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e" cm="1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52" t="e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/VLOOKUP("*"&amp;T41&amp;"*",商品マスタ!$D:$E,2,FALSE),0)))))),"")</f>
        <v>#REF!</v>
      </c>
      <c r="V41" s="108" t="e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>#REF!</v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IF(AND(LEFT(INDIRECT("B"&amp;R41&amp;""),2)="博多",INDIRECT("B"&amp;R41&amp;"")=INDIRECT("B"&amp;R41+1&amp;"")&amp;"'"),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50" t="str">
        <f t="shared" ca="1" si="23"/>
        <v/>
      </c>
      <c r="AI41" s="143" t="str">
        <f t="shared" ca="1" si="9"/>
        <v/>
      </c>
      <c r="AJ41" s="143" t="str">
        <f t="shared" ca="1" si="10"/>
        <v/>
      </c>
      <c r="AK41" s="143" t="str">
        <f t="shared" ca="1" si="11"/>
        <v/>
      </c>
      <c r="AL41" s="143" t="str">
        <f t="shared" ca="1" si="12"/>
        <v/>
      </c>
      <c r="AM41" s="143" t="str">
        <f t="shared" ca="1" si="13"/>
        <v/>
      </c>
      <c r="AN41" s="143" t="str">
        <f t="shared" ca="1" si="14"/>
        <v/>
      </c>
      <c r="AO41" s="143" t="str">
        <f t="shared" ca="1" si="15"/>
        <v/>
      </c>
      <c r="AP41" s="143" t="str">
        <f t="shared" ca="1" si="16"/>
        <v/>
      </c>
      <c r="AU41" s="143" t="str">
        <f t="shared" ca="1" si="17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 x14ac:dyDescent="0.45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51" t="str">
        <f ca="1">IF(D42&lt;&gt;"",
IF(OR(COUNTIF(C42,"*雙葉*"),COUNTIF(C42,"*香蘭*")),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VALUE(VLOOKUP("*"&amp;D42&amp;"*",商品マスタ!D:H,5,FALSE))),"")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e" cm="1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52" t="e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/VLOOKUP("*"&amp;T42&amp;"*",商品マスタ!$D:$E,2,FALSE),0)))))),"")</f>
        <v>#REF!</v>
      </c>
      <c r="V42" s="108" t="e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>#REF!</v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IF(AND(LEFT(INDIRECT("B"&amp;R42&amp;""),2)="博多",INDIRECT("B"&amp;R42&amp;"")=INDIRECT("B"&amp;R42+1&amp;"")&amp;"'"),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50" t="str">
        <f t="shared" ca="1" si="23"/>
        <v/>
      </c>
      <c r="AI42" s="143" t="str">
        <f t="shared" ca="1" si="9"/>
        <v/>
      </c>
      <c r="AJ42" s="143" t="str">
        <f t="shared" ca="1" si="10"/>
        <v/>
      </c>
      <c r="AK42" s="143" t="str">
        <f t="shared" ca="1" si="11"/>
        <v/>
      </c>
      <c r="AL42" s="143" t="str">
        <f t="shared" ca="1" si="12"/>
        <v/>
      </c>
      <c r="AM42" s="143" t="str">
        <f t="shared" ca="1" si="13"/>
        <v/>
      </c>
      <c r="AN42" s="143" t="str">
        <f t="shared" ca="1" si="14"/>
        <v/>
      </c>
      <c r="AO42" s="143" t="str">
        <f t="shared" ca="1" si="15"/>
        <v/>
      </c>
      <c r="AP42" s="143" t="str">
        <f t="shared" ca="1" si="16"/>
        <v/>
      </c>
      <c r="AU42" s="143" t="str">
        <f t="shared" ca="1" si="17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 x14ac:dyDescent="0.45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51" t="str">
        <f ca="1">IF(D43&lt;&gt;"",
IF(OR(COUNTIF(C43,"*雙葉*"),COUNTIF(C43,"*香蘭*")),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VALUE(VLOOKUP("*"&amp;D43&amp;"*",商品マスタ!D:H,5,FALSE))),"")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e" cm="1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52" t="e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/VLOOKUP("*"&amp;T43&amp;"*",商品マスタ!$D:$E,2,FALSE),0)))))),"")</f>
        <v>#REF!</v>
      </c>
      <c r="V43" s="108" t="e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>#REF!</v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IF(AND(LEFT(INDIRECT("B"&amp;R43&amp;""),2)="博多",INDIRECT("B"&amp;R43&amp;"")=INDIRECT("B"&amp;R43+1&amp;"")&amp;"'"),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50" t="str">
        <f t="shared" ca="1" si="23"/>
        <v/>
      </c>
      <c r="AI43" s="143" t="str">
        <f t="shared" ca="1" si="9"/>
        <v/>
      </c>
      <c r="AJ43" s="143" t="str">
        <f t="shared" ca="1" si="10"/>
        <v/>
      </c>
      <c r="AK43" s="143" t="str">
        <f t="shared" ca="1" si="11"/>
        <v/>
      </c>
      <c r="AL43" s="143" t="str">
        <f t="shared" ca="1" si="12"/>
        <v/>
      </c>
      <c r="AM43" s="143" t="str">
        <f t="shared" ca="1" si="13"/>
        <v/>
      </c>
      <c r="AN43" s="143" t="str">
        <f t="shared" ca="1" si="14"/>
        <v/>
      </c>
      <c r="AO43" s="143" t="str">
        <f t="shared" ca="1" si="15"/>
        <v/>
      </c>
      <c r="AP43" s="143" t="str">
        <f t="shared" ca="1" si="16"/>
        <v/>
      </c>
      <c r="AU43" s="143" t="str">
        <f t="shared" ca="1" si="17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 x14ac:dyDescent="0.45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51" t="str">
        <f ca="1">IF(D44&lt;&gt;"",
IF(OR(COUNTIF(C44,"*雙葉*"),COUNTIF(C44,"*香蘭*")),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VALUE(VLOOKUP("*"&amp;D44&amp;"*",商品マスタ!D:H,5,FALSE))),"")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e" cm="1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52" t="e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/VLOOKUP("*"&amp;T44&amp;"*",商品マスタ!$D:$E,2,FALSE),0)))))),"")</f>
        <v>#REF!</v>
      </c>
      <c r="V44" s="108" t="e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>#REF!</v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IF(AND(LEFT(INDIRECT("B"&amp;R44&amp;""),2)="博多",INDIRECT("B"&amp;R44&amp;"")=INDIRECT("B"&amp;R44+1&amp;"")&amp;"'"),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50" t="str">
        <f t="shared" ca="1" si="23"/>
        <v/>
      </c>
      <c r="AI44" s="143" t="str">
        <f t="shared" ca="1" si="9"/>
        <v/>
      </c>
      <c r="AJ44" s="143" t="str">
        <f t="shared" ca="1" si="10"/>
        <v/>
      </c>
      <c r="AK44" s="143" t="str">
        <f t="shared" ca="1" si="11"/>
        <v/>
      </c>
      <c r="AL44" s="143" t="str">
        <f t="shared" ca="1" si="12"/>
        <v/>
      </c>
      <c r="AM44" s="143" t="str">
        <f t="shared" ca="1" si="13"/>
        <v/>
      </c>
      <c r="AN44" s="143" t="str">
        <f t="shared" ca="1" si="14"/>
        <v/>
      </c>
      <c r="AO44" s="143" t="str">
        <f t="shared" ca="1" si="15"/>
        <v/>
      </c>
      <c r="AP44" s="143" t="str">
        <f t="shared" ca="1" si="16"/>
        <v/>
      </c>
      <c r="AU44" s="143" t="str">
        <f t="shared" ca="1" si="17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 x14ac:dyDescent="0.45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51" t="str">
        <f ca="1">IF(D45&lt;&gt;"",
IF(OR(COUNTIF(C45,"*雙葉*"),COUNTIF(C45,"*香蘭*")),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VALUE(VLOOKUP("*"&amp;D45&amp;"*",商品マスタ!D:H,5,FALSE))),"")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e" cm="1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52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8" t="e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>#REF!</v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IF(AND(LEFT(INDIRECT("B"&amp;R45&amp;""),2)="博多",INDIRECT("B"&amp;R45&amp;"")=INDIRECT("B"&amp;R45+1&amp;"")&amp;"'"),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50" t="str">
        <f t="shared" ca="1" si="23"/>
        <v/>
      </c>
      <c r="AI45" s="143" t="str">
        <f t="shared" ca="1" si="9"/>
        <v/>
      </c>
      <c r="AJ45" s="143" t="str">
        <f t="shared" ca="1" si="10"/>
        <v/>
      </c>
      <c r="AK45" s="143" t="str">
        <f t="shared" ca="1" si="11"/>
        <v/>
      </c>
      <c r="AL45" s="143" t="str">
        <f t="shared" ca="1" si="12"/>
        <v/>
      </c>
      <c r="AM45" s="143" t="str">
        <f t="shared" ca="1" si="13"/>
        <v/>
      </c>
      <c r="AN45" s="143" t="str">
        <f t="shared" ca="1" si="14"/>
        <v/>
      </c>
      <c r="AO45" s="143" t="str">
        <f t="shared" ca="1" si="15"/>
        <v/>
      </c>
      <c r="AP45" s="143" t="str">
        <f t="shared" ca="1" si="16"/>
        <v/>
      </c>
      <c r="AU45" s="143" t="str">
        <f t="shared" ca="1" si="17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 x14ac:dyDescent="0.45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51" t="str">
        <f ca="1">IF(D46&lt;&gt;"",
IF(OR(COUNTIF(C46,"*雙葉*"),COUNTIF(C46,"*香蘭*")),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VALUE(VLOOKUP("*"&amp;D46&amp;"*",商品マスタ!D:H,5,FALSE))),"")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e" cm="1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52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8" t="e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>#REF!</v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IF(AND(LEFT(INDIRECT("B"&amp;R46&amp;""),2)="博多",INDIRECT("B"&amp;R46&amp;"")=INDIRECT("B"&amp;R46+1&amp;"")&amp;"'"),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50" t="str">
        <f t="shared" ca="1" si="23"/>
        <v/>
      </c>
      <c r="AI46" s="143" t="str">
        <f t="shared" ca="1" si="9"/>
        <v/>
      </c>
      <c r="AJ46" s="143" t="str">
        <f t="shared" ca="1" si="10"/>
        <v/>
      </c>
      <c r="AK46" s="143" t="str">
        <f t="shared" ca="1" si="11"/>
        <v/>
      </c>
      <c r="AL46" s="143" t="str">
        <f t="shared" ca="1" si="12"/>
        <v/>
      </c>
      <c r="AM46" s="143" t="str">
        <f t="shared" ca="1" si="13"/>
        <v/>
      </c>
      <c r="AN46" s="143" t="str">
        <f t="shared" ca="1" si="14"/>
        <v/>
      </c>
      <c r="AO46" s="143" t="str">
        <f t="shared" ca="1" si="15"/>
        <v/>
      </c>
      <c r="AP46" s="143" t="str">
        <f t="shared" ca="1" si="16"/>
        <v/>
      </c>
      <c r="AU46" s="143" t="str">
        <f t="shared" ca="1" si="17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 x14ac:dyDescent="0.45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51" t="str">
        <f ca="1">IF(D47&lt;&gt;"",
IF(OR(COUNTIF(C47,"*雙葉*"),COUNTIF(C47,"*香蘭*")),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VALUE(VLOOKUP("*"&amp;D47&amp;"*",商品マスタ!D:H,5,FALSE))),"")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e" cm="1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52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8" t="e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>#REF!</v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IF(AND(LEFT(INDIRECT("B"&amp;R47&amp;""),2)="博多",INDIRECT("B"&amp;R47&amp;"")=INDIRECT("B"&amp;R47+1&amp;"")&amp;"'"),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50" t="str">
        <f t="shared" ca="1" si="23"/>
        <v/>
      </c>
      <c r="AI47" s="143" t="str">
        <f t="shared" ca="1" si="9"/>
        <v/>
      </c>
      <c r="AJ47" s="143" t="str">
        <f t="shared" ca="1" si="10"/>
        <v/>
      </c>
      <c r="AK47" s="143" t="str">
        <f t="shared" ca="1" si="11"/>
        <v/>
      </c>
      <c r="AL47" s="143" t="str">
        <f t="shared" ca="1" si="12"/>
        <v/>
      </c>
      <c r="AM47" s="143" t="str">
        <f t="shared" ca="1" si="13"/>
        <v/>
      </c>
      <c r="AN47" s="143" t="str">
        <f t="shared" ca="1" si="14"/>
        <v/>
      </c>
      <c r="AO47" s="143" t="str">
        <f t="shared" ca="1" si="15"/>
        <v/>
      </c>
      <c r="AP47" s="143" t="str">
        <f t="shared" ca="1" si="16"/>
        <v/>
      </c>
      <c r="AU47" s="143" t="str">
        <f t="shared" ca="1" si="17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 x14ac:dyDescent="0.45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51" t="str">
        <f ca="1">IF(D48&lt;&gt;"",
IF(OR(COUNTIF(C48,"*雙葉*"),COUNTIF(C48,"*香蘭*")),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VALUE(VLOOKUP("*"&amp;D48&amp;"*",商品マスタ!D:H,5,FALSE))),"")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e" cm="1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52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8" t="e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>#REF!</v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IF(AND(LEFT(INDIRECT("B"&amp;R48&amp;""),2)="博多",INDIRECT("B"&amp;R48&amp;"")=INDIRECT("B"&amp;R48+1&amp;"")&amp;"'"),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50" t="str">
        <f t="shared" ca="1" si="23"/>
        <v/>
      </c>
      <c r="AI48" s="143" t="str">
        <f t="shared" ca="1" si="9"/>
        <v/>
      </c>
      <c r="AJ48" s="143" t="str">
        <f t="shared" ca="1" si="10"/>
        <v/>
      </c>
      <c r="AK48" s="143" t="str">
        <f t="shared" ca="1" si="11"/>
        <v/>
      </c>
      <c r="AL48" s="143" t="str">
        <f t="shared" ca="1" si="12"/>
        <v/>
      </c>
      <c r="AM48" s="143" t="str">
        <f t="shared" ca="1" si="13"/>
        <v/>
      </c>
      <c r="AN48" s="143" t="str">
        <f t="shared" ca="1" si="14"/>
        <v/>
      </c>
      <c r="AO48" s="143" t="str">
        <f t="shared" ca="1" si="15"/>
        <v/>
      </c>
      <c r="AP48" s="143" t="str">
        <f t="shared" ca="1" si="16"/>
        <v/>
      </c>
      <c r="AU48" s="143" t="str">
        <f t="shared" ca="1" si="17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 x14ac:dyDescent="0.45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51" t="str">
        <f ca="1">IF(D49&lt;&gt;"",
IF(OR(COUNTIF(C49,"*雙葉*"),COUNTIF(C49,"*香蘭*")),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VALUE(VLOOKUP("*"&amp;D49&amp;"*",商品マスタ!D:H,5,FALSE))),"")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52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8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IF(AND(LEFT(INDIRECT("B"&amp;R49&amp;""),2)="博多",INDIRECT("B"&amp;R49&amp;"")=INDIRECT("B"&amp;R49+1&amp;"")&amp;"'"),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50" t="str">
        <f t="shared" ca="1" si="23"/>
        <v/>
      </c>
      <c r="AI49" s="143" t="str">
        <f t="shared" ca="1" si="9"/>
        <v/>
      </c>
      <c r="AJ49" s="143" t="str">
        <f t="shared" ca="1" si="10"/>
        <v/>
      </c>
      <c r="AK49" s="143" t="str">
        <f t="shared" ca="1" si="11"/>
        <v/>
      </c>
      <c r="AL49" s="143" t="str">
        <f t="shared" ca="1" si="12"/>
        <v/>
      </c>
      <c r="AM49" s="143" t="str">
        <f t="shared" ca="1" si="13"/>
        <v/>
      </c>
      <c r="AN49" s="143" t="str">
        <f t="shared" ca="1" si="14"/>
        <v/>
      </c>
      <c r="AO49" s="143" t="str">
        <f t="shared" ca="1" si="15"/>
        <v/>
      </c>
      <c r="AP49" s="143" t="str">
        <f t="shared" ca="1" si="16"/>
        <v/>
      </c>
      <c r="AU49" s="143" t="str">
        <f t="shared" ca="1" si="17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 x14ac:dyDescent="0.45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51" t="str">
        <f ca="1">IF(D50&lt;&gt;"",
IF(OR(COUNTIF(C50,"*雙葉*"),COUNTIF(C50,"*香蘭*")),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VALUE(VLOOKUP("*"&amp;D50&amp;"*",商品マスタ!D:H,5,FALSE))),"")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52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8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IF(AND(LEFT(INDIRECT("B"&amp;R50&amp;""),2)="博多",INDIRECT("B"&amp;R50&amp;"")=INDIRECT("B"&amp;R50+1&amp;"")&amp;"'"),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50" t="str">
        <f t="shared" ca="1" si="23"/>
        <v/>
      </c>
      <c r="AI50" s="143" t="str">
        <f t="shared" ca="1" si="9"/>
        <v/>
      </c>
      <c r="AJ50" s="143" t="str">
        <f t="shared" ca="1" si="10"/>
        <v/>
      </c>
      <c r="AK50" s="143" t="str">
        <f t="shared" ca="1" si="11"/>
        <v/>
      </c>
      <c r="AL50" s="143" t="str">
        <f t="shared" ca="1" si="12"/>
        <v/>
      </c>
      <c r="AM50" s="143" t="str">
        <f t="shared" ca="1" si="13"/>
        <v/>
      </c>
      <c r="AN50" s="143" t="str">
        <f t="shared" ca="1" si="14"/>
        <v/>
      </c>
      <c r="AO50" s="143" t="str">
        <f t="shared" ca="1" si="15"/>
        <v/>
      </c>
      <c r="AP50" s="143" t="str">
        <f t="shared" ca="1" si="16"/>
        <v/>
      </c>
      <c r="AU50" s="143" t="str">
        <f t="shared" ca="1" si="17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 x14ac:dyDescent="0.45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51" t="str">
        <f ca="1">IF(D51&lt;&gt;"",
IF(OR(COUNTIF(C51,"*雙葉*"),COUNTIF(C51,"*香蘭*")),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VALUE(VLOOKUP("*"&amp;D51&amp;"*",商品マスタ!D:H,5,FALSE))),"")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52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8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IF(AND(LEFT(INDIRECT("B"&amp;R51&amp;""),2)="博多",INDIRECT("B"&amp;R51&amp;"")=INDIRECT("B"&amp;R51+1&amp;"")&amp;"'"),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50" t="str">
        <f t="shared" ca="1" si="23"/>
        <v/>
      </c>
      <c r="AI51" s="143" t="str">
        <f t="shared" ca="1" si="9"/>
        <v/>
      </c>
      <c r="AJ51" s="143" t="str">
        <f t="shared" ca="1" si="10"/>
        <v/>
      </c>
      <c r="AK51" s="143" t="str">
        <f t="shared" ca="1" si="11"/>
        <v/>
      </c>
      <c r="AL51" s="143" t="str">
        <f t="shared" ca="1" si="12"/>
        <v/>
      </c>
      <c r="AM51" s="143" t="str">
        <f t="shared" ca="1" si="13"/>
        <v/>
      </c>
      <c r="AN51" s="143" t="str">
        <f t="shared" ca="1" si="14"/>
        <v/>
      </c>
      <c r="AO51" s="143" t="str">
        <f t="shared" ca="1" si="15"/>
        <v/>
      </c>
      <c r="AP51" s="143" t="str">
        <f t="shared" ca="1" si="16"/>
        <v/>
      </c>
      <c r="AU51" s="143" t="str">
        <f t="shared" ca="1" si="17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82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 x14ac:dyDescent="0.45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51" t="str">
        <f ca="1">IF(D52&lt;&gt;"",
IF(OR(COUNTIF(C52,"*雙葉*"),COUNTIF(C52,"*香蘭*")),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VALUE(VLOOKUP("*"&amp;D52&amp;"*",商品マスタ!D:H,5,FALSE))),"")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52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8" t="str">
        <f t="array" aca="1" ref="V52" ca="1">IF($R52&lt;&gt;"",
INDIRECT("G"&amp;$R52&amp;""),"")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IF(AND(LEFT(INDIRECT("B"&amp;R52&amp;""),2)="博多",INDIRECT("B"&amp;R52&amp;"")=INDIRECT("B"&amp;R52+1&amp;"")&amp;"'"),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50" t="str">
        <f t="shared" ca="1" si="23"/>
        <v/>
      </c>
      <c r="AI52" s="143" t="str">
        <f t="shared" ca="1" si="9"/>
        <v/>
      </c>
      <c r="AJ52" s="143" t="str">
        <f t="shared" ca="1" si="10"/>
        <v/>
      </c>
      <c r="AK52" s="143" t="str">
        <f t="shared" ca="1" si="11"/>
        <v/>
      </c>
      <c r="AL52" s="143" t="str">
        <f t="shared" ca="1" si="12"/>
        <v/>
      </c>
      <c r="AM52" s="143" t="str">
        <f t="shared" ca="1" si="13"/>
        <v/>
      </c>
      <c r="AN52" s="143" t="str">
        <f t="shared" ca="1" si="14"/>
        <v/>
      </c>
      <c r="AO52" s="143" t="str">
        <f t="shared" ca="1" si="15"/>
        <v/>
      </c>
      <c r="AP52" s="143" t="str">
        <f t="shared" ca="1" si="16"/>
        <v/>
      </c>
      <c r="AU52" s="143" t="str">
        <f t="shared" ca="1" si="17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 x14ac:dyDescent="0.45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51" t="str">
        <f ca="1">IF(D53&lt;&gt;"",
IF(OR(COUNTIF(C53,"*雙葉*"),COUNTIF(C53,"*香蘭*")),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VALUE(VLOOKUP("*"&amp;D53&amp;"*",商品マスタ!D:H,5,FALSE))),"")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52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8" t="str">
        <f t="array" aca="1" ref="V53" ca="1">IF($R53&lt;&gt;"",
INDIRECT("G"&amp;$R53&amp;""),"")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IF(AND(LEFT(INDIRECT("B"&amp;R53&amp;""),2)="博多",INDIRECT("B"&amp;R53&amp;"")=INDIRECT("B"&amp;R53+1&amp;"")&amp;"'"),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50" t="str">
        <f t="shared" ca="1" si="23"/>
        <v/>
      </c>
      <c r="AI53" s="143" t="str">
        <f t="shared" ca="1" si="9"/>
        <v/>
      </c>
      <c r="AJ53" s="143" t="str">
        <f t="shared" ca="1" si="10"/>
        <v/>
      </c>
      <c r="AK53" s="143" t="str">
        <f t="shared" ca="1" si="11"/>
        <v/>
      </c>
      <c r="AL53" s="143" t="str">
        <f t="shared" ca="1" si="12"/>
        <v/>
      </c>
      <c r="AM53" s="143" t="str">
        <f t="shared" ca="1" si="13"/>
        <v/>
      </c>
      <c r="AN53" s="143" t="str">
        <f t="shared" ca="1" si="14"/>
        <v/>
      </c>
      <c r="AO53" s="143" t="str">
        <f t="shared" ca="1" si="15"/>
        <v/>
      </c>
      <c r="AP53" s="143" t="str">
        <f t="shared" ca="1" si="16"/>
        <v/>
      </c>
      <c r="AU53" s="143" t="str">
        <f t="shared" ca="1" si="17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 x14ac:dyDescent="0.45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51" t="str">
        <f ca="1">IF(D54&lt;&gt;"",
IF(OR(COUNTIF(C54,"*雙葉*"),COUNTIF(C54,"*香蘭*")),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VALUE(VLOOKUP("*"&amp;D54&amp;"*",商品マスタ!D:H,5,FALSE))),"")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52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8" t="str">
        <f t="array" aca="1" ref="V54" ca="1">IF($R54&lt;&gt;"",
INDIRECT("G"&amp;$R54&amp;""),"")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IF(AND(LEFT(INDIRECT("B"&amp;R54&amp;""),2)="博多",INDIRECT("B"&amp;R54&amp;"")=INDIRECT("B"&amp;R54+1&amp;"")&amp;"'"),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50" t="str">
        <f t="shared" ca="1" si="23"/>
        <v/>
      </c>
      <c r="AI54" s="143" t="str">
        <f t="shared" ca="1" si="9"/>
        <v/>
      </c>
      <c r="AJ54" s="143" t="str">
        <f t="shared" ca="1" si="10"/>
        <v/>
      </c>
      <c r="AK54" s="143" t="str">
        <f t="shared" ca="1" si="11"/>
        <v/>
      </c>
      <c r="AL54" s="143" t="str">
        <f t="shared" ca="1" si="12"/>
        <v/>
      </c>
      <c r="AM54" s="143" t="str">
        <f t="shared" ca="1" si="13"/>
        <v/>
      </c>
      <c r="AN54" s="143" t="str">
        <f t="shared" ca="1" si="14"/>
        <v/>
      </c>
      <c r="AO54" s="143" t="str">
        <f t="shared" ca="1" si="15"/>
        <v/>
      </c>
      <c r="AP54" s="143" t="str">
        <f t="shared" ca="1" si="16"/>
        <v/>
      </c>
      <c r="AU54" s="143" t="str">
        <f t="shared" ca="1" si="17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 x14ac:dyDescent="0.45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51" t="str">
        <f ca="1">IF(D55&lt;&gt;"",
IF(OR(COUNTIF(C55,"*雙葉*"),COUNTIF(C55,"*香蘭*")),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VALUE(VLOOKUP("*"&amp;D55&amp;"*",商品マスタ!D:H,5,FALSE))),"")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52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8" t="str">
        <f t="array" aca="1" ref="V55" ca="1">IF($R55&lt;&gt;"",
INDIRECT("G"&amp;$R55&amp;""),"")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IF(AND(LEFT(INDIRECT("B"&amp;R55&amp;""),2)="博多",INDIRECT("B"&amp;R55&amp;"")=INDIRECT("B"&amp;R55+1&amp;"")&amp;"'"),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50" t="str">
        <f t="shared" ca="1" si="23"/>
        <v/>
      </c>
      <c r="AI55" s="143" t="str">
        <f t="shared" ca="1" si="9"/>
        <v/>
      </c>
      <c r="AJ55" s="143" t="str">
        <f t="shared" ca="1" si="10"/>
        <v/>
      </c>
      <c r="AK55" s="143" t="str">
        <f t="shared" ca="1" si="11"/>
        <v/>
      </c>
      <c r="AL55" s="143" t="str">
        <f t="shared" ca="1" si="12"/>
        <v/>
      </c>
      <c r="AM55" s="143" t="str">
        <f t="shared" ca="1" si="13"/>
        <v/>
      </c>
      <c r="AN55" s="143" t="str">
        <f t="shared" ca="1" si="14"/>
        <v/>
      </c>
      <c r="AO55" s="143" t="str">
        <f t="shared" ca="1" si="15"/>
        <v/>
      </c>
      <c r="AP55" s="143" t="str">
        <f t="shared" ca="1" si="16"/>
        <v/>
      </c>
      <c r="AU55" s="143" t="str">
        <f t="shared" ca="1" si="17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 x14ac:dyDescent="0.45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51" t="str">
        <f ca="1">IF(D56&lt;&gt;"",
IF(OR(COUNTIF(C56,"*雙葉*"),COUNTIF(C56,"*香蘭*")),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52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8" t="str">
        <f t="array" aca="1" ref="V56" ca="1">IF($R56&lt;&gt;"",
INDIRECT("G"&amp;$R56&amp;""),"")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IF(AND(LEFT(INDIRECT("B"&amp;R56&amp;""),2)="博多",INDIRECT("B"&amp;R56&amp;"")=INDIRECT("B"&amp;R56+1&amp;"")&amp;"'"),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50" t="str">
        <f t="shared" ca="1" si="23"/>
        <v/>
      </c>
      <c r="AI56" s="143" t="str">
        <f t="shared" ca="1" si="9"/>
        <v/>
      </c>
      <c r="AJ56" s="143" t="str">
        <f t="shared" ca="1" si="10"/>
        <v/>
      </c>
      <c r="AK56" s="143" t="str">
        <f t="shared" ca="1" si="11"/>
        <v/>
      </c>
      <c r="AL56" s="143" t="str">
        <f t="shared" ca="1" si="12"/>
        <v/>
      </c>
      <c r="AM56" s="143" t="str">
        <f t="shared" ca="1" si="13"/>
        <v/>
      </c>
      <c r="AN56" s="143" t="str">
        <f t="shared" ca="1" si="14"/>
        <v/>
      </c>
      <c r="AO56" s="143" t="str">
        <f t="shared" ca="1" si="15"/>
        <v/>
      </c>
      <c r="AP56" s="143" t="str">
        <f t="shared" ca="1" si="16"/>
        <v/>
      </c>
      <c r="AU56" s="143" t="str">
        <f t="shared" ca="1" si="17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 x14ac:dyDescent="0.45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51" t="str">
        <f ca="1">IF(D57&lt;&gt;"",
IF(OR(COUNTIF(C57,"*雙葉*"),COUNTIF(C57,"*香蘭*")),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52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8" t="str">
        <f t="array" aca="1" ref="V57" ca="1">IF($R57&lt;&gt;"",
INDIRECT("G"&amp;$R57&amp;""),"")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IF(AND(LEFT(INDIRECT("B"&amp;R57&amp;""),2)="博多",INDIRECT("B"&amp;R57&amp;"")=INDIRECT("B"&amp;R57+1&amp;"")&amp;"'"),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50" t="str">
        <f t="shared" ca="1" si="23"/>
        <v/>
      </c>
      <c r="AI57" s="143" t="str">
        <f t="shared" ca="1" si="9"/>
        <v/>
      </c>
      <c r="AJ57" s="143" t="str">
        <f t="shared" ca="1" si="10"/>
        <v/>
      </c>
      <c r="AK57" s="143" t="str">
        <f t="shared" ca="1" si="11"/>
        <v/>
      </c>
      <c r="AL57" s="143" t="str">
        <f t="shared" ca="1" si="12"/>
        <v/>
      </c>
      <c r="AM57" s="143" t="str">
        <f t="shared" ca="1" si="13"/>
        <v/>
      </c>
      <c r="AN57" s="143" t="str">
        <f t="shared" ca="1" si="14"/>
        <v/>
      </c>
      <c r="AO57" s="143" t="str">
        <f t="shared" ca="1" si="15"/>
        <v/>
      </c>
      <c r="AP57" s="143" t="str">
        <f t="shared" ca="1" si="16"/>
        <v/>
      </c>
      <c r="AU57" s="143" t="str">
        <f t="shared" ca="1" si="17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 x14ac:dyDescent="0.45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51" t="str">
        <f ca="1">IF(D58&lt;&gt;"",
IF(OR(COUNTIF(C58,"*雙葉*"),COUNTIF(C58,"*香蘭*")),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VALUE(VLOOKUP("*"&amp;D58&amp;"*",商品マスタ!D:H,5,FALSE))),"")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52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8" t="str">
        <f t="array" aca="1" ref="V58" ca="1">IF($R58&lt;&gt;"",
INDIRECT("G"&amp;$R58&amp;""),"")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IF(AND(LEFT(INDIRECT("B"&amp;R58&amp;""),2)="博多",INDIRECT("B"&amp;R58&amp;"")=INDIRECT("B"&amp;R58+1&amp;"")&amp;"'"),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50" t="str">
        <f t="shared" ca="1" si="23"/>
        <v/>
      </c>
      <c r="AI58" s="143" t="str">
        <f t="shared" ca="1" si="9"/>
        <v/>
      </c>
      <c r="AJ58" s="143" t="str">
        <f t="shared" ca="1" si="10"/>
        <v/>
      </c>
      <c r="AK58" s="143" t="str">
        <f t="shared" ca="1" si="11"/>
        <v/>
      </c>
      <c r="AL58" s="143" t="str">
        <f t="shared" ca="1" si="12"/>
        <v/>
      </c>
      <c r="AM58" s="143" t="str">
        <f t="shared" ca="1" si="13"/>
        <v/>
      </c>
      <c r="AN58" s="143" t="str">
        <f t="shared" ca="1" si="14"/>
        <v/>
      </c>
      <c r="AO58" s="143" t="str">
        <f t="shared" ca="1" si="15"/>
        <v/>
      </c>
      <c r="AP58" s="143" t="str">
        <f t="shared" ca="1" si="16"/>
        <v/>
      </c>
      <c r="AU58" s="143" t="str">
        <f t="shared" ca="1" si="17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 x14ac:dyDescent="0.45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51" t="str">
        <f ca="1">IF(D59&lt;&gt;"",
IF(OR(COUNTIF(C59,"*雙葉*"),COUNTIF(C59,"*香蘭*")),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52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8" t="str">
        <f t="array" aca="1" ref="V59" ca="1">IF($R59&lt;&gt;"",
INDIRECT("G"&amp;$R59&amp;""),"")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IF(AND(LEFT(INDIRECT("B"&amp;R59&amp;""),2)="博多",INDIRECT("B"&amp;R59&amp;"")=INDIRECT("B"&amp;R59+1&amp;"")&amp;"'"),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50" t="str">
        <f t="shared" ca="1" si="23"/>
        <v/>
      </c>
      <c r="AI59" s="143" t="str">
        <f t="shared" ca="1" si="9"/>
        <v/>
      </c>
      <c r="AJ59" s="143" t="str">
        <f t="shared" ca="1" si="10"/>
        <v/>
      </c>
      <c r="AK59" s="143" t="str">
        <f t="shared" ca="1" si="11"/>
        <v/>
      </c>
      <c r="AL59" s="143" t="str">
        <f t="shared" ca="1" si="12"/>
        <v/>
      </c>
      <c r="AM59" s="143" t="str">
        <f t="shared" ca="1" si="13"/>
        <v/>
      </c>
      <c r="AN59" s="143" t="str">
        <f t="shared" ca="1" si="14"/>
        <v/>
      </c>
      <c r="AO59" s="143" t="str">
        <f t="shared" ca="1" si="15"/>
        <v/>
      </c>
      <c r="AP59" s="143" t="str">
        <f t="shared" ca="1" si="16"/>
        <v/>
      </c>
      <c r="AU59" s="143" t="str">
        <f t="shared" ca="1" si="17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 x14ac:dyDescent="0.45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51" t="str">
        <f ca="1">IF(D60&lt;&gt;"",
IF(OR(COUNTIF(C60,"*雙葉*"),COUNTIF(C60,"*香蘭*")),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VALUE(VLOOKUP("*"&amp;D60&amp;"*",商品マスタ!D:H,5,FALSE))),"")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52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8" t="str">
        <f t="array" aca="1" ref="V60" ca="1">IF($R60&lt;&gt;"",
INDIRECT("G"&amp;$R60&amp;""),"")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IF(AND(LEFT(INDIRECT("B"&amp;R60&amp;""),2)="博多",INDIRECT("B"&amp;R60&amp;"")=INDIRECT("B"&amp;R60+1&amp;"")&amp;"'"),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50" t="str">
        <f t="shared" ca="1" si="23"/>
        <v/>
      </c>
      <c r="AI60" s="143" t="str">
        <f t="shared" ca="1" si="9"/>
        <v/>
      </c>
      <c r="AJ60" s="143" t="str">
        <f t="shared" ca="1" si="10"/>
        <v/>
      </c>
      <c r="AK60" s="143" t="str">
        <f t="shared" ca="1" si="11"/>
        <v/>
      </c>
      <c r="AL60" s="143" t="str">
        <f t="shared" ca="1" si="12"/>
        <v/>
      </c>
      <c r="AM60" s="143" t="str">
        <f t="shared" ca="1" si="13"/>
        <v/>
      </c>
      <c r="AN60" s="143" t="str">
        <f t="shared" ca="1" si="14"/>
        <v/>
      </c>
      <c r="AO60" s="143" t="str">
        <f t="shared" ca="1" si="15"/>
        <v/>
      </c>
      <c r="AP60" s="143" t="str">
        <f t="shared" ca="1" si="16"/>
        <v/>
      </c>
      <c r="AU60" s="143" t="str">
        <f t="shared" ca="1" si="17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 x14ac:dyDescent="0.45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51" t="str">
        <f ca="1">IF(D61&lt;&gt;"",
IF(OR(COUNTIF(C61,"*雙葉*"),COUNTIF(C61,"*香蘭*")),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VALUE(VLOOKUP("*"&amp;D61&amp;"*",商品マスタ!D:H,5,FALSE))),"")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52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8" t="str">
        <f t="array" aca="1" ref="V61" ca="1">IF($R61&lt;&gt;"",
INDIRECT("G"&amp;$R61&amp;""),"")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IF(AND(LEFT(INDIRECT("B"&amp;R61&amp;""),2)="博多",INDIRECT("B"&amp;R61&amp;"")=INDIRECT("B"&amp;R61+1&amp;"")&amp;"'"),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50" t="str">
        <f t="shared" ca="1" si="23"/>
        <v/>
      </c>
      <c r="AI61" s="143" t="str">
        <f t="shared" ca="1" si="9"/>
        <v/>
      </c>
      <c r="AJ61" s="143" t="str">
        <f t="shared" ca="1" si="10"/>
        <v/>
      </c>
      <c r="AK61" s="143" t="str">
        <f t="shared" ca="1" si="11"/>
        <v/>
      </c>
      <c r="AL61" s="143" t="str">
        <f t="shared" ca="1" si="12"/>
        <v/>
      </c>
      <c r="AM61" s="143" t="str">
        <f t="shared" ca="1" si="13"/>
        <v/>
      </c>
      <c r="AN61" s="143" t="str">
        <f t="shared" ca="1" si="14"/>
        <v/>
      </c>
      <c r="AO61" s="143" t="str">
        <f t="shared" ca="1" si="15"/>
        <v/>
      </c>
      <c r="AP61" s="143" t="str">
        <f t="shared" ca="1" si="16"/>
        <v/>
      </c>
      <c r="AU61" s="143" t="str">
        <f t="shared" ca="1" si="17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 x14ac:dyDescent="0.45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51" t="str">
        <f ca="1">IF(D62&lt;&gt;"",
IF(OR(COUNTIF(C62,"*雙葉*"),COUNTIF(C62,"*香蘭*")),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VALUE(VLOOKUP("*"&amp;D62&amp;"*",商品マスタ!D:H,5,FALSE))),"")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52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8" t="str">
        <f t="array" aca="1" ref="V62" ca="1">IF($R62&lt;&gt;"",
INDIRECT("G"&amp;$R62&amp;""),"")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IF(AND(LEFT(INDIRECT("B"&amp;R62&amp;""),2)="博多",INDIRECT("B"&amp;R62&amp;"")=INDIRECT("B"&amp;R62+1&amp;"")&amp;"'"),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50" t="str">
        <f t="shared" ca="1" si="23"/>
        <v/>
      </c>
      <c r="AI62" s="143" t="str">
        <f t="shared" ca="1" si="9"/>
        <v/>
      </c>
      <c r="AJ62" s="143" t="str">
        <f t="shared" ca="1" si="10"/>
        <v/>
      </c>
      <c r="AK62" s="143" t="str">
        <f t="shared" ca="1" si="11"/>
        <v/>
      </c>
      <c r="AL62" s="143" t="str">
        <f t="shared" ca="1" si="12"/>
        <v/>
      </c>
      <c r="AM62" s="143" t="str">
        <f t="shared" ca="1" si="13"/>
        <v/>
      </c>
      <c r="AN62" s="143" t="str">
        <f t="shared" ca="1" si="14"/>
        <v/>
      </c>
      <c r="AO62" s="143" t="str">
        <f t="shared" ca="1" si="15"/>
        <v/>
      </c>
      <c r="AP62" s="143" t="str">
        <f t="shared" ca="1" si="16"/>
        <v/>
      </c>
      <c r="AU62" s="143" t="str">
        <f t="shared" ca="1" si="17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 x14ac:dyDescent="0.45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51" t="str">
        <f ca="1">IF(D63&lt;&gt;"",
IF(OR(COUNTIF(C63,"*雙葉*"),COUNTIF(C63,"*香蘭*")),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VALUE(VLOOKUP("*"&amp;D63&amp;"*",商品マスタ!D:H,5,FALSE))),"")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52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8" t="str">
        <f t="array" aca="1" ref="V63" ca="1">IF($R63&lt;&gt;"",
INDIRECT("G"&amp;$R63&amp;""),"")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IF(AND(LEFT(INDIRECT("B"&amp;R63&amp;""),2)="博多",INDIRECT("B"&amp;R63&amp;"")=INDIRECT("B"&amp;R63+1&amp;"")&amp;"'"),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50" t="str">
        <f t="shared" ca="1" si="23"/>
        <v/>
      </c>
      <c r="AI63" s="143" t="str">
        <f t="shared" ca="1" si="9"/>
        <v/>
      </c>
      <c r="AJ63" s="143" t="str">
        <f t="shared" ca="1" si="10"/>
        <v/>
      </c>
      <c r="AK63" s="143" t="str">
        <f t="shared" ca="1" si="11"/>
        <v/>
      </c>
      <c r="AL63" s="143" t="str">
        <f t="shared" ca="1" si="12"/>
        <v/>
      </c>
      <c r="AM63" s="143" t="str">
        <f t="shared" ca="1" si="13"/>
        <v/>
      </c>
      <c r="AN63" s="143" t="str">
        <f t="shared" ca="1" si="14"/>
        <v/>
      </c>
      <c r="AO63" s="143" t="str">
        <f t="shared" ca="1" si="15"/>
        <v/>
      </c>
      <c r="AP63" s="143" t="str">
        <f t="shared" ca="1" si="16"/>
        <v/>
      </c>
      <c r="AU63" s="143" t="str">
        <f t="shared" ca="1" si="17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 x14ac:dyDescent="0.45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51" t="str">
        <f ca="1">IF(D64&lt;&gt;"",
IF(OR(COUNTIF(C64,"*雙葉*"),COUNTIF(C64,"*香蘭*")),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VALUE(VLOOKUP("*"&amp;D64&amp;"*",商品マスタ!D:H,5,FALSE))),"")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52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8" t="str">
        <f t="array" aca="1" ref="V64" ca="1">IF($R64&lt;&gt;"",
INDIRECT("G"&amp;$R64&amp;""),"")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IF(AND(LEFT(INDIRECT("B"&amp;R64&amp;""),2)="博多",INDIRECT("B"&amp;R64&amp;"")=INDIRECT("B"&amp;R64+1&amp;"")&amp;"'"),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50" t="str">
        <f t="shared" ca="1" si="23"/>
        <v/>
      </c>
      <c r="AI64" s="143" t="str">
        <f t="shared" ca="1" si="9"/>
        <v/>
      </c>
      <c r="AJ64" s="143" t="str">
        <f t="shared" ca="1" si="10"/>
        <v/>
      </c>
      <c r="AK64" s="143" t="str">
        <f t="shared" ca="1" si="11"/>
        <v/>
      </c>
      <c r="AL64" s="143" t="str">
        <f t="shared" ca="1" si="12"/>
        <v/>
      </c>
      <c r="AM64" s="143" t="str">
        <f t="shared" ca="1" si="13"/>
        <v/>
      </c>
      <c r="AN64" s="143" t="str">
        <f t="shared" ca="1" si="14"/>
        <v/>
      </c>
      <c r="AO64" s="143" t="str">
        <f t="shared" ca="1" si="15"/>
        <v/>
      </c>
      <c r="AP64" s="143" t="str">
        <f t="shared" ca="1" si="16"/>
        <v/>
      </c>
      <c r="AU64" s="143" t="str">
        <f t="shared" ca="1" si="17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 x14ac:dyDescent="0.45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51" t="str">
        <f ca="1">IF(D65&lt;&gt;"",
IF(OR(COUNTIF(C65,"*雙葉*"),COUNTIF(C65,"*香蘭*")),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VALUE(VLOOKUP("*"&amp;D65&amp;"*",商品マスタ!D:H,5,FALSE))),"")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96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52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8" t="str">
        <f t="array" aca="1" ref="V65" ca="1">IF($R65&lt;&gt;"",
INDIRECT("G"&amp;$R65&amp;""),"")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IF(AND(LEFT(INDIRECT("B"&amp;R65&amp;""),2)="博多",INDIRECT("B"&amp;R65&amp;"")=INDIRECT("B"&amp;R65+1&amp;"")&amp;"'"),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50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96" ca="1" si="53">IFERROR(SUM(AY65:BA65),0)</f>
        <v>0</v>
      </c>
    </row>
    <row r="66" spans="1:54" ht="22.2" customHeight="1" x14ac:dyDescent="0.45">
      <c r="A66" s="87">
        <f t="shared" si="29"/>
        <v>137</v>
      </c>
      <c r="B66" s="45" t="str">
        <f t="shared" ref="B66:B97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51" t="str">
        <f ca="1">IF(D66&lt;&gt;"",
IF(OR(COUNTIF(C66,"*雙葉*"),COUNTIF(C66,"*香蘭*")),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VALUE(VLOOKUP("*"&amp;D66&amp;"*",商品マスタ!D:H,5,FALSE))),"")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52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8" t="str">
        <f t="array" aca="1" ref="V66" ca="1">IF($R66&lt;&gt;"",
INDIRECT("G"&amp;$R66&amp;""),"")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IF(AND(LEFT(INDIRECT("B"&amp;R66&amp;""),2)="博多",INDIRECT("B"&amp;R66&amp;"")=INDIRECT("B"&amp;R66+1&amp;"")&amp;"'"),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50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97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 x14ac:dyDescent="0.45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51" t="str">
        <f ca="1">IF(D67&lt;&gt;"",
IF(OR(COUNTIF(C67,"*雙葉*"),COUNTIF(C67,"*香蘭*")),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VALUE(VLOOKUP("*"&amp;D67&amp;"*",商品マスタ!D:H,5,FALSE))),"")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52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8" t="str">
        <f t="array" aca="1" ref="V67" ca="1">IF($R67&lt;&gt;"",
INDIRECT("G"&amp;$R67&amp;""),"")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IF(AND(LEFT(INDIRECT("B"&amp;R67&amp;""),2)="博多",INDIRECT("B"&amp;R67&amp;"")=INDIRECT("B"&amp;R67+1&amp;"")&amp;"'"),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50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 x14ac:dyDescent="0.45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51" t="str">
        <f ca="1">IF(D68&lt;&gt;"",
IF(OR(COUNTIF(C68,"*雙葉*"),COUNTIF(C68,"*香蘭*")),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VALUE(VLOOKUP("*"&amp;D68&amp;"*",商品マスタ!D:H,5,FALSE))),"")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52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8" t="str">
        <f t="array" aca="1" ref="V68" ca="1">IF($R68&lt;&gt;"",
INDIRECT("G"&amp;$R68&amp;""),"")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IF(AND(LEFT(INDIRECT("B"&amp;R68&amp;""),2)="博多",INDIRECT("B"&amp;R68&amp;"")=INDIRECT("B"&amp;R68+1&amp;"")&amp;"'"),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50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 x14ac:dyDescent="0.45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51" t="str">
        <f ca="1">IF(D69&lt;&gt;"",
IF(OR(COUNTIF(C69,"*雙葉*"),COUNTIF(C69,"*香蘭*")),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VALUE(VLOOKUP("*"&amp;D69&amp;"*",商品マスタ!D:H,5,FALSE))),"")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52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8" t="str">
        <f t="array" aca="1" ref="V69" ca="1">IF($R69&lt;&gt;"",
INDIRECT("G"&amp;$R69&amp;""),"")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IF(AND(LEFT(INDIRECT("B"&amp;R69&amp;""),2)="博多",INDIRECT("B"&amp;R69&amp;"")=INDIRECT("B"&amp;R69+1&amp;"")&amp;"'"),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50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 x14ac:dyDescent="0.45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51" t="str">
        <f ca="1">IF(D70&lt;&gt;"",
IF(OR(COUNTIF(C70,"*雙葉*"),COUNTIF(C70,"*香蘭*")),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VALUE(VLOOKUP("*"&amp;D70&amp;"*",商品マスタ!D:H,5,FALSE))),"")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52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8" t="str">
        <f t="array" aca="1" ref="V70" ca="1">IF($R70&lt;&gt;"",
INDIRECT("G"&amp;$R70&amp;""),"")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IF(AND(LEFT(INDIRECT("B"&amp;R70&amp;""),2)="博多",INDIRECT("B"&amp;R70&amp;"")=INDIRECT("B"&amp;R70+1&amp;"")&amp;"'"),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50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 x14ac:dyDescent="0.45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53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 cm="1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IF(C71&lt;&gt;"",IF(OR(COUNTIF('盛付札（関数）'!D71,"*赤*"),COUNTIF('盛付札（関数）'!D71,"*キャラ*")),1,
VALUE(VLOOKUP("*"&amp;D71&amp;"*",商品マスタ!D:H,5,FALSE))),"")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215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IF(AND(LEFT(INDIRECT("B"&amp;R71&amp;""),2)="博多",INDIRECT("B"&amp;R71&amp;"")=INDIRECT("B"&amp;R71+1&amp;"")&amp;"'"),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50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 x14ac:dyDescent="0.45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53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IF(C72&lt;&gt;"",IF(OR(COUNTIF('盛付札（関数）'!D72,"*赤*"),COUNTIF('盛付札（関数）'!D72,"*キャラ*")),1,
VALUE(VLOOKUP("*"&amp;D72&amp;"*",商品マスタ!D:H,5,FALSE))),"")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215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IF(AND(LEFT(INDIRECT("B"&amp;R72&amp;""),2)="博多",INDIRECT("B"&amp;R72&amp;"")=INDIRECT("B"&amp;R72+1&amp;"")&amp;"'"),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50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 x14ac:dyDescent="0.45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53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IF(C73&lt;&gt;"",IF(OR(COUNTIF('盛付札（関数）'!D73,"*赤*"),COUNTIF('盛付札（関数）'!D73,"*キャラ*")),1,
VALUE(VLOOKUP("*"&amp;D73&amp;"*",商品マスタ!D:H,5,FALSE))),"")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215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IF(AND(LEFT(INDIRECT("B"&amp;R73&amp;""),2)="博多",INDIRECT("B"&amp;R73&amp;"")=INDIRECT("B"&amp;R73+1&amp;"")&amp;"'"),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50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 x14ac:dyDescent="0.45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53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IF(C74&lt;&gt;"",IF(OR(COUNTIF('盛付札（関数）'!D74,"*赤*"),COUNTIF('盛付札（関数）'!D74,"*キャラ*")),1,
VALUE(VLOOKUP("*"&amp;D74&amp;"*",商品マスタ!D:H,5,FALSE))),"")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215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IF(AND(LEFT(INDIRECT("B"&amp;R74&amp;""),2)="博多",INDIRECT("B"&amp;R74&amp;"")=INDIRECT("B"&amp;R74+1&amp;"")&amp;"'"),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50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 x14ac:dyDescent="0.45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53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IF(C75&lt;&gt;"",IF(OR(COUNTIF('盛付札（関数）'!D75,"*赤*"),COUNTIF('盛付札（関数）'!D75,"*キャラ*")),1,
VALUE(VLOOKUP("*"&amp;D75&amp;"*",商品マスタ!D:H,5,FALSE))),"")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215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IF(AND(LEFT(INDIRECT("B"&amp;R75&amp;""),2)="博多",INDIRECT("B"&amp;R75&amp;"")=INDIRECT("B"&amp;R75+1&amp;"")&amp;"'"),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50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 x14ac:dyDescent="0.45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53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IF(C76&lt;&gt;"",IF(OR(COUNTIF('盛付札（関数）'!D76,"*赤*"),COUNTIF('盛付札（関数）'!D76,"*キャラ*")),1,
VALUE(VLOOKUP("*"&amp;D76&amp;"*",商品マスタ!D:H,5,FALSE))),"")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215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IF(AND(LEFT(INDIRECT("B"&amp;R76&amp;""),2)="博多",INDIRECT("B"&amp;R76&amp;"")=INDIRECT("B"&amp;R76+1&amp;"")&amp;"'"),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50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 x14ac:dyDescent="0.45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53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IF(C77&lt;&gt;"",IF(OR(COUNTIF('盛付札（関数）'!D77,"*赤*"),COUNTIF('盛付札（関数）'!D77,"*キャラ*")),1,
VALUE(VLOOKUP("*"&amp;D77&amp;"*",商品マスタ!D:H,5,FALSE))),"")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215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IF(AND(LEFT(INDIRECT("B"&amp;R77&amp;""),2)="博多",INDIRECT("B"&amp;R77&amp;"")=INDIRECT("B"&amp;R77+1&amp;"")&amp;"'"),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50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 x14ac:dyDescent="0.45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53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IF(C78&lt;&gt;"",IF(OR(COUNTIF('盛付札（関数）'!D78,"*赤*"),COUNTIF('盛付札（関数）'!D78,"*キャラ*")),1,
VALUE(VLOOKUP("*"&amp;D78&amp;"*",商品マスタ!D:H,5,FALSE))),"")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215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IF(AND(LEFT(INDIRECT("B"&amp;R78&amp;""),2)="博多",INDIRECT("B"&amp;R78&amp;"")=INDIRECT("B"&amp;R78+1&amp;"")&amp;"'"),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50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 x14ac:dyDescent="0.45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53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IF(C79&lt;&gt;"",IF(OR(COUNTIF('盛付札（関数）'!D79,"*赤*"),COUNTIF('盛付札（関数）'!D79,"*キャラ*")),1,
VALUE(VLOOKUP("*"&amp;D79&amp;"*",商品マスタ!D:H,5,FALSE))),"")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215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IF(AND(LEFT(INDIRECT("B"&amp;R79&amp;""),2)="博多",INDIRECT("B"&amp;R79&amp;"")=INDIRECT("B"&amp;R79+1&amp;"")&amp;"'"),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50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 x14ac:dyDescent="0.45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53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IF(C80&lt;&gt;"",IF(OR(COUNTIF('盛付札（関数）'!D80,"*赤*"),COUNTIF('盛付札（関数）'!D80,"*キャラ*")),1,
VALUE(VLOOKUP("*"&amp;D80&amp;"*",商品マスタ!D:H,5,FALSE))),"")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215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IF(AND(LEFT(INDIRECT("B"&amp;R80&amp;""),2)="博多",INDIRECT("B"&amp;R80&amp;"")=INDIRECT("B"&amp;R80+1&amp;"")&amp;"'"),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50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 x14ac:dyDescent="0.45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53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IF(C81&lt;&gt;"",IF(OR(COUNTIF('盛付札（関数）'!D81,"*赤*"),COUNTIF('盛付札（関数）'!D81,"*キャラ*")),1,
VALUE(VLOOKUP("*"&amp;D81&amp;"*",商品マスタ!D:H,5,FALSE))),"")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215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IF(AND(LEFT(INDIRECT("B"&amp;R81&amp;""),2)="博多",INDIRECT("B"&amp;R81&amp;"")=INDIRECT("B"&amp;R81+1&amp;"")&amp;"'"),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50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 x14ac:dyDescent="0.45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53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IF(C82&lt;&gt;"",IF(OR(COUNTIF('盛付札（関数）'!D82,"*赤*"),COUNTIF('盛付札（関数）'!D82,"*キャラ*")),1,
VALUE(VLOOKUP("*"&amp;D82&amp;"*",商品マスタ!D:H,5,FALSE))),"")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215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IF(AND(LEFT(INDIRECT("B"&amp;R82&amp;""),2)="博多",INDIRECT("B"&amp;R82&amp;"")=INDIRECT("B"&amp;R82+1&amp;"")&amp;"'"),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50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 x14ac:dyDescent="0.45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53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IF(C83&lt;&gt;"",IF(OR(COUNTIF('盛付札（関数）'!D83,"*赤*"),COUNTIF('盛付札（関数）'!D83,"*キャラ*")),1,
VALUE(VLOOKUP("*"&amp;D83&amp;"*",商品マスタ!D:H,5,FALSE))),"")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215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IF(AND(LEFT(INDIRECT("B"&amp;R83&amp;""),2)="博多",INDIRECT("B"&amp;R83&amp;"")=INDIRECT("B"&amp;R83+1&amp;"")&amp;"'"),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50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 x14ac:dyDescent="0.45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53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IF(C84&lt;&gt;"",IF(OR(COUNTIF('盛付札（関数）'!D84,"*赤*"),COUNTIF('盛付札（関数）'!D84,"*キャラ*")),1,
VALUE(VLOOKUP("*"&amp;D84&amp;"*",商品マスタ!D:H,5,FALSE))),"")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215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IF(AND(LEFT(INDIRECT("B"&amp;R84&amp;""),2)="博多",INDIRECT("B"&amp;R84&amp;"")=INDIRECT("B"&amp;R84+1&amp;"")&amp;"'"),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50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 x14ac:dyDescent="0.45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53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IF(C85&lt;&gt;"",IF(OR(COUNTIF('盛付札（関数）'!D85,"*赤*"),COUNTIF('盛付札（関数）'!D85,"*キャラ*")),1,
VALUE(VLOOKUP("*"&amp;D85&amp;"*",商品マスタ!D:H,5,FALSE))),"")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215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IF(AND(LEFT(INDIRECT("B"&amp;R85&amp;""),2)="博多",INDIRECT("B"&amp;R85&amp;"")=INDIRECT("B"&amp;R85+1&amp;"")&amp;"'"),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50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 x14ac:dyDescent="0.45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53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IF(C86&lt;&gt;"",IF(OR(COUNTIF('盛付札（関数）'!D86,"*赤*"),COUNTIF('盛付札（関数）'!D86,"*キャラ*")),1,
VALUE(VLOOKUP("*"&amp;D86&amp;"*",商品マスタ!D:H,5,FALSE))),"")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215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IF(AND(LEFT(INDIRECT("B"&amp;R86&amp;""),2)="博多",INDIRECT("B"&amp;R86&amp;"")=INDIRECT("B"&amp;R86+1&amp;"")&amp;"'"),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50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 x14ac:dyDescent="0.45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53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IF(C87&lt;&gt;"",IF(OR(COUNTIF('盛付札（関数）'!D87,"*赤*"),COUNTIF('盛付札（関数）'!D87,"*キャラ*")),1,
VALUE(VLOOKUP("*"&amp;D87&amp;"*",商品マスタ!D:H,5,FALSE))),"")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215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IF(AND(LEFT(INDIRECT("B"&amp;R87&amp;""),2)="博多",INDIRECT("B"&amp;R87&amp;"")=INDIRECT("B"&amp;R87+1&amp;"")&amp;"'"),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50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 x14ac:dyDescent="0.45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53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IF(C88&lt;&gt;"",IF(OR(COUNTIF('盛付札（関数）'!D88,"*赤*"),COUNTIF('盛付札（関数）'!D88,"*キャラ*")),1,
VALUE(VLOOKUP("*"&amp;D88&amp;"*",商品マスタ!D:H,5,FALSE))),"")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215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IF(AND(LEFT(INDIRECT("B"&amp;R88&amp;""),2)="博多",INDIRECT("B"&amp;R88&amp;"")=INDIRECT("B"&amp;R88+1&amp;"")&amp;"'"),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50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 x14ac:dyDescent="0.45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53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IF(C89&lt;&gt;"",IF(OR(COUNTIF('盛付札（関数）'!D89,"*赤*"),COUNTIF('盛付札（関数）'!D89,"*キャラ*")),1,
VALUE(VLOOKUP("*"&amp;D89&amp;"*",商品マスタ!D:H,5,FALSE))),"")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215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IF(AND(LEFT(INDIRECT("B"&amp;R89&amp;""),2)="博多",INDIRECT("B"&amp;R89&amp;"")=INDIRECT("B"&amp;R89+1&amp;"")&amp;"'"),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50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 x14ac:dyDescent="0.45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53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IF(C90&lt;&gt;"",IF(OR(COUNTIF('盛付札（関数）'!D90,"*赤*"),COUNTIF('盛付札（関数）'!D90,"*キャラ*")),1,
VALUE(VLOOKUP("*"&amp;D90&amp;"*",商品マスタ!D:H,5,FALSE))),"")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215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IF(AND(LEFT(INDIRECT("B"&amp;R90&amp;""),2)="博多",INDIRECT("B"&amp;R90&amp;"")=INDIRECT("B"&amp;R90+1&amp;"")&amp;"'"),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50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 x14ac:dyDescent="0.45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53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IF(C91&lt;&gt;"",IF(OR(COUNTIF('盛付札（関数）'!D91,"*赤*"),COUNTIF('盛付札（関数）'!D91,"*キャラ*")),1,
VALUE(VLOOKUP("*"&amp;D91&amp;"*",商品マスタ!D:H,5,FALSE))),"")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215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IF(AND(LEFT(INDIRECT("B"&amp;R91&amp;""),2)="博多",INDIRECT("B"&amp;R91&amp;"")=INDIRECT("B"&amp;R91+1&amp;"")&amp;"'"),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50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 x14ac:dyDescent="0.45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53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IF(C92&lt;&gt;"",IF(OR(COUNTIF('盛付札（関数）'!D92,"*赤*"),COUNTIF('盛付札（関数）'!D92,"*キャラ*")),1,
VALUE(VLOOKUP("*"&amp;D92&amp;"*",商品マスタ!D:H,5,FALSE))),"")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215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IF(AND(LEFT(INDIRECT("B"&amp;R92&amp;""),2)="博多",INDIRECT("B"&amp;R92&amp;"")=INDIRECT("B"&amp;R92+1&amp;"")&amp;"'"),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50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 x14ac:dyDescent="0.45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53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IF(C93&lt;&gt;"",IF(OR(COUNTIF('盛付札（関数）'!D93,"*赤*"),COUNTIF('盛付札（関数）'!D93,"*キャラ*")),1,
VALUE(VLOOKUP("*"&amp;D93&amp;"*",商品マスタ!D:H,5,FALSE))),"")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215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IF(AND(LEFT(INDIRECT("B"&amp;R93&amp;""),2)="博多",INDIRECT("B"&amp;R93&amp;"")=INDIRECT("B"&amp;R93+1&amp;"")&amp;"'"),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50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 x14ac:dyDescent="0.45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53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IF(C94&lt;&gt;"",IF(OR(COUNTIF('盛付札（関数）'!D94,"*赤*"),COUNTIF('盛付札（関数）'!D94,"*キャラ*")),1,
VALUE(VLOOKUP("*"&amp;D94&amp;"*",商品マスタ!D:H,5,FALSE))),"")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215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IF(AND(LEFT(INDIRECT("B"&amp;R94&amp;""),2)="博多",INDIRECT("B"&amp;R94&amp;"")=INDIRECT("B"&amp;R94+1&amp;"")&amp;"'"),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50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 x14ac:dyDescent="0.45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53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IF(C95&lt;&gt;"",IF(OR(COUNTIF('盛付札（関数）'!D95,"*赤*"),COUNTIF('盛付札（関数）'!D95,"*キャラ*")),1,
VALUE(VLOOKUP("*"&amp;D95&amp;"*",商品マスタ!D:H,5,FALSE))),"")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215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IF(AND(LEFT(INDIRECT("B"&amp;R95&amp;""),2)="博多",INDIRECT("B"&amp;R95&amp;"")=INDIRECT("B"&amp;R95+1&amp;"")&amp;"'"),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50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 x14ac:dyDescent="0.45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53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IF(C96&lt;&gt;"",IF(OR(COUNTIF('盛付札（関数）'!D96,"*赤*"),COUNTIF('盛付札（関数）'!D96,"*キャラ*")),1,
VALUE(VLOOKUP("*"&amp;D96&amp;"*",商品マスタ!D:H,5,FALSE))),"")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215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IF(AND(LEFT(INDIRECT("B"&amp;R96&amp;""),2)="博多",INDIRECT("B"&amp;R96&amp;"")=INDIRECT("B"&amp;R96+1&amp;"")&amp;"'"),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50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 x14ac:dyDescent="0.45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53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IF(C97&lt;&gt;"",IF(OR(COUNTIF('盛付札（関数）'!D97,"*赤*"),COUNTIF('盛付札（関数）'!D97,"*キャラ*")),1,
VALUE(VLOOKUP("*"&amp;D97&amp;"*",商品マスタ!D:H,5,FALSE))),"")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215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IF(AND(LEFT(INDIRECT("B"&amp;R97&amp;""),2)="博多",INDIRECT("B"&amp;R97&amp;"")=INDIRECT("B"&amp;R97+1&amp;"")&amp;"'"),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50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 x14ac:dyDescent="0.45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53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IF(C98&lt;&gt;"",IF(OR(COUNTIF('盛付札（関数）'!D98,"*赤*"),COUNTIF('盛付札（関数）'!D98,"*キャラ*")),1,
VALUE(VLOOKUP("*"&amp;D98&amp;"*",商品マスタ!D:H,5,FALSE))),"")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215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IF(AND(LEFT(INDIRECT("B"&amp;R98&amp;""),2)="博多",INDIRECT("B"&amp;R98&amp;"")=INDIRECT("B"&amp;R98+1&amp;"")&amp;"'"),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50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 x14ac:dyDescent="0.45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53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IF(C99&lt;&gt;"",IF(OR(COUNTIF('盛付札（関数）'!D99,"*赤*"),COUNTIF('盛付札（関数）'!D99,"*キャラ*")),1,
VALUE(VLOOKUP("*"&amp;D99&amp;"*",商品マスタ!D:H,5,FALSE))),"")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215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IF(AND(LEFT(INDIRECT("B"&amp;R99&amp;""),2)="博多",INDIRECT("B"&amp;R99&amp;"")=INDIRECT("B"&amp;R99+1&amp;"")&amp;"'"),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50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 x14ac:dyDescent="0.45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53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IF(C100&lt;&gt;"",IF(OR(COUNTIF('盛付札（関数）'!D100,"*赤*"),COUNTIF('盛付札（関数）'!D100,"*キャラ*")),1,
VALUE(VLOOKUP("*"&amp;D100&amp;"*",商品マスタ!D:H,5,FALSE))),"")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215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IF(AND(LEFT(INDIRECT("B"&amp;R100&amp;""),2)="博多",INDIRECT("B"&amp;R100&amp;"")=INDIRECT("B"&amp;R100+1&amp;"")&amp;"'"),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50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 x14ac:dyDescent="0.45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53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IF(C101&lt;&gt;"",IF(OR(COUNTIF('盛付札（関数）'!D101,"*赤*"),COUNTIF('盛付札（関数）'!D101,"*キャラ*")),1,
VALUE(VLOOKUP("*"&amp;D101&amp;"*",商品マスタ!D:H,5,FALSE))),"")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215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IF(AND(LEFT(INDIRECT("B"&amp;R101&amp;""),2)="博多",INDIRECT("B"&amp;R101&amp;"")=INDIRECT("B"&amp;R101+1&amp;"")&amp;"'"),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50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 x14ac:dyDescent="0.45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53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IF(C102&lt;&gt;"",IF(OR(COUNTIF('盛付札（関数）'!D102,"*赤*"),COUNTIF('盛付札（関数）'!D102,"*キャラ*")),1,
VALUE(VLOOKUP("*"&amp;D102&amp;"*",商品マスタ!D:H,5,FALSE))),"")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215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IF(AND(LEFT(INDIRECT("B"&amp;R102&amp;""),2)="博多",INDIRECT("B"&amp;R102&amp;"")=INDIRECT("B"&amp;R102+1&amp;"")&amp;"'"),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50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 x14ac:dyDescent="0.45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53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IF(C103&lt;&gt;"",IF(OR(COUNTIF('盛付札（関数）'!D103,"*赤*"),COUNTIF('盛付札（関数）'!D103,"*キャラ*")),1,
VALUE(VLOOKUP("*"&amp;D103&amp;"*",商品マスタ!D:H,5,FALSE))),"")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215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IF(AND(LEFT(INDIRECT("B"&amp;R103&amp;""),2)="博多",INDIRECT("B"&amp;R103&amp;"")=INDIRECT("B"&amp;R103+1&amp;"")&amp;"'"),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50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 x14ac:dyDescent="0.45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53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IF(C104&lt;&gt;"",IF(OR(COUNTIF('盛付札（関数）'!D104,"*赤*"),COUNTIF('盛付札（関数）'!D104,"*キャラ*")),1,
VALUE(VLOOKUP("*"&amp;D104&amp;"*",商品マスタ!D:H,5,FALSE))),"")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215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IF(AND(LEFT(INDIRECT("B"&amp;R104&amp;""),2)="博多",INDIRECT("B"&amp;R104&amp;"")=INDIRECT("B"&amp;R104+1&amp;"")&amp;"'"),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50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 x14ac:dyDescent="0.45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53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IF(C105&lt;&gt;"",IF(OR(COUNTIF('盛付札（関数）'!D105,"*赤*"),COUNTIF('盛付札（関数）'!D105,"*キャラ*")),1,
VALUE(VLOOKUP("*"&amp;D105&amp;"*",商品マスタ!D:H,5,FALSE))),"")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215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IF(AND(LEFT(INDIRECT("B"&amp;R105&amp;""),2)="博多",INDIRECT("B"&amp;R105&amp;"")=INDIRECT("B"&amp;R105+1&amp;"")&amp;"'"),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50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 x14ac:dyDescent="0.45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53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IF(C106&lt;&gt;"",IF(OR(COUNTIF('盛付札（関数）'!D106,"*赤*"),COUNTIF('盛付札（関数）'!D106,"*キャラ*")),1,
VALUE(VLOOKUP("*"&amp;D106&amp;"*",商品マスタ!D:H,5,FALSE))),"")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215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IF(AND(LEFT(INDIRECT("B"&amp;R106&amp;""),2)="博多",INDIRECT("B"&amp;R106&amp;"")=INDIRECT("B"&amp;R106+1&amp;"")&amp;"'"),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50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 x14ac:dyDescent="0.45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53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IF(C107&lt;&gt;"",IF(OR(COUNTIF('盛付札（関数）'!D107,"*赤*"),COUNTIF('盛付札（関数）'!D107,"*キャラ*")),1,
VALUE(VLOOKUP("*"&amp;D107&amp;"*",商品マスタ!D:H,5,FALSE))),"")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215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IF(AND(LEFT(INDIRECT("B"&amp;R107&amp;""),2)="博多",INDIRECT("B"&amp;R107&amp;"")=INDIRECT("B"&amp;R107+1&amp;"")&amp;"'"),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50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 x14ac:dyDescent="0.45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53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IF(C108&lt;&gt;"",IF(OR(COUNTIF('盛付札（関数）'!D108,"*赤*"),COUNTIF('盛付札（関数）'!D108,"*キャラ*")),1,
VALUE(VLOOKUP("*"&amp;D108&amp;"*",商品マスタ!D:H,5,FALSE))),"")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215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IF(AND(LEFT(INDIRECT("B"&amp;R108&amp;""),2)="博多",INDIRECT("B"&amp;R108&amp;"")=INDIRECT("B"&amp;R108+1&amp;"")&amp;"'"),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50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 x14ac:dyDescent="0.45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53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IF(C109&lt;&gt;"",IF(OR(COUNTIF('盛付札（関数）'!D109,"*赤*"),COUNTIF('盛付札（関数）'!D109,"*キャラ*")),1,
VALUE(VLOOKUP("*"&amp;D109&amp;"*",商品マスタ!D:H,5,FALSE))),"")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215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IF(AND(LEFT(INDIRECT("B"&amp;R109&amp;""),2)="博多",INDIRECT("B"&amp;R109&amp;"")=INDIRECT("B"&amp;R109+1&amp;"")&amp;"'"),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50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 x14ac:dyDescent="0.45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53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IF(C110&lt;&gt;"",IF(OR(COUNTIF('盛付札（関数）'!D110,"*赤*"),COUNTIF('盛付札（関数）'!D110,"*キャラ*")),1,
VALUE(VLOOKUP("*"&amp;D110&amp;"*",商品マスタ!D:H,5,FALSE))),"")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215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IF(AND(LEFT(INDIRECT("B"&amp;R110&amp;""),2)="博多",INDIRECT("B"&amp;R110&amp;"")=INDIRECT("B"&amp;R110+1&amp;"")&amp;"'"),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50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 x14ac:dyDescent="0.45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53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IF(C111&lt;&gt;"",IF(OR(COUNTIF('盛付札（関数）'!D111,"*赤*"),COUNTIF('盛付札（関数）'!D111,"*キャラ*")),1,
VALUE(VLOOKUP("*"&amp;D111&amp;"*",商品マスタ!D:H,5,FALSE))),"")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215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IF(AND(LEFT(INDIRECT("B"&amp;R111&amp;""),2)="博多",INDIRECT("B"&amp;R111&amp;"")=INDIRECT("B"&amp;R111+1&amp;"")&amp;"'"),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50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 x14ac:dyDescent="0.45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53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IF(C112&lt;&gt;"",IF(OR(COUNTIF('盛付札（関数）'!D112,"*赤*"),COUNTIF('盛付札（関数）'!D112,"*キャラ*")),1,
VALUE(VLOOKUP("*"&amp;D112&amp;"*",商品マスタ!D:H,5,FALSE))),"")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215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IF(AND(LEFT(INDIRECT("B"&amp;R112&amp;""),2)="博多",INDIRECT("B"&amp;R112&amp;"")=INDIRECT("B"&amp;R112+1&amp;"")&amp;"'"),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50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 x14ac:dyDescent="0.45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53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IF(C113&lt;&gt;"",IF(OR(COUNTIF('盛付札（関数）'!D113,"*赤*"),COUNTIF('盛付札（関数）'!D113,"*キャラ*")),1,
VALUE(VLOOKUP("*"&amp;D113&amp;"*",商品マスタ!D:H,5,FALSE))),"")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215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IF(AND(LEFT(INDIRECT("B"&amp;R113&amp;""),2)="博多",INDIRECT("B"&amp;R113&amp;"")=INDIRECT("B"&amp;R113+1&amp;"")&amp;"'"),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50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 x14ac:dyDescent="0.45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53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IF(C114&lt;&gt;"",IF(OR(COUNTIF('盛付札（関数）'!D114,"*赤*"),COUNTIF('盛付札（関数）'!D114,"*キャラ*")),1,
VALUE(VLOOKUP("*"&amp;D114&amp;"*",商品マスタ!D:H,5,FALSE))),"")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215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IF(AND(LEFT(INDIRECT("B"&amp;R114&amp;""),2)="博多",INDIRECT("B"&amp;R114&amp;"")=INDIRECT("B"&amp;R114+1&amp;"")&amp;"'"),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50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 x14ac:dyDescent="0.45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53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IF(C115&lt;&gt;"",IF(OR(COUNTIF('盛付札（関数）'!D115,"*赤*"),COUNTIF('盛付札（関数）'!D115,"*キャラ*")),1,
VALUE(VLOOKUP("*"&amp;D115&amp;"*",商品マスタ!D:H,5,FALSE))),"")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215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IF(AND(LEFT(INDIRECT("B"&amp;R115&amp;""),2)="博多",INDIRECT("B"&amp;R115&amp;"")=INDIRECT("B"&amp;R115+1&amp;"")&amp;"'"),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50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 x14ac:dyDescent="0.45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53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IF(C116&lt;&gt;"",IF(OR(COUNTIF('盛付札（関数）'!D116,"*赤*"),COUNTIF('盛付札（関数）'!D116,"*キャラ*")),1,
VALUE(VLOOKUP("*"&amp;D116&amp;"*",商品マスタ!D:H,5,FALSE))),"")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215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IF(AND(LEFT(INDIRECT("B"&amp;R116&amp;""),2)="博多",INDIRECT("B"&amp;R116&amp;"")=INDIRECT("B"&amp;R116+1&amp;"")&amp;"'"),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50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 x14ac:dyDescent="0.45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53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IF(C117&lt;&gt;"",IF(OR(COUNTIF('盛付札（関数）'!D117,"*赤*"),COUNTIF('盛付札（関数）'!D117,"*キャラ*")),1,
VALUE(VLOOKUP("*"&amp;D117&amp;"*",商品マスタ!D:H,5,FALSE))),"")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215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IF(AND(LEFT(INDIRECT("B"&amp;R117&amp;""),2)="博多",INDIRECT("B"&amp;R117&amp;"")=INDIRECT("B"&amp;R117+1&amp;"")&amp;"'"),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50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 x14ac:dyDescent="0.45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53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IF(C118&lt;&gt;"",IF(OR(COUNTIF('盛付札（関数）'!D118,"*赤*"),COUNTIF('盛付札（関数）'!D118,"*キャラ*")),1,
VALUE(VLOOKUP("*"&amp;D118&amp;"*",商品マスタ!D:H,5,FALSE))),"")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215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IF(AND(LEFT(INDIRECT("B"&amp;R118&amp;""),2)="博多",INDIRECT("B"&amp;R118&amp;"")=INDIRECT("B"&amp;R118+1&amp;"")&amp;"'"),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50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 x14ac:dyDescent="0.45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53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IF(C119&lt;&gt;"",IF(OR(COUNTIF('盛付札（関数）'!D119,"*赤*"),COUNTIF('盛付札（関数）'!D119,"*キャラ*")),1,
VALUE(VLOOKUP("*"&amp;D119&amp;"*",商品マスタ!D:H,5,FALSE))),"")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215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IF(AND(LEFT(INDIRECT("B"&amp;R119&amp;""),2)="博多",INDIRECT("B"&amp;R119&amp;"")=INDIRECT("B"&amp;R119+1&amp;"")&amp;"'"),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50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 x14ac:dyDescent="0.45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53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IF(C120&lt;&gt;"",IF(OR(COUNTIF('盛付札（関数）'!D120,"*赤*"),COUNTIF('盛付札（関数）'!D120,"*キャラ*")),1,
VALUE(VLOOKUP("*"&amp;D120&amp;"*",商品マスタ!D:H,5,FALSE))),"")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215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IF(AND(LEFT(INDIRECT("B"&amp;R120&amp;""),2)="博多",INDIRECT("B"&amp;R120&amp;"")=INDIRECT("B"&amp;R120+1&amp;"")&amp;"'"),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50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 x14ac:dyDescent="0.45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53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IF(C121&lt;&gt;"",IF(OR(COUNTIF('盛付札（関数）'!D121,"*赤*"),COUNTIF('盛付札（関数）'!D121,"*キャラ*")),1,
VALUE(VLOOKUP("*"&amp;D121&amp;"*",商品マスタ!D:H,5,FALSE))),"")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215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IF(AND(LEFT(INDIRECT("B"&amp;R121&amp;""),2)="博多",INDIRECT("B"&amp;R121&amp;"")=INDIRECT("B"&amp;R121+1&amp;"")&amp;"'"),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50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 x14ac:dyDescent="0.45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53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IF(C122&lt;&gt;"",IF(OR(COUNTIF('盛付札（関数）'!D122,"*赤*"),COUNTIF('盛付札（関数）'!D122,"*キャラ*")),1,
VALUE(VLOOKUP("*"&amp;D122&amp;"*",商品マスタ!D:H,5,FALSE))),"")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215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IF(AND(LEFT(INDIRECT("B"&amp;R122&amp;""),2)="博多",INDIRECT("B"&amp;R122&amp;"")=INDIRECT("B"&amp;R122+1&amp;"")&amp;"'"),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50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 x14ac:dyDescent="0.45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53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IF(C123&lt;&gt;"",IF(OR(COUNTIF('盛付札（関数）'!D123,"*赤*"),COUNTIF('盛付札（関数）'!D123,"*キャラ*")),1,
VALUE(VLOOKUP("*"&amp;D123&amp;"*",商品マスタ!D:H,5,FALSE))),"")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215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IF(AND(LEFT(INDIRECT("B"&amp;R123&amp;""),2)="博多",INDIRECT("B"&amp;R123&amp;"")=INDIRECT("B"&amp;R123+1&amp;"")&amp;"'"),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50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 x14ac:dyDescent="0.45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53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IF(C124&lt;&gt;"",IF(OR(COUNTIF('盛付札（関数）'!D124,"*赤*"),COUNTIF('盛付札（関数）'!D124,"*キャラ*")),1,
VALUE(VLOOKUP("*"&amp;D124&amp;"*",商品マスタ!D:H,5,FALSE))),"")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215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IF(AND(LEFT(INDIRECT("B"&amp;R124&amp;""),2)="博多",INDIRECT("B"&amp;R124&amp;"")=INDIRECT("B"&amp;R124+1&amp;"")&amp;"'"),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50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 x14ac:dyDescent="0.45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53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IF(C125&lt;&gt;"",IF(OR(COUNTIF('盛付札（関数）'!D125,"*赤*"),COUNTIF('盛付札（関数）'!D125,"*キャラ*")),1,
VALUE(VLOOKUP("*"&amp;D125&amp;"*",商品マスタ!D:H,5,FALSE))),"")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215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IF(AND(LEFT(INDIRECT("B"&amp;R125&amp;""),2)="博多",INDIRECT("B"&amp;R125&amp;"")=INDIRECT("B"&amp;R125+1&amp;"")&amp;"'"),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50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 x14ac:dyDescent="0.45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53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IF(C126&lt;&gt;"",IF(OR(COUNTIF('盛付札（関数）'!D126,"*赤*"),COUNTIF('盛付札（関数）'!D126,"*キャラ*")),1,
VALUE(VLOOKUP("*"&amp;D126&amp;"*",商品マスタ!D:H,5,FALSE))),"")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215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IF(AND(LEFT(INDIRECT("B"&amp;R126&amp;""),2)="博多",INDIRECT("B"&amp;R126&amp;"")=INDIRECT("B"&amp;R126+1&amp;"")&amp;"'"),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50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 x14ac:dyDescent="0.45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53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IF(C127&lt;&gt;"",IF(OR(COUNTIF('盛付札（関数）'!D127,"*赤*"),COUNTIF('盛付札（関数）'!D127,"*キャラ*")),1,
VALUE(VLOOKUP("*"&amp;D127&amp;"*",商品マスタ!D:H,5,FALSE))),"")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215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IF(AND(LEFT(INDIRECT("B"&amp;R127&amp;""),2)="博多",INDIRECT("B"&amp;R127&amp;"")=INDIRECT("B"&amp;R127+1&amp;"")&amp;"'"),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50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 x14ac:dyDescent="0.45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53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IF(C128&lt;&gt;"",IF(OR(COUNTIF('盛付札（関数）'!D128,"*赤*"),COUNTIF('盛付札（関数）'!D128,"*キャラ*")),1,
VALUE(VLOOKUP("*"&amp;D128&amp;"*",商品マスタ!D:H,5,FALSE))),"")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215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IF(AND(LEFT(INDIRECT("B"&amp;R128&amp;""),2)="博多",INDIRECT("B"&amp;R128&amp;"")=INDIRECT("B"&amp;R128+1&amp;"")&amp;"'"),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50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 x14ac:dyDescent="0.45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53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IF(C129&lt;&gt;"",IF(OR(COUNTIF('盛付札（関数）'!D129,"*赤*"),COUNTIF('盛付札（関数）'!D129,"*キャラ*")),1,
VALUE(VLOOKUP("*"&amp;D129&amp;"*",商品マスタ!D:H,5,FALSE))),"")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215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IF(AND(LEFT(INDIRECT("B"&amp;R129&amp;""),2)="博多",INDIRECT("B"&amp;R129&amp;"")=INDIRECT("B"&amp;R129+1&amp;"")&amp;"'"),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50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 x14ac:dyDescent="0.45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53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IF(C130&lt;&gt;"",IF(OR(COUNTIF('盛付札（関数）'!D130,"*赤*"),COUNTIF('盛付札（関数）'!D130,"*キャラ*")),1,
VALUE(VLOOKUP("*"&amp;D130&amp;"*",商品マスタ!D:H,5,FALSE))),"")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215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IF(AND(LEFT(INDIRECT("B"&amp;R130&amp;""),2)="博多",INDIRECT("B"&amp;R130&amp;"")=INDIRECT("B"&amp;R130+1&amp;"")&amp;"'"),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50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 x14ac:dyDescent="0.45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53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IF(C131&lt;&gt;"",IF(OR(COUNTIF('盛付札（関数）'!D131,"*赤*"),COUNTIF('盛付札（関数）'!D131,"*キャラ*")),1,
VALUE(VLOOKUP("*"&amp;D131&amp;"*",商品マスタ!D:H,5,FALSE))),"")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215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IF(AND(LEFT(INDIRECT("B"&amp;R131&amp;""),2)="博多",INDIRECT("B"&amp;R131&amp;"")=INDIRECT("B"&amp;R131+1&amp;"")&amp;"'"),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50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 x14ac:dyDescent="0.45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53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IF(C132&lt;&gt;"",IF(OR(COUNTIF('盛付札（関数）'!D132,"*赤*"),COUNTIF('盛付札（関数）'!D132,"*キャラ*")),1,
VALUE(VLOOKUP("*"&amp;D132&amp;"*",商品マスタ!D:H,5,FALSE))),"")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215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IF(AND(LEFT(INDIRECT("B"&amp;R132&amp;""),2)="博多",INDIRECT("B"&amp;R132&amp;"")=INDIRECT("B"&amp;R132+1&amp;"")&amp;"'"),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50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 x14ac:dyDescent="0.45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53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IF(C133&lt;&gt;"",IF(OR(COUNTIF('盛付札（関数）'!D133,"*赤*"),COUNTIF('盛付札（関数）'!D133,"*キャラ*")),1,
VALUE(VLOOKUP("*"&amp;D133&amp;"*",商品マスタ!D:H,5,FALSE))),"")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215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IF(AND(LEFT(INDIRECT("B"&amp;R133&amp;""),2)="博多",INDIRECT("B"&amp;R133&amp;"")=INDIRECT("B"&amp;R133+1&amp;"")&amp;"'"),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50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 x14ac:dyDescent="0.45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53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IF(C134&lt;&gt;"",IF(OR(COUNTIF('盛付札（関数）'!D134,"*赤*"),COUNTIF('盛付札（関数）'!D134,"*キャラ*")),1,
VALUE(VLOOKUP("*"&amp;D134&amp;"*",商品マスタ!D:H,5,FALSE))),"")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215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IF(AND(LEFT(INDIRECT("B"&amp;R134&amp;""),2)="博多",INDIRECT("B"&amp;R134&amp;"")=INDIRECT("B"&amp;R134+1&amp;"")&amp;"'"),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50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 x14ac:dyDescent="0.45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53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IF(C135&lt;&gt;"",IF(OR(COUNTIF('盛付札（関数）'!D135,"*赤*"),COUNTIF('盛付札（関数）'!D135,"*キャラ*")),1,
VALUE(VLOOKUP("*"&amp;D135&amp;"*",商品マスタ!D:H,5,FALSE))),"")</f>
        <v/>
      </c>
      <c r="O135" s="90">
        <f t="shared" ref="O135:O166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215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IF(AND(LEFT(INDIRECT("B"&amp;R135&amp;""),2)="博多",INDIRECT("B"&amp;R135&amp;"")=INDIRECT("B"&amp;R135+1&amp;"")&amp;"'"),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50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 x14ac:dyDescent="0.45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53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IF(C136&lt;&gt;"",IF(OR(COUNTIF('盛付札（関数）'!D136,"*赤*"),COUNTIF('盛付札（関数）'!D136,"*キャラ*")),1,
VALUE(VLOOKUP("*"&amp;D136&amp;"*",商品マスタ!D:H,5,FALSE))),"")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215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IF(AND(LEFT(INDIRECT("B"&amp;R136&amp;""),2)="博多",INDIRECT("B"&amp;R136&amp;"")=INDIRECT("B"&amp;R136+1&amp;"")&amp;"'"),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50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 x14ac:dyDescent="0.45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53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IF(C137&lt;&gt;"",IF(OR(COUNTIF('盛付札（関数）'!D137,"*赤*"),COUNTIF('盛付札（関数）'!D137,"*キャラ*")),1,
VALUE(VLOOKUP("*"&amp;D137&amp;"*",商品マスタ!D:H,5,FALSE))),"")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215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IF(AND(LEFT(INDIRECT("B"&amp;R137&amp;""),2)="博多",INDIRECT("B"&amp;R137&amp;"")=INDIRECT("B"&amp;R137+1&amp;"")&amp;"'"),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50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 x14ac:dyDescent="0.45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53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IF(C138&lt;&gt;"",IF(OR(COUNTIF('盛付札（関数）'!D138,"*赤*"),COUNTIF('盛付札（関数）'!D138,"*キャラ*")),1,
VALUE(VLOOKUP("*"&amp;D138&amp;"*",商品マスタ!D:H,5,FALSE))),"")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215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IF(AND(LEFT(INDIRECT("B"&amp;R138&amp;""),2)="博多",INDIRECT("B"&amp;R138&amp;"")=INDIRECT("B"&amp;R138+1&amp;"")&amp;"'"),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50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 x14ac:dyDescent="0.45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53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IF(C139&lt;&gt;"",IF(OR(COUNTIF('盛付札（関数）'!D139,"*赤*"),COUNTIF('盛付札（関数）'!D139,"*キャラ*")),1,
VALUE(VLOOKUP("*"&amp;D139&amp;"*",商品マスタ!D:H,5,FALSE))),"")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215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IF(AND(LEFT(INDIRECT("B"&amp;R139&amp;""),2)="博多",INDIRECT("B"&amp;R139&amp;"")=INDIRECT("B"&amp;R139+1&amp;"")&amp;"'"),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50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 x14ac:dyDescent="0.45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53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IF(C140&lt;&gt;"",IF(OR(COUNTIF('盛付札（関数）'!D140,"*赤*"),COUNTIF('盛付札（関数）'!D140,"*キャラ*")),1,
VALUE(VLOOKUP("*"&amp;D140&amp;"*",商品マスタ!D:H,5,FALSE))),"")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215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IF(AND(LEFT(INDIRECT("B"&amp;R140&amp;""),2)="博多",INDIRECT("B"&amp;R140&amp;"")=INDIRECT("B"&amp;R140+1&amp;"")&amp;"'"),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50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 x14ac:dyDescent="0.45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54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IF(C141&lt;&gt;"",IF(OR(COUNTIF('盛付札（関数）'!D141,"*赤*"),COUNTIF('盛付札（関数）'!D141,"*キャラ*")),1,
VALUE(VLOOKUP("*"&amp;D141&amp;"*",商品マスタ!D:H,5,FALSE))),"")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215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IF(AND(LEFT(INDIRECT("B"&amp;R141&amp;""),2)="博多",INDIRECT("B"&amp;R141&amp;"")=INDIRECT("B"&amp;R141+1&amp;"")&amp;"'"),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50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 x14ac:dyDescent="0.45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54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IF(C142&lt;&gt;"",IF(OR(COUNTIF('盛付札（関数）'!D142,"*赤*"),COUNTIF('盛付札（関数）'!D142,"*キャラ*")),1,
VALUE(VLOOKUP("*"&amp;D142&amp;"*",商品マスタ!D:H,5,FALSE))),"")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215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IF(AND(LEFT(INDIRECT("B"&amp;R142&amp;""),2)="博多",INDIRECT("B"&amp;R142&amp;"")=INDIRECT("B"&amp;R142+1&amp;"")&amp;"'"),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50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 x14ac:dyDescent="0.45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54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IF(C143&lt;&gt;"",IF(OR(COUNTIF('盛付札（関数）'!D143,"*赤*"),COUNTIF('盛付札（関数）'!D143,"*キャラ*")),1,
VALUE(VLOOKUP("*"&amp;D143&amp;"*",商品マスタ!D:H,5,FALSE))),"")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215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IF(AND(LEFT(INDIRECT("B"&amp;R143&amp;""),2)="博多",INDIRECT("B"&amp;R143&amp;"")=INDIRECT("B"&amp;R143+1&amp;"")&amp;"'"),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50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 x14ac:dyDescent="0.45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54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IF(C144&lt;&gt;"",IF(OR(COUNTIF('盛付札（関数）'!D144,"*赤*"),COUNTIF('盛付札（関数）'!D144,"*キャラ*")),1,
VALUE(VLOOKUP("*"&amp;D144&amp;"*",商品マスタ!D:H,5,FALSE))),"")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215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IF(AND(LEFT(INDIRECT("B"&amp;R144&amp;""),2)="博多",INDIRECT("B"&amp;R144&amp;"")=INDIRECT("B"&amp;R144+1&amp;"")&amp;"'"),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50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 x14ac:dyDescent="0.45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54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IF(C145&lt;&gt;"",IF(OR(COUNTIF('盛付札（関数）'!D145,"*赤*"),COUNTIF('盛付札（関数）'!D145,"*キャラ*")),1,
VALUE(VLOOKUP("*"&amp;D145&amp;"*",商品マスタ!D:H,5,FALSE))),"")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215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IF(AND(LEFT(INDIRECT("B"&amp;R145&amp;""),2)="博多",INDIRECT("B"&amp;R145&amp;"")=INDIRECT("B"&amp;R145+1&amp;"")&amp;"'"),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50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 x14ac:dyDescent="0.45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54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IF(C146&lt;&gt;"",IF(OR(COUNTIF('盛付札（関数）'!D146,"*赤*"),COUNTIF('盛付札（関数）'!D146,"*キャラ*")),1,
VALUE(VLOOKUP("*"&amp;D146&amp;"*",商品マスタ!D:H,5,FALSE))),"")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215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IF(AND(LEFT(INDIRECT("B"&amp;R146&amp;""),2)="博多",INDIRECT("B"&amp;R146&amp;"")=INDIRECT("B"&amp;R146+1&amp;"")&amp;"'"),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50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 x14ac:dyDescent="0.45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54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IF(C147&lt;&gt;"",IF(OR(COUNTIF('盛付札（関数）'!D147,"*赤*"),COUNTIF('盛付札（関数）'!D147,"*キャラ*")),1,
VALUE(VLOOKUP("*"&amp;D147&amp;"*",商品マスタ!D:H,5,FALSE))),"")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215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IF(AND(LEFT(INDIRECT("B"&amp;R147&amp;""),2)="博多",INDIRECT("B"&amp;R147&amp;"")=INDIRECT("B"&amp;R147+1&amp;"")&amp;"'"),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50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 x14ac:dyDescent="0.45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54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IF(C148&lt;&gt;"",IF(OR(COUNTIF('盛付札（関数）'!D148,"*赤*"),COUNTIF('盛付札（関数）'!D148,"*キャラ*")),1,
VALUE(VLOOKUP("*"&amp;D148&amp;"*",商品マスタ!D:H,5,FALSE))),"")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215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IF(AND(LEFT(INDIRECT("B"&amp;R148&amp;""),2)="博多",INDIRECT("B"&amp;R148&amp;"")=INDIRECT("B"&amp;R148+1&amp;"")&amp;"'"),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50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 x14ac:dyDescent="0.45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54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IF(C149&lt;&gt;"",IF(OR(COUNTIF('盛付札（関数）'!D149,"*赤*"),COUNTIF('盛付札（関数）'!D149,"*キャラ*")),1,
VALUE(VLOOKUP("*"&amp;D149&amp;"*",商品マスタ!D:H,5,FALSE))),"")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215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IF(AND(LEFT(INDIRECT("B"&amp;R149&amp;""),2)="博多",INDIRECT("B"&amp;R149&amp;"")=INDIRECT("B"&amp;R149+1&amp;"")&amp;"'"),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50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 x14ac:dyDescent="0.45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54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IF(C150&lt;&gt;"",IF(OR(COUNTIF('盛付札（関数）'!D150,"*赤*"),COUNTIF('盛付札（関数）'!D150,"*キャラ*")),1,
VALUE(VLOOKUP("*"&amp;D150&amp;"*",商品マスタ!D:H,5,FALSE))),"")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215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IF(AND(LEFT(INDIRECT("B"&amp;R150&amp;""),2)="博多",INDIRECT("B"&amp;R150&amp;"")=INDIRECT("B"&amp;R150+1&amp;"")&amp;"'"),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50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 x14ac:dyDescent="0.45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54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IF(C151&lt;&gt;"",IF(OR(COUNTIF('盛付札（関数）'!D151,"*赤*"),COUNTIF('盛付札（関数）'!D151,"*キャラ*")),1,
VALUE(VLOOKUP("*"&amp;D151&amp;"*",商品マスタ!D:H,5,FALSE))),"")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215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IF(AND(LEFT(INDIRECT("B"&amp;R151&amp;""),2)="博多",INDIRECT("B"&amp;R151&amp;"")=INDIRECT("B"&amp;R151+1&amp;"")&amp;"'"),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50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 x14ac:dyDescent="0.45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54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IF(C152&lt;&gt;"",IF(OR(COUNTIF('盛付札（関数）'!D152,"*赤*"),COUNTIF('盛付札（関数）'!D152,"*キャラ*")),1,
VALUE(VLOOKUP("*"&amp;D152&amp;"*",商品マスタ!D:H,5,FALSE))),"")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215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IF(AND(LEFT(INDIRECT("B"&amp;R152&amp;""),2)="博多",INDIRECT("B"&amp;R152&amp;"")=INDIRECT("B"&amp;R152+1&amp;"")&amp;"'"),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50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 x14ac:dyDescent="0.45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54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IF(C153&lt;&gt;"",IF(OR(COUNTIF('盛付札（関数）'!D153,"*赤*"),COUNTIF('盛付札（関数）'!D153,"*キャラ*")),1,
VALUE(VLOOKUP("*"&amp;D153&amp;"*",商品マスタ!D:H,5,FALSE))),"")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215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IF(AND(LEFT(INDIRECT("B"&amp;R153&amp;""),2)="博多",INDIRECT("B"&amp;R153&amp;"")=INDIRECT("B"&amp;R153+1&amp;"")&amp;"'"),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50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 x14ac:dyDescent="0.45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54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IF(C154&lt;&gt;"",IF(OR(COUNTIF('盛付札（関数）'!D154,"*赤*"),COUNTIF('盛付札（関数）'!D154,"*キャラ*")),1,
VALUE(VLOOKUP("*"&amp;D154&amp;"*",商品マスタ!D:H,5,FALSE))),"")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215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IF(AND(LEFT(INDIRECT("B"&amp;R154&amp;""),2)="博多",INDIRECT("B"&amp;R154&amp;"")=INDIRECT("B"&amp;R154+1&amp;"")&amp;"'"),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50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 x14ac:dyDescent="0.45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54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IF(C155&lt;&gt;"",IF(OR(COUNTIF('盛付札（関数）'!D155,"*赤*"),COUNTIF('盛付札（関数）'!D155,"*キャラ*")),1,
VALUE(VLOOKUP("*"&amp;D155&amp;"*",商品マスタ!D:H,5,FALSE))),"")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215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IF(AND(LEFT(INDIRECT("B"&amp;R155&amp;""),2)="博多",INDIRECT("B"&amp;R155&amp;"")=INDIRECT("B"&amp;R155+1&amp;"")&amp;"'"),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50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 x14ac:dyDescent="0.45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54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IF(C156&lt;&gt;"",IF(OR(COUNTIF('盛付札（関数）'!D156,"*赤*"),COUNTIF('盛付札（関数）'!D156,"*キャラ*")),1,
VALUE(VLOOKUP("*"&amp;D156&amp;"*",商品マスタ!D:H,5,FALSE))),"")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215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IF(AND(LEFT(INDIRECT("B"&amp;R156&amp;""),2)="博多",INDIRECT("B"&amp;R156&amp;"")=INDIRECT("B"&amp;R156+1&amp;"")&amp;"'"),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50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 x14ac:dyDescent="0.45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54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IF(C157&lt;&gt;"",IF(OR(COUNTIF('盛付札（関数）'!D157,"*赤*"),COUNTIF('盛付札（関数）'!D157,"*キャラ*")),1,
VALUE(VLOOKUP("*"&amp;D157&amp;"*",商品マスタ!D:H,5,FALSE))),"")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215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IF(AND(LEFT(INDIRECT("B"&amp;R157&amp;""),2)="博多",INDIRECT("B"&amp;R157&amp;"")=INDIRECT("B"&amp;R157+1&amp;"")&amp;"'"),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50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 x14ac:dyDescent="0.45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54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IF(C158&lt;&gt;"",IF(OR(COUNTIF('盛付札（関数）'!D158,"*赤*"),COUNTIF('盛付札（関数）'!D158,"*キャラ*")),1,
VALUE(VLOOKUP("*"&amp;D158&amp;"*",商品マスタ!D:H,5,FALSE))),"")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215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IF(AND(LEFT(INDIRECT("B"&amp;R158&amp;""),2)="博多",INDIRECT("B"&amp;R158&amp;"")=INDIRECT("B"&amp;R158+1&amp;"")&amp;"'"),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50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 x14ac:dyDescent="0.45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54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IF(C159&lt;&gt;"",IF(OR(COUNTIF('盛付札（関数）'!D159,"*赤*"),COUNTIF('盛付札（関数）'!D159,"*キャラ*")),1,
VALUE(VLOOKUP("*"&amp;D159&amp;"*",商品マスタ!D:H,5,FALSE))),"")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215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IF(AND(LEFT(INDIRECT("B"&amp;R159&amp;""),2)="博多",INDIRECT("B"&amp;R159&amp;"")=INDIRECT("B"&amp;R159+1&amp;"")&amp;"'"),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50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 x14ac:dyDescent="0.45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54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IF(C160&lt;&gt;"",IF(OR(COUNTIF('盛付札（関数）'!D160,"*赤*"),COUNTIF('盛付札（関数）'!D160,"*キャラ*")),1,
VALUE(VLOOKUP("*"&amp;D160&amp;"*",商品マスタ!D:H,5,FALSE))),"")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215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IF(AND(LEFT(INDIRECT("B"&amp;R160&amp;""),2)="博多",INDIRECT("B"&amp;R160&amp;"")=INDIRECT("B"&amp;R160+1&amp;"")&amp;"'"),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50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 x14ac:dyDescent="0.45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54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IF(C161&lt;&gt;"",IF(OR(COUNTIF('盛付札（関数）'!D161,"*赤*"),COUNTIF('盛付札（関数）'!D161,"*キャラ*")),1,
VALUE(VLOOKUP("*"&amp;D161&amp;"*",商品マスタ!D:H,5,FALSE))),"")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215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IF(AND(LEFT(INDIRECT("B"&amp;R161&amp;""),2)="博多",INDIRECT("B"&amp;R161&amp;"")=INDIRECT("B"&amp;R161+1&amp;"")&amp;"'"),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50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 x14ac:dyDescent="0.45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54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IF(C162&lt;&gt;"",IF(OR(COUNTIF('盛付札（関数）'!D162,"*赤*"),COUNTIF('盛付札（関数）'!D162,"*キャラ*")),1,
VALUE(VLOOKUP("*"&amp;D162&amp;"*",商品マスタ!D:H,5,FALSE))),"")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215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IF(AND(LEFT(INDIRECT("B"&amp;R162&amp;""),2)="博多",INDIRECT("B"&amp;R162&amp;"")=INDIRECT("B"&amp;R162+1&amp;"")&amp;"'"),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50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 x14ac:dyDescent="0.45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54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IF(C163&lt;&gt;"",IF(OR(COUNTIF('盛付札（関数）'!D163,"*赤*"),COUNTIF('盛付札（関数）'!D163,"*キャラ*")),1,
VALUE(VLOOKUP("*"&amp;D163&amp;"*",商品マスタ!D:H,5,FALSE))),"")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215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IF(AND(LEFT(INDIRECT("B"&amp;R163&amp;""),2)="博多",INDIRECT("B"&amp;R163&amp;"")=INDIRECT("B"&amp;R163+1&amp;"")&amp;"'"),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50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 x14ac:dyDescent="0.45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54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IF(C164&lt;&gt;"",IF(OR(COUNTIF('盛付札（関数）'!D164,"*赤*"),COUNTIF('盛付札（関数）'!D164,"*キャラ*")),1,
VALUE(VLOOKUP("*"&amp;D164&amp;"*",商品マスタ!D:H,5,FALSE))),"")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215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IF(AND(LEFT(INDIRECT("B"&amp;R164&amp;""),2)="博多",INDIRECT("B"&amp;R164&amp;"")=INDIRECT("B"&amp;R164+1&amp;"")&amp;"'"),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50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 x14ac:dyDescent="0.45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54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IF(C165&lt;&gt;"",IF(OR(COUNTIF('盛付札（関数）'!D165,"*赤*"),COUNTIF('盛付札（関数）'!D165,"*キャラ*")),1,
VALUE(VLOOKUP("*"&amp;D165&amp;"*",商品マスタ!D:H,5,FALSE))),"")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215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IF(AND(LEFT(INDIRECT("B"&amp;R165&amp;""),2)="博多",INDIRECT("B"&amp;R165&amp;"")=INDIRECT("B"&amp;R165+1&amp;"")&amp;"'"),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50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 x14ac:dyDescent="0.45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54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IF(C166&lt;&gt;"",IF(OR(COUNTIF('盛付札（関数）'!D166,"*赤*"),COUNTIF('盛付札（関数）'!D166,"*キャラ*")),1,
VALUE(VLOOKUP("*"&amp;D166&amp;"*",商品マスタ!D:H,5,FALSE))),"")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215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IF(AND(LEFT(INDIRECT("B"&amp;R166&amp;""),2)="博多",INDIRECT("B"&amp;R166&amp;"")=INDIRECT("B"&amp;R166+1&amp;"")&amp;"'"),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50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 x14ac:dyDescent="0.45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54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IF(C167&lt;&gt;"",IF(OR(COUNTIF('盛付札（関数）'!D167,"*赤*"),COUNTIF('盛付札（関数）'!D167,"*キャラ*")),1,
VALUE(VLOOKUP("*"&amp;D167&amp;"*",商品マスタ!D:H,5,FALSE))),"")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215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IF(AND(LEFT(INDIRECT("B"&amp;R167&amp;""),2)="博多",INDIRECT("B"&amp;R167&amp;"")=INDIRECT("B"&amp;R167+1&amp;"")&amp;"'"),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50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 x14ac:dyDescent="0.45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54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IF(C168&lt;&gt;"",IF(OR(COUNTIF('盛付札（関数）'!D168,"*赤*"),COUNTIF('盛付札（関数）'!D168,"*キャラ*")),1,
VALUE(VLOOKUP("*"&amp;D168&amp;"*",商品マスタ!D:H,5,FALSE))),"")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215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IF(AND(LEFT(INDIRECT("B"&amp;R168&amp;""),2)="博多",INDIRECT("B"&amp;R168&amp;"")=INDIRECT("B"&amp;R168+1&amp;"")&amp;"'"),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50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 x14ac:dyDescent="0.45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54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IF(C169&lt;&gt;"",IF(OR(COUNTIF('盛付札（関数）'!D169,"*赤*"),COUNTIF('盛付札（関数）'!D169,"*キャラ*")),1,
VALUE(VLOOKUP("*"&amp;D169&amp;"*",商品マスタ!D:H,5,FALSE))),"")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215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IF(AND(LEFT(INDIRECT("B"&amp;R169&amp;""),2)="博多",INDIRECT("B"&amp;R169&amp;"")=INDIRECT("B"&amp;R169+1&amp;"")&amp;"'"),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50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 x14ac:dyDescent="0.45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54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IF(C170&lt;&gt;"",IF(OR(COUNTIF('盛付札（関数）'!D170,"*赤*"),COUNTIF('盛付札（関数）'!D170,"*キャラ*")),1,
VALUE(VLOOKUP("*"&amp;D170&amp;"*",商品マスタ!D:H,5,FALSE))),"")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215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IF(AND(LEFT(INDIRECT("B"&amp;R170&amp;""),2)="博多",INDIRECT("B"&amp;R170&amp;"")=INDIRECT("B"&amp;R170+1&amp;"")&amp;"'"),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50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 x14ac:dyDescent="0.45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54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IF(C171&lt;&gt;"",IF(OR(COUNTIF('盛付札（関数）'!D171,"*赤*"),COUNTIF('盛付札（関数）'!D171,"*キャラ*")),1,
VALUE(VLOOKUP("*"&amp;D171&amp;"*",商品マスタ!D:H,5,FALSE))),"")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215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IF(AND(LEFT(INDIRECT("B"&amp;R171&amp;""),2)="博多",INDIRECT("B"&amp;R171&amp;"")=INDIRECT("B"&amp;R171+1&amp;"")&amp;"'"),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50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 x14ac:dyDescent="0.45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54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IF(C172&lt;&gt;"",IF(OR(COUNTIF('盛付札（関数）'!D172,"*赤*"),COUNTIF('盛付札（関数）'!D172,"*キャラ*")),1,
VALUE(VLOOKUP("*"&amp;D172&amp;"*",商品マスタ!D:H,5,FALSE))),"")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215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IF(AND(LEFT(INDIRECT("B"&amp;R172&amp;""),2)="博多",INDIRECT("B"&amp;R172&amp;"")=INDIRECT("B"&amp;R172+1&amp;"")&amp;"'"),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50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 x14ac:dyDescent="0.45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54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IF(C173&lt;&gt;"",IF(OR(COUNTIF('盛付札（関数）'!D173,"*赤*"),COUNTIF('盛付札（関数）'!D173,"*キャラ*")),1,
VALUE(VLOOKUP("*"&amp;D173&amp;"*",商品マスタ!D:H,5,FALSE))),"")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215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IF(AND(LEFT(INDIRECT("B"&amp;R173&amp;""),2)="博多",INDIRECT("B"&amp;R173&amp;"")=INDIRECT("B"&amp;R173+1&amp;"")&amp;"'"),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50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 x14ac:dyDescent="0.45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54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IF(C174&lt;&gt;"",IF(OR(COUNTIF('盛付札（関数）'!D174,"*赤*"),COUNTIF('盛付札（関数）'!D174,"*キャラ*")),1,
VALUE(VLOOKUP("*"&amp;D174&amp;"*",商品マスタ!D:H,5,FALSE))),"")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215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IF(AND(LEFT(INDIRECT("B"&amp;R174&amp;""),2)="博多",INDIRECT("B"&amp;R174&amp;"")=INDIRECT("B"&amp;R174+1&amp;"")&amp;"'"),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50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 x14ac:dyDescent="0.45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54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IF(C175&lt;&gt;"",IF(OR(COUNTIF('盛付札（関数）'!D175,"*赤*"),COUNTIF('盛付札（関数）'!D175,"*キャラ*")),1,
VALUE(VLOOKUP("*"&amp;D175&amp;"*",商品マスタ!D:H,5,FALSE))),"")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215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IF(AND(LEFT(INDIRECT("B"&amp;R175&amp;""),2)="博多",INDIRECT("B"&amp;R175&amp;"")=INDIRECT("B"&amp;R175+1&amp;"")&amp;"'"),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50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 x14ac:dyDescent="0.45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54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IF(C176&lt;&gt;"",IF(OR(COUNTIF('盛付札（関数）'!D176,"*赤*"),COUNTIF('盛付札（関数）'!D176,"*キャラ*")),1,
VALUE(VLOOKUP("*"&amp;D176&amp;"*",商品マスタ!D:H,5,FALSE))),"")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215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IF(AND(LEFT(INDIRECT("B"&amp;R176&amp;""),2)="博多",INDIRECT("B"&amp;R176&amp;"")=INDIRECT("B"&amp;R176+1&amp;"")&amp;"'"),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50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 x14ac:dyDescent="0.45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54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IF(C177&lt;&gt;"",IF(OR(COUNTIF('盛付札（関数）'!D177,"*赤*"),COUNTIF('盛付札（関数）'!D177,"*キャラ*")),1,
VALUE(VLOOKUP("*"&amp;D177&amp;"*",商品マスタ!D:H,5,FALSE))),"")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215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IF(AND(LEFT(INDIRECT("B"&amp;R177&amp;""),2)="博多",INDIRECT("B"&amp;R177&amp;"")=INDIRECT("B"&amp;R177+1&amp;"")&amp;"'"),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50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 x14ac:dyDescent="0.45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54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IF(C178&lt;&gt;"",IF(OR(COUNTIF('盛付札（関数）'!D178,"*赤*"),COUNTIF('盛付札（関数）'!D178,"*キャラ*")),1,
VALUE(VLOOKUP("*"&amp;D178&amp;"*",商品マスタ!D:H,5,FALSE))),"")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215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IF(AND(LEFT(INDIRECT("B"&amp;R178&amp;""),2)="博多",INDIRECT("B"&amp;R178&amp;"")=INDIRECT("B"&amp;R178+1&amp;"")&amp;"'"),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50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 x14ac:dyDescent="0.45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54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IF(C179&lt;&gt;"",IF(OR(COUNTIF('盛付札（関数）'!D179,"*赤*"),COUNTIF('盛付札（関数）'!D179,"*キャラ*")),1,
VALUE(VLOOKUP("*"&amp;D179&amp;"*",商品マスタ!D:H,5,FALSE))),"")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215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IF(AND(LEFT(INDIRECT("B"&amp;R179&amp;""),2)="博多",INDIRECT("B"&amp;R179&amp;"")=INDIRECT("B"&amp;R179+1&amp;"")&amp;"'"),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50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 x14ac:dyDescent="0.45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54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IF(C180&lt;&gt;"",IF(OR(COUNTIF('盛付札（関数）'!D180,"*赤*"),COUNTIF('盛付札（関数）'!D180,"*キャラ*")),1,
VALUE(VLOOKUP("*"&amp;D180&amp;"*",商品マスタ!D:H,5,FALSE))),"")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215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IF(AND(LEFT(INDIRECT("B"&amp;R180&amp;""),2)="博多",INDIRECT("B"&amp;R180&amp;"")=INDIRECT("B"&amp;R180+1&amp;"")&amp;"'"),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50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 x14ac:dyDescent="0.45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54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IF(C181&lt;&gt;"",IF(OR(COUNTIF('盛付札（関数）'!D181,"*赤*"),COUNTIF('盛付札（関数）'!D181,"*キャラ*")),1,
VALUE(VLOOKUP("*"&amp;D181&amp;"*",商品マスタ!D:H,5,FALSE))),"")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215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IF(AND(LEFT(INDIRECT("B"&amp;R181&amp;""),2)="博多",INDIRECT("B"&amp;R181&amp;"")=INDIRECT("B"&amp;R181+1&amp;"")&amp;"'"),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50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 x14ac:dyDescent="0.45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54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IF(C182&lt;&gt;"",IF(OR(COUNTIF('盛付札（関数）'!D182,"*赤*"),COUNTIF('盛付札（関数）'!D182,"*キャラ*")),1,
VALUE(VLOOKUP("*"&amp;D182&amp;"*",商品マスタ!D:H,5,FALSE))),"")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215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IF(AND(LEFT(INDIRECT("B"&amp;R182&amp;""),2)="博多",INDIRECT("B"&amp;R182&amp;"")=INDIRECT("B"&amp;R182+1&amp;"")&amp;"'"),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50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 x14ac:dyDescent="0.45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54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IF(C183&lt;&gt;"",IF(OR(COUNTIF('盛付札（関数）'!D183,"*赤*"),COUNTIF('盛付札（関数）'!D183,"*キャラ*")),1,
VALUE(VLOOKUP("*"&amp;D183&amp;"*",商品マスタ!D:H,5,FALSE))),"")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215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IF(AND(LEFT(INDIRECT("B"&amp;R183&amp;""),2)="博多",INDIRECT("B"&amp;R183&amp;"")=INDIRECT("B"&amp;R183+1&amp;"")&amp;"'"),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50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 x14ac:dyDescent="0.45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54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IF(C184&lt;&gt;"",IF(OR(COUNTIF('盛付札（関数）'!D184,"*赤*"),COUNTIF('盛付札（関数）'!D184,"*キャラ*")),1,
VALUE(VLOOKUP("*"&amp;D184&amp;"*",商品マスタ!D:H,5,FALSE))),"")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215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IF(AND(LEFT(INDIRECT("B"&amp;R184&amp;""),2)="博多",INDIRECT("B"&amp;R184&amp;"")=INDIRECT("B"&amp;R184+1&amp;"")&amp;"'"),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50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 x14ac:dyDescent="0.45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54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IF(C185&lt;&gt;"",IF(OR(COUNTIF('盛付札（関数）'!D185,"*赤*"),COUNTIF('盛付札（関数）'!D185,"*キャラ*")),1,
VALUE(VLOOKUP("*"&amp;D185&amp;"*",商品マスタ!D:H,5,FALSE))),"")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215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IF(AND(LEFT(INDIRECT("B"&amp;R185&amp;""),2)="博多",INDIRECT("B"&amp;R185&amp;"")=INDIRECT("B"&amp;R185+1&amp;"")&amp;"'"),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50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 x14ac:dyDescent="0.45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54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IF(C186&lt;&gt;"",IF(OR(COUNTIF('盛付札（関数）'!D186,"*赤*"),COUNTIF('盛付札（関数）'!D186,"*キャラ*")),1,
VALUE(VLOOKUP("*"&amp;D186&amp;"*",商品マスタ!D:H,5,FALSE))),"")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215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IF(AND(LEFT(INDIRECT("B"&amp;R186&amp;""),2)="博多",INDIRECT("B"&amp;R186&amp;"")=INDIRECT("B"&amp;R186+1&amp;"")&amp;"'"),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50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 x14ac:dyDescent="0.45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54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IF(C187&lt;&gt;"",IF(OR(COUNTIF('盛付札（関数）'!D187,"*赤*"),COUNTIF('盛付札（関数）'!D187,"*キャラ*")),1,
VALUE(VLOOKUP("*"&amp;D187&amp;"*",商品マスタ!D:H,5,FALSE))),"")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215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IF(AND(LEFT(INDIRECT("B"&amp;R187&amp;""),2)="博多",INDIRECT("B"&amp;R187&amp;"")=INDIRECT("B"&amp;R187+1&amp;"")&amp;"'"),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50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 x14ac:dyDescent="0.45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54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IF(C188&lt;&gt;"",IF(OR(COUNTIF('盛付札（関数）'!D188,"*赤*"),COUNTIF('盛付札（関数）'!D188,"*キャラ*")),1,
VALUE(VLOOKUP("*"&amp;D188&amp;"*",商品マスタ!D:H,5,FALSE))),"")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215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IF(AND(LEFT(INDIRECT("B"&amp;R188&amp;""),2)="博多",INDIRECT("B"&amp;R188&amp;"")=INDIRECT("B"&amp;R188+1&amp;"")&amp;"'"),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50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 x14ac:dyDescent="0.45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54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IF(C189&lt;&gt;"",IF(OR(COUNTIF('盛付札（関数）'!D189,"*赤*"),COUNTIF('盛付札（関数）'!D189,"*キャラ*")),1,
VALUE(VLOOKUP("*"&amp;D189&amp;"*",商品マスタ!D:H,5,FALSE))),"")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215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IF(AND(LEFT(INDIRECT("B"&amp;R189&amp;""),2)="博多",INDIRECT("B"&amp;R189&amp;"")=INDIRECT("B"&amp;R189+1&amp;"")&amp;"'"),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50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 x14ac:dyDescent="0.45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54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IF(C190&lt;&gt;"",IF(OR(COUNTIF('盛付札（関数）'!D190,"*赤*"),COUNTIF('盛付札（関数）'!D190,"*キャラ*")),1,
VALUE(VLOOKUP("*"&amp;D190&amp;"*",商品マスタ!D:H,5,FALSE))),"")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215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IF(AND(LEFT(INDIRECT("B"&amp;R190&amp;""),2)="博多",INDIRECT("B"&amp;R190&amp;"")=INDIRECT("B"&amp;R190+1&amp;"")&amp;"'"),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50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 x14ac:dyDescent="0.45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54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IF(C191&lt;&gt;"",IF(OR(COUNTIF('盛付札（関数）'!D191,"*赤*"),COUNTIF('盛付札（関数）'!D191,"*キャラ*")),1,
VALUE(VLOOKUP("*"&amp;D191&amp;"*",商品マスタ!D:H,5,FALSE))),"")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215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IF(AND(LEFT(INDIRECT("B"&amp;R191&amp;""),2)="博多",INDIRECT("B"&amp;R191&amp;"")=INDIRECT("B"&amp;R191+1&amp;"")&amp;"'"),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50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 x14ac:dyDescent="0.45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54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IF(C192&lt;&gt;"",IF(OR(COUNTIF('盛付札（関数）'!D192,"*赤*"),COUNTIF('盛付札（関数）'!D192,"*キャラ*")),1,
VALUE(VLOOKUP("*"&amp;D192&amp;"*",商品マスタ!D:H,5,FALSE))),"")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215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IF(AND(LEFT(INDIRECT("B"&amp;R192&amp;""),2)="博多",INDIRECT("B"&amp;R192&amp;"")=INDIRECT("B"&amp;R192+1&amp;"")&amp;"'"),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50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 x14ac:dyDescent="0.45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54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IF(C193&lt;&gt;"",IF(OR(COUNTIF('盛付札（関数）'!D193,"*赤*"),COUNTIF('盛付札（関数）'!D193,"*キャラ*")),1,
VALUE(VLOOKUP("*"&amp;D193&amp;"*",商品マスタ!D:H,5,FALSE))),"")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215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IF(AND(LEFT(INDIRECT("B"&amp;R193&amp;""),2)="博多",INDIRECT("B"&amp;R193&amp;"")=INDIRECT("B"&amp;R193+1&amp;"")&amp;"'"),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6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50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 x14ac:dyDescent="0.45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54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IF(C194&lt;&gt;"",IF(OR(COUNTIF('盛付札（関数）'!D194,"*赤*"),COUNTIF('盛付札（関数）'!D194,"*キャラ*")),1,
VALUE(VLOOKUP("*"&amp;D194&amp;"*",商品マスタ!D:H,5,FALSE))),"")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215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IF(AND(LEFT(INDIRECT("B"&amp;R194&amp;""),2)="博多",INDIRECT("B"&amp;R194&amp;"")=INDIRECT("B"&amp;R194+1&amp;"")&amp;"'"),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50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 x14ac:dyDescent="0.45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54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IF(C195&lt;&gt;"",IF(OR(COUNTIF('盛付札（関数）'!D195,"*赤*"),COUNTIF('盛付札（関数）'!D195,"*キャラ*")),1,
VALUE(VLOOKUP("*"&amp;D195&amp;"*",商品マスタ!D:H,5,FALSE))),"")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215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IF(AND(LEFT(INDIRECT("B"&amp;R195&amp;""),2)="博多",INDIRECT("B"&amp;R195&amp;"")=INDIRECT("B"&amp;R195+1&amp;"")&amp;"'"),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50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 x14ac:dyDescent="0.45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54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IF(C196&lt;&gt;"",IF(OR(COUNTIF('盛付札（関数）'!D196,"*赤*"),COUNTIF('盛付札（関数）'!D196,"*キャラ*")),1,
VALUE(VLOOKUP("*"&amp;D196&amp;"*",商品マスタ!D:H,5,FALSE))),"")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215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IF(AND(LEFT(INDIRECT("B"&amp;R196&amp;""),2)="博多",INDIRECT("B"&amp;R196&amp;"")=INDIRECT("B"&amp;R196+1&amp;"")&amp;"'"),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50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 x14ac:dyDescent="0.45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54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IF(C197&lt;&gt;"",IF(OR(COUNTIF('盛付札（関数）'!D197,"*赤*"),COUNTIF('盛付札（関数）'!D197,"*キャラ*")),1,
VALUE(VLOOKUP("*"&amp;D197&amp;"*",商品マスタ!D:H,5,FALSE))),"")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215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IF(AND(LEFT(INDIRECT("B"&amp;R197&amp;""),2)="博多",INDIRECT("B"&amp;R197&amp;"")=INDIRECT("B"&amp;R197+1&amp;"")&amp;"'"),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50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 x14ac:dyDescent="0.45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54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IF(C198&lt;&gt;"",IF(OR(COUNTIF('盛付札（関数）'!D198,"*赤*"),COUNTIF('盛付札（関数）'!D198,"*キャラ*")),1,
VALUE(VLOOKUP("*"&amp;D198&amp;"*",商品マスタ!D:H,5,FALSE))),"")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215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IF(AND(LEFT(INDIRECT("B"&amp;R198&amp;""),2)="博多",INDIRECT("B"&amp;R198&amp;"")=INDIRECT("B"&amp;R198+1&amp;"")&amp;"'"),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50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 x14ac:dyDescent="0.45">
      <c r="A199" s="93">
        <f t="shared" si="88"/>
        <v>123</v>
      </c>
      <c r="B199" s="92" t="str">
        <f t="shared" ref="B199:B23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54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IF(C199&lt;&gt;"",IF(OR(COUNTIF('盛付札（関数）'!D199,"*赤*"),COUNTIF('盛付札（関数）'!D199,"*キャラ*")),1,
VALUE(VLOOKUP("*"&amp;D199&amp;"*",商品マスタ!D:H,5,FALSE))),"")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215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IF(AND(LEFT(INDIRECT("B"&amp;R199&amp;""),2)="博多",INDIRECT("B"&amp;R199&amp;"")=INDIRECT("B"&amp;R199+1&amp;"")&amp;"'"),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50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 x14ac:dyDescent="0.45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54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IF(C200&lt;&gt;"",IF(OR(COUNTIF('盛付札（関数）'!D200,"*赤*"),COUNTIF('盛付札（関数）'!D200,"*キャラ*")),1,
VALUE(VLOOKUP("*"&amp;D200&amp;"*",商品マスタ!D:H,5,FALSE))),"")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215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IF(AND(LEFT(INDIRECT("B"&amp;R200&amp;""),2)="博多",INDIRECT("B"&amp;R200&amp;"")=INDIRECT("B"&amp;R200+1&amp;"")&amp;"'"),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50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 x14ac:dyDescent="0.45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54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IF(C201&lt;&gt;"",IF(OR(COUNTIF('盛付札（関数）'!D201,"*赤*"),COUNTIF('盛付札（関数）'!D201,"*キャラ*")),1,
VALUE(VLOOKUP("*"&amp;D201&amp;"*",商品マスタ!D:H,5,FALSE))),"")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215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IF(AND(LEFT(INDIRECT("B"&amp;R201&amp;""),2)="博多",INDIRECT("B"&amp;R201&amp;"")=INDIRECT("B"&amp;R201+1&amp;"")&amp;"'"),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50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 x14ac:dyDescent="0.45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54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IF(C202&lt;&gt;"",IF(OR(COUNTIF('盛付札（関数）'!D202,"*赤*"),COUNTIF('盛付札（関数）'!D202,"*キャラ*")),1,
VALUE(VLOOKUP("*"&amp;D202&amp;"*",商品マスタ!D:H,5,FALSE))),"")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215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IF(AND(LEFT(INDIRECT("B"&amp;R202&amp;""),2)="博多",INDIRECT("B"&amp;R202&amp;"")=INDIRECT("B"&amp;R202+1&amp;"")&amp;"'"),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50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 x14ac:dyDescent="0.45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54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IF(C203&lt;&gt;"",IF(OR(COUNTIF('盛付札（関数）'!D203,"*赤*"),COUNTIF('盛付札（関数）'!D203,"*キャラ*")),1,
VALUE(VLOOKUP("*"&amp;D203&amp;"*",商品マスタ!D:H,5,FALSE))),"")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215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IF(AND(LEFT(INDIRECT("B"&amp;R203&amp;""),2)="博多",INDIRECT("B"&amp;R203&amp;"")=INDIRECT("B"&amp;R203+1&amp;"")&amp;"'"),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50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 x14ac:dyDescent="0.45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54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IF(C204&lt;&gt;"",IF(OR(COUNTIF('盛付札（関数）'!D204,"*赤*"),COUNTIF('盛付札（関数）'!D204,"*キャラ*")),1,
VALUE(VLOOKUP("*"&amp;D204&amp;"*",商品マスタ!D:H,5,FALSE))),"")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215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IF(AND(LEFT(INDIRECT("B"&amp;R204&amp;""),2)="博多",INDIRECT("B"&amp;R204&amp;"")=INDIRECT("B"&amp;R204+1&amp;"")&amp;"'"),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50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 x14ac:dyDescent="0.45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54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IF(C205&lt;&gt;"",IF(OR(COUNTIF('盛付札（関数）'!D205,"*赤*"),COUNTIF('盛付札（関数）'!D205,"*キャラ*")),1,
VALUE(VLOOKUP("*"&amp;D205&amp;"*",商品マスタ!D:H,5,FALSE))),"")</f>
        <v/>
      </c>
      <c r="O205" s="92">
        <f t="shared" ref="O205:O236" ca="1" si="108">O65</f>
        <v>0</v>
      </c>
      <c r="P205" s="92">
        <f t="shared" ref="P205:P236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215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IF(AND(LEFT(INDIRECT("B"&amp;R205&amp;""),2)="博多",INDIRECT("B"&amp;R205&amp;"")=INDIRECT("B"&amp;R205+1&amp;"")&amp;"'"),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50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 x14ac:dyDescent="0.45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54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IF(C206&lt;&gt;"",IF(OR(COUNTIF('盛付札（関数）'!D206,"*赤*"),COUNTIF('盛付札（関数）'!D206,"*キャラ*")),1,
VALUE(VLOOKUP("*"&amp;D206&amp;"*",商品マスタ!D:H,5,FALSE))),"")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215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IF(AND(LEFT(INDIRECT("B"&amp;R206&amp;""),2)="博多",INDIRECT("B"&amp;R206&amp;"")=INDIRECT("B"&amp;R206+1&amp;"")&amp;"'"),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50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 x14ac:dyDescent="0.45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54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IF(C207&lt;&gt;"",IF(OR(COUNTIF('盛付札（関数）'!D207,"*赤*"),COUNTIF('盛付札（関数）'!D207,"*キャラ*")),1,
VALUE(VLOOKUP("*"&amp;D207&amp;"*",商品マスタ!D:H,5,FALSE))),"")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215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IF(AND(LEFT(INDIRECT("B"&amp;R207&amp;""),2)="博多",INDIRECT("B"&amp;R207&amp;"")=INDIRECT("B"&amp;R207+1&amp;"")&amp;"'"),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50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 x14ac:dyDescent="0.45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54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IF(C208&lt;&gt;"",IF(OR(COUNTIF('盛付札（関数）'!D208,"*赤*"),COUNTIF('盛付札（関数）'!D208,"*キャラ*")),1,
VALUE(VLOOKUP("*"&amp;D208&amp;"*",商品マスタ!D:H,5,FALSE))),"")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215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IF(AND(LEFT(INDIRECT("B"&amp;R208&amp;""),2)="博多",INDIRECT("B"&amp;R208&amp;"")=INDIRECT("B"&amp;R208+1&amp;"")&amp;"'"),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50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 x14ac:dyDescent="0.45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54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IF(C209&lt;&gt;"",IF(OR(COUNTIF('盛付札（関数）'!D209,"*赤*"),COUNTIF('盛付札（関数）'!D209,"*キャラ*")),1,
VALUE(VLOOKUP("*"&amp;D209&amp;"*",商品マスタ!D:H,5,FALSE))),"")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215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IF(AND(LEFT(INDIRECT("B"&amp;R209&amp;""),2)="博多",INDIRECT("B"&amp;R209&amp;"")=INDIRECT("B"&amp;R209+1&amp;"")&amp;"'"),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50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 x14ac:dyDescent="0.45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54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IF(C210&lt;&gt;"",IF(OR(COUNTIF('盛付札（関数）'!D210,"*赤*"),COUNTIF('盛付札（関数）'!D210,"*キャラ*")),1,
VALUE(VLOOKUP("*"&amp;D210&amp;"*",商品マスタ!D:H,5,FALSE))),"")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215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IF(AND(LEFT(INDIRECT("B"&amp;R210&amp;""),2)="博多",INDIRECT("B"&amp;R210&amp;"")=INDIRECT("B"&amp;R210+1&amp;"")&amp;"'"),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50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 x14ac:dyDescent="0.55000000000000004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/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215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IF(AND(LEFT(INDIRECT("B"&amp;R211&amp;""),2)="博多",INDIRECT("B"&amp;R211&amp;"")=INDIRECT("B"&amp;R211+1&amp;"")&amp;"'"),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50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 x14ac:dyDescent="0.55000000000000004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/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215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IF(AND(LEFT(INDIRECT("B"&amp;R212&amp;""),2)="博多",INDIRECT("B"&amp;R212&amp;"")=INDIRECT("B"&amp;R212+1&amp;"")&amp;"'"),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50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 x14ac:dyDescent="0.55000000000000004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/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215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IF(AND(LEFT(INDIRECT("B"&amp;R213&amp;""),2)="博多",INDIRECT("B"&amp;R213&amp;"")=INDIRECT("B"&amp;R213+1&amp;"")&amp;"'"),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50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 x14ac:dyDescent="0.55000000000000004">
      <c r="A214" s="86">
        <v>146</v>
      </c>
      <c r="B214" s="100"/>
      <c r="C214" s="101" t="str">
        <f>社食等の札!A6</f>
        <v>先生用</v>
      </c>
      <c r="D214" s="101"/>
      <c r="E214" s="101"/>
      <c r="F214" s="155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/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215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IF(AND(LEFT(INDIRECT("B"&amp;R214&amp;""),2)="博多",INDIRECT("B"&amp;R214&amp;"")=INDIRECT("B"&amp;R214+1&amp;"")&amp;"'"),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50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 x14ac:dyDescent="0.55000000000000004">
      <c r="A215" s="86" t="e">
        <f ca="1">A211</f>
        <v>#N/A</v>
      </c>
      <c r="B215" s="106"/>
      <c r="C215" s="107" t="str">
        <f>社食等の札!A1</f>
        <v>社食</v>
      </c>
      <c r="D215" s="107" t="s">
        <v>162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/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215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IF(AND(LEFT(INDIRECT("B"&amp;R215&amp;""),2)="博多",INDIRECT("B"&amp;R215&amp;"")=INDIRECT("B"&amp;R215+1&amp;"")&amp;"'"),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50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 x14ac:dyDescent="0.55000000000000004">
      <c r="A216" s="86" t="e">
        <f ca="1">A211</f>
        <v>#N/A</v>
      </c>
      <c r="B216" s="106"/>
      <c r="C216" s="107" t="str">
        <f>社食等の札!A2</f>
        <v>社食</v>
      </c>
      <c r="D216" s="107" t="s">
        <v>161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/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215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IF(AND(LEFT(INDIRECT("B"&amp;R216&amp;""),2)="博多",INDIRECT("B"&amp;R216&amp;"")=INDIRECT("B"&amp;R216+1&amp;"")&amp;"'"),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50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 x14ac:dyDescent="0.55000000000000004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215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IF(AND(LEFT(INDIRECT("B"&amp;R217&amp;""),2)="博多",INDIRECT("B"&amp;R217&amp;"")=INDIRECT("B"&amp;R217+1&amp;"")&amp;"'"),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50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 x14ac:dyDescent="0.55000000000000004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215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IF(AND(LEFT(INDIRECT("B"&amp;R218&amp;""),2)="博多",INDIRECT("B"&amp;R218&amp;"")=INDIRECT("B"&amp;R218+1&amp;"")&amp;"'"),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50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 x14ac:dyDescent="0.55000000000000004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 t="str">
        <f ca="1">IF(C219&lt;&gt;"","キャラ弁当　飯あり","")</f>
        <v>キャラ弁当　飯あり</v>
      </c>
      <c r="E219" s="103"/>
      <c r="F219" s="156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VLOOKUP(C219,#REF!,6,FALSE)),"")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215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IF(AND(LEFT(INDIRECT("B"&amp;R219&amp;""),2)="博多",INDIRECT("B"&amp;R219&amp;"")=INDIRECT("B"&amp;R219+1&amp;"")&amp;"'"),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50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 x14ac:dyDescent="0.55000000000000004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 t="str">
        <f t="shared" ref="D220:D222" ca="1" si="112">IF(C220&lt;&gt;"","キャラ弁当　飯あり","")</f>
        <v/>
      </c>
      <c r="E220" s="103"/>
      <c r="F220" s="156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VLOOKUP(C220,#REF!,6,FALSE)),"")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215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IF(AND(LEFT(INDIRECT("B"&amp;R220&amp;""),2)="博多",INDIRECT("B"&amp;R220&amp;"")=INDIRECT("B"&amp;R220+1&amp;"")&amp;"'"),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50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 x14ac:dyDescent="0.55000000000000004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 t="str">
        <f t="shared" ca="1" si="112"/>
        <v/>
      </c>
      <c r="E221" s="103"/>
      <c r="F221" s="156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VLOOKUP(C221,#REF!,6,FALSE)),"")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215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IF(AND(LEFT(INDIRECT("B"&amp;R221&amp;""),2)="博多",INDIRECT("B"&amp;R221&amp;"")=INDIRECT("B"&amp;R221+1&amp;"")&amp;"'"),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50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 x14ac:dyDescent="0.55000000000000004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 t="str">
        <f t="shared" ca="1" si="112"/>
        <v/>
      </c>
      <c r="E222" s="103"/>
      <c r="F222" s="156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VLOOKUP(C222,#REF!,6,FALSE)),"")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215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IF(AND(LEFT(INDIRECT("B"&amp;R222&amp;""),2)="博多",INDIRECT("B"&amp;R222&amp;"")=INDIRECT("B"&amp;R222+1&amp;"")&amp;"'"),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50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 x14ac:dyDescent="0.55000000000000004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 t="str">
        <f ca="1">IF(C223&lt;&gt;"","キャラ弁当　おにぎり","")</f>
        <v>キャラ弁当　おにぎり</v>
      </c>
      <c r="E223" s="103"/>
      <c r="F223" s="156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VLOOKUP(C223,#REF!,6,FALSE)),"")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215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IF(AND(LEFT(INDIRECT("B"&amp;R223&amp;""),2)="博多",INDIRECT("B"&amp;R223&amp;"")=INDIRECT("B"&amp;R223+1&amp;"")&amp;"'"),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50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 x14ac:dyDescent="0.55000000000000004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 t="str">
        <f t="shared" ref="D224:D227" ca="1" si="113">IF(C224&lt;&gt;"","キャラ弁当　おにぎり","")</f>
        <v/>
      </c>
      <c r="E224" s="103"/>
      <c r="F224" s="156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VLOOKUP(C224,#REF!,6,FALSE)),"")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215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IF(AND(LEFT(INDIRECT("B"&amp;R224&amp;""),2)="博多",INDIRECT("B"&amp;R224&amp;"")=INDIRECT("B"&amp;R224+1&amp;"")&amp;"'"),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50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 x14ac:dyDescent="0.55000000000000004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 t="str">
        <f t="shared" ca="1" si="113"/>
        <v/>
      </c>
      <c r="E225" s="103"/>
      <c r="F225" s="156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VLOOKUP(C225,#REF!,6,FALSE)),"")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215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IF(AND(LEFT(INDIRECT("B"&amp;R225&amp;""),2)="博多",INDIRECT("B"&amp;R225&amp;"")=INDIRECT("B"&amp;R225+1&amp;"")&amp;"'"),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50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 x14ac:dyDescent="0.55000000000000004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 t="str">
        <f t="shared" ca="1" si="113"/>
        <v/>
      </c>
      <c r="E226" s="103"/>
      <c r="F226" s="156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VLOOKUP(C226,#REF!,6,FALSE)),"")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215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IF(AND(LEFT(INDIRECT("B"&amp;R226&amp;""),2)="博多",INDIRECT("B"&amp;R226&amp;"")=INDIRECT("B"&amp;R226+1&amp;"")&amp;"'"),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50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 x14ac:dyDescent="0.55000000000000004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 t="str">
        <f ca="1">IF(C227&lt;&gt;"","キャラ弁当　飯なし","")</f>
        <v>キャラ弁当　飯なし</v>
      </c>
      <c r="E227" s="103"/>
      <c r="F227" s="156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VLOOKUP(C227,#REF!,6,FALSE)),"")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215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IF(AND(LEFT(INDIRECT("B"&amp;R227&amp;""),2)="博多",INDIRECT("B"&amp;R227&amp;"")=INDIRECT("B"&amp;R227+1&amp;"")&amp;"'"),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50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 x14ac:dyDescent="0.55000000000000004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 t="str">
        <f t="shared" ref="D228:D231" ca="1" si="114">IF(C228&lt;&gt;"","キャラ弁当　飯なし","")</f>
        <v/>
      </c>
      <c r="E228" s="103"/>
      <c r="F228" s="156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VLOOKUP(C228,#REF!,6,FALSE)),"")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215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IF(AND(LEFT(INDIRECT("B"&amp;R228&amp;""),2)="博多",INDIRECT("B"&amp;R228&amp;"")=INDIRECT("B"&amp;R228+1&amp;"")&amp;"'"),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50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 x14ac:dyDescent="0.55000000000000004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 t="str">
        <f t="shared" ca="1" si="114"/>
        <v/>
      </c>
      <c r="E229" s="103"/>
      <c r="F229" s="156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VLOOKUP(C229,#REF!,6,FALSE)),"")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215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IF(AND(LEFT(INDIRECT("B"&amp;R229&amp;""),2)="博多",INDIRECT("B"&amp;R229&amp;"")=INDIRECT("B"&amp;R229+1&amp;"")&amp;"'"),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50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 x14ac:dyDescent="0.55000000000000004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 t="str">
        <f t="shared" ca="1" si="114"/>
        <v/>
      </c>
      <c r="E230" s="103"/>
      <c r="F230" s="156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VLOOKUP(C230,#REF!,6,FALSE)),"")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215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IF(AND(LEFT(INDIRECT("B"&amp;R230&amp;""),2)="博多",INDIRECT("B"&amp;R230&amp;"")=INDIRECT("B"&amp;R230+1&amp;"")&amp;"'"),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50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 x14ac:dyDescent="0.55000000000000004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 t="str">
        <f ca="1">IF(C231&lt;&gt;"","赤　飯あり","")</f>
        <v>赤　飯あり</v>
      </c>
      <c r="E231" s="103"/>
      <c r="F231" s="156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VLOOKUP(C231,#REF!,6,FALSE)),"")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215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IF(AND(LEFT(INDIRECT("B"&amp;R231&amp;""),2)="博多",INDIRECT("B"&amp;R231&amp;"")=INDIRECT("B"&amp;R231+1&amp;"")&amp;"'"),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50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 x14ac:dyDescent="0.55000000000000004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 t="str">
        <f t="shared" ref="D232:D235" ca="1" si="115">IF(C232&lt;&gt;"","赤　飯あり","")</f>
        <v/>
      </c>
      <c r="E232" s="103"/>
      <c r="F232" s="156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VLOOKUP(C232,#REF!,6,FALSE)),"")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215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IF(AND(LEFT(INDIRECT("B"&amp;R232&amp;""),2)="博多",INDIRECT("B"&amp;R232&amp;"")=INDIRECT("B"&amp;R232+1&amp;"")&amp;"'"),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50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 x14ac:dyDescent="0.55000000000000004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 t="str">
        <f t="shared" ca="1" si="115"/>
        <v/>
      </c>
      <c r="E233" s="103"/>
      <c r="F233" s="156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VLOOKUP(C233,#REF!,6,FALSE)),"")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215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IF(AND(LEFT(INDIRECT("B"&amp;R233&amp;""),2)="博多",INDIRECT("B"&amp;R233&amp;"")=INDIRECT("B"&amp;R233+1&amp;"")&amp;"'"),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50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 x14ac:dyDescent="0.55000000000000004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 t="str">
        <f t="shared" ca="1" si="115"/>
        <v/>
      </c>
      <c r="E234" s="103"/>
      <c r="F234" s="156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VLOOKUP(C234,#REF!,6,FALSE)),"")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215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IF(AND(LEFT(INDIRECT("B"&amp;R234&amp;""),2)="博多",INDIRECT("B"&amp;R234&amp;"")=INDIRECT("B"&amp;R234+1&amp;"")&amp;"'"),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50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 x14ac:dyDescent="0.55000000000000004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 t="str">
        <f ca="1">IF(C235&lt;&gt;"","赤　おにぎり　三角","")</f>
        <v>赤　おにぎり　三角</v>
      </c>
      <c r="E235" s="103"/>
      <c r="F235" s="156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VLOOKUP(C235,#REF!,6,FALSE)),"")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215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IF(AND(LEFT(INDIRECT("B"&amp;R235&amp;""),2)="博多",INDIRECT("B"&amp;R235&amp;"")=INDIRECT("B"&amp;R235+1&amp;"")&amp;"'"),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50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 x14ac:dyDescent="0.55000000000000004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 t="str">
        <f t="shared" ref="D236:D239" ca="1" si="116">IF(C236&lt;&gt;"","赤　おにぎり　三角","")</f>
        <v/>
      </c>
      <c r="E236" s="103"/>
      <c r="F236" s="156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VLOOKUP(C236,#REF!,6,FALSE)),"")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215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IF(AND(LEFT(INDIRECT("B"&amp;R236&amp;""),2)="博多",INDIRECT("B"&amp;R236&amp;"")=INDIRECT("B"&amp;R236+1&amp;"")&amp;"'"),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50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 x14ac:dyDescent="0.55000000000000004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 t="str">
        <f t="shared" ca="1" si="116"/>
        <v/>
      </c>
      <c r="E237" s="103"/>
      <c r="F237" s="156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VLOOKUP(C237,#REF!,6,FALSE)),"")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215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IF(AND(LEFT(INDIRECT("B"&amp;R237&amp;""),2)="博多",INDIRECT("B"&amp;R237&amp;"")=INDIRECT("B"&amp;R237+1&amp;"")&amp;"'"),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50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 x14ac:dyDescent="0.55000000000000004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 t="str">
        <f t="shared" ca="1" si="116"/>
        <v/>
      </c>
      <c r="E238" s="103"/>
      <c r="F238" s="156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VLOOKUP(C238,#REF!,6,FALSE)),"")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215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IF(AND(LEFT(INDIRECT("B"&amp;R238&amp;""),2)="博多",INDIRECT("B"&amp;R238&amp;"")=INDIRECT("B"&amp;R238+1&amp;"")&amp;"'"),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50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 x14ac:dyDescent="0.55000000000000004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 t="str">
        <f ca="1">IF(C239&lt;&gt;"","赤　おにぎり　半俵","")</f>
        <v>赤　おにぎり　半俵</v>
      </c>
      <c r="E239" s="103"/>
      <c r="F239" s="156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VLOOKUP(C239,#REF!,6,FALSE)),"")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215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IF(AND(LEFT(INDIRECT("B"&amp;R239&amp;""),2)="博多",INDIRECT("B"&amp;R239&amp;"")=INDIRECT("B"&amp;R239+1&amp;"")&amp;"'"),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50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 x14ac:dyDescent="0.55000000000000004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 t="str">
        <f t="shared" ref="D240:D243" ca="1" si="117">IF(C240&lt;&gt;"","赤　おにぎり　半俵","")</f>
        <v/>
      </c>
      <c r="E240" s="103"/>
      <c r="F240" s="156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VLOOKUP(C240,#REF!,6,FALSE)),"")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215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IF(AND(LEFT(INDIRECT("B"&amp;R240&amp;""),2)="博多",INDIRECT("B"&amp;R240&amp;"")=INDIRECT("B"&amp;R240+1&amp;"")&amp;"'"),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50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 x14ac:dyDescent="0.55000000000000004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 t="str">
        <f t="shared" ca="1" si="117"/>
        <v/>
      </c>
      <c r="E241" s="103"/>
      <c r="F241" s="156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VLOOKUP(C241,#REF!,6,FALSE)),"")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215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IF(AND(LEFT(INDIRECT("B"&amp;R241&amp;""),2)="博多",INDIRECT("B"&amp;R241&amp;"")=INDIRECT("B"&amp;R241+1&amp;"")&amp;"'"),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50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 x14ac:dyDescent="0.55000000000000004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 t="str">
        <f t="shared" ca="1" si="117"/>
        <v/>
      </c>
      <c r="E242" s="103"/>
      <c r="F242" s="156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VLOOKUP(C242,#REF!,6,FALSE)),"")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215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IF(AND(LEFT(INDIRECT("B"&amp;R242&amp;""),2)="博多",INDIRECT("B"&amp;R242&amp;"")=INDIRECT("B"&amp;R242+1&amp;"")&amp;"'"),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50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 x14ac:dyDescent="0.55000000000000004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 t="str">
        <f ca="1">IF(C243&lt;&gt;"","赤　飯なし","")</f>
        <v>赤　飯なし</v>
      </c>
      <c r="E243" s="103"/>
      <c r="F243" s="156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VLOOKUP(C243,#REF!,6,FALSE)),"")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215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IF(AND(LEFT(INDIRECT("B"&amp;R243&amp;""),2)="博多",INDIRECT("B"&amp;R243&amp;"")=INDIRECT("B"&amp;R243+1&amp;"")&amp;"'"),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50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 x14ac:dyDescent="0.55000000000000004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 t="str">
        <f t="shared" ref="D244:D246" ca="1" si="118">IF(C244&lt;&gt;"","赤　飯なし","")</f>
        <v/>
      </c>
      <c r="E244" s="103"/>
      <c r="F244" s="156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VLOOKUP(C244,#REF!,6,FALSE)),"")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215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IF(AND(LEFT(INDIRECT("B"&amp;R244&amp;""),2)="博多",INDIRECT("B"&amp;R244&amp;"")=INDIRECT("B"&amp;R244+1&amp;"")&amp;"'"),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50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 x14ac:dyDescent="0.55000000000000004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 t="str">
        <f t="shared" ca="1" si="118"/>
        <v/>
      </c>
      <c r="E245" s="103"/>
      <c r="F245" s="156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VLOOKUP(C245,#REF!,6,FALSE)),"")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215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IF(AND(LEFT(INDIRECT("B"&amp;R245&amp;""),2)="博多",INDIRECT("B"&amp;R245&amp;"")=INDIRECT("B"&amp;R245+1&amp;"")&amp;"'"),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50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 x14ac:dyDescent="0.55000000000000004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 t="str">
        <f t="shared" ca="1" si="118"/>
        <v/>
      </c>
      <c r="E246" s="103"/>
      <c r="F246" s="156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VLOOKUP(C246,#REF!,6,FALSE)),"")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215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IF(AND(LEFT(INDIRECT("B"&amp;R246&amp;""),2)="博多",INDIRECT("B"&amp;R246&amp;"")=INDIRECT("B"&amp;R246+1&amp;"")&amp;"'"),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50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 x14ac:dyDescent="0.55000000000000004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 【1】</v>
      </c>
      <c r="D247" s="103"/>
      <c r="E247" s="103"/>
      <c r="F247" s="156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/>
      <c r="M247" s="102"/>
      <c r="P247" s="102" t="str">
        <f t="shared" ref="P247:P278" ca="1" si="119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215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IF(AND(LEFT(INDIRECT("B"&amp;R247&amp;""),2)="博多",INDIRECT("B"&amp;R247&amp;"")=INDIRECT("B"&amp;R247+1&amp;"")&amp;"'"),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50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 x14ac:dyDescent="0.55000000000000004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56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VLOOKUP(C248,#REF!,6,FALSE)),"")</f>
        <v/>
      </c>
      <c r="M248" s="102"/>
      <c r="P248" s="102" t="str">
        <f t="shared" ca="1" si="119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215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IF(AND(LEFT(INDIRECT("B"&amp;R248&amp;""),2)="博多",INDIRECT("B"&amp;R248&amp;"")=INDIRECT("B"&amp;R248+1&amp;"")&amp;"'"),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50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 x14ac:dyDescent="0.55000000000000004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56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VLOOKUP(C249,#REF!,6,FALSE)),"")</f>
        <v/>
      </c>
      <c r="M249" s="102"/>
      <c r="P249" s="102" t="str">
        <f t="shared" ca="1" si="119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215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IF(AND(LEFT(INDIRECT("B"&amp;R249&amp;""),2)="博多",INDIRECT("B"&amp;R249&amp;"")=INDIRECT("B"&amp;R249+1&amp;"")&amp;"'"),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50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 x14ac:dyDescent="0.55000000000000004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56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VLOOKUP(C250,#REF!,6,FALSE)),"")</f>
        <v/>
      </c>
      <c r="M250" s="102"/>
      <c r="P250" s="102" t="str">
        <f t="shared" ca="1" si="119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215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IF(AND(LEFT(INDIRECT("B"&amp;R250&amp;""),2)="博多",INDIRECT("B"&amp;R250&amp;"")=INDIRECT("B"&amp;R250+1&amp;"")&amp;"'"),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50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 x14ac:dyDescent="0.55000000000000004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92" t="str">
        <f>""</f>
        <v/>
      </c>
      <c r="G251" s="92" t="str">
        <f>""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9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215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IF(AND(LEFT(INDIRECT("B"&amp;R251&amp;""),2)="博多",INDIRECT("B"&amp;R251&amp;"")=INDIRECT("B"&amp;R251+1&amp;"")&amp;"'"),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50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 x14ac:dyDescent="0.55000000000000004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92" t="str">
        <f>""</f>
        <v/>
      </c>
      <c r="G252" s="92" t="str">
        <f>""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9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215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IF(AND(LEFT(INDIRECT("B"&amp;R252&amp;""),2)="博多",INDIRECT("B"&amp;R252&amp;"")=INDIRECT("B"&amp;R252+1&amp;"")&amp;"'"),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50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 x14ac:dyDescent="0.55000000000000004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92" t="str">
        <f>""</f>
        <v/>
      </c>
      <c r="G253" s="92" t="str">
        <f>""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9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215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IF(AND(LEFT(INDIRECT("B"&amp;R253&amp;""),2)="博多",INDIRECT("B"&amp;R253&amp;"")=INDIRECT("B"&amp;R253+1&amp;"")&amp;"'"),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50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 x14ac:dyDescent="0.55000000000000004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92" t="str">
        <f>""</f>
        <v/>
      </c>
      <c r="G254" s="92" t="str">
        <f>""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9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215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IF(AND(LEFT(INDIRECT("B"&amp;R254&amp;""),2)="博多",INDIRECT("B"&amp;R254&amp;"")=INDIRECT("B"&amp;R254+1&amp;"")&amp;"'"),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50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 x14ac:dyDescent="0.55000000000000004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92" t="str">
        <f>""</f>
        <v/>
      </c>
      <c r="G255" s="92" t="str">
        <f>""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9"/>
        <v/>
      </c>
      <c r="Q255" s="92" t="str">
        <f t="shared" ca="1" si="111"/>
        <v/>
      </c>
      <c r="S255" s="143"/>
      <c r="U255" s="215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IF(AND(LEFT(INDIRECT("B"&amp;R255&amp;""),2)="博多",INDIRECT("B"&amp;R255&amp;"")=INDIRECT("B"&amp;R255+1&amp;"")&amp;"'"),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50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 x14ac:dyDescent="0.55000000000000004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92" t="str">
        <f>""</f>
        <v/>
      </c>
      <c r="G256" s="92" t="str">
        <f>""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9"/>
        <v/>
      </c>
      <c r="Q256" s="92" t="str">
        <f t="shared" ca="1" si="111"/>
        <v/>
      </c>
      <c r="S256" s="143"/>
      <c r="U256" s="215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IF(AND(LEFT(INDIRECT("B"&amp;R256&amp;""),2)="博多",INDIRECT("B"&amp;R256&amp;"")=INDIRECT("B"&amp;R256+1&amp;"")&amp;"'"),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50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 x14ac:dyDescent="0.55000000000000004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92" t="str">
        <f>""</f>
        <v/>
      </c>
      <c r="G257" s="92" t="str">
        <f>""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9"/>
        <v/>
      </c>
      <c r="Q257" s="92" t="str">
        <f t="shared" ca="1" si="111"/>
        <v/>
      </c>
      <c r="S257" s="143"/>
      <c r="U257" s="215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IF(AND(LEFT(INDIRECT("B"&amp;R257&amp;""),2)="博多",INDIRECT("B"&amp;R257&amp;"")=INDIRECT("B"&amp;R257+1&amp;"")&amp;"'"),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320" ca="1" si="120">IFERROR(INDEX(AC:AC,MATCH(SMALL($AU:$AU,ROW()),$AU:$AU,0)),"")</f>
        <v/>
      </c>
      <c r="AE257" s="143" t="str">
        <f t="shared" ref="AE257:AE265" ca="1" si="121">IFERROR(INDEX(R:R,MATCH(SMALL($AU:$AU,ROW()),$AU:$AU,0)),"")</f>
        <v/>
      </c>
      <c r="AF257" s="143" t="str">
        <f t="shared" ref="AF257:AF265" ca="1" si="122">IFERROR(INDEX(S:S,MATCH(SMALL($AU:$AU,ROW()),$AU:$AU,0)),"")</f>
        <v/>
      </c>
      <c r="AG257" s="143" t="str">
        <f t="shared" ref="AG257:AG265" ca="1" si="123">IFERROR(INDEX(T:T,MATCH(SMALL($AU:$AU,ROW()),$AU:$AU,0)),"")</f>
        <v/>
      </c>
      <c r="AH257" s="150" t="str">
        <f t="shared" ref="AH257:AH265" ca="1" si="124">IFERROR(INDEX(U:U,MATCH(SMALL($AU:$AU,ROW()),$AU:$AU,0)),"")</f>
        <v/>
      </c>
      <c r="AI257" s="143" t="str">
        <f t="shared" ref="AI257:AI265" ca="1" si="125">IFERROR(INDEX(V:V,MATCH(SMALL($AU:$AU,ROW()),$AU:$AU,0)),"")</f>
        <v/>
      </c>
      <c r="AJ257" s="143" t="str">
        <f t="shared" ref="AJ257:AJ265" ca="1" si="126">IFERROR(INDEX(W:W,MATCH(SMALL($AU:$AU,ROW()),$AU:$AU,0)),"")</f>
        <v/>
      </c>
      <c r="AK257" s="143" t="str">
        <f t="shared" ref="AK257:AK265" ca="1" si="127">IFERROR(INDEX(X:X,MATCH(SMALL($AU:$AU,ROW()),$AU:$AU,0)),"")</f>
        <v/>
      </c>
      <c r="AL257" s="143" t="str">
        <f t="shared" ref="AL257:AL265" ca="1" si="128">IFERROR(INDEX(Y:Y,MATCH(SMALL($AU:$AU,ROW()),$AU:$AU,0)),"")</f>
        <v/>
      </c>
      <c r="AM257" s="143" t="str">
        <f t="shared" ref="AM257:AM265" ca="1" si="129">IFERROR(INDEX(Z:Z,MATCH(SMALL($AU:$AU,ROW()),$AU:$AU,0)),"")</f>
        <v/>
      </c>
      <c r="AN257" s="143" t="str">
        <f t="shared" ref="AN257:AN265" ca="1" si="130">IFERROR(INDEX(AA:AA,MATCH(SMALL($AU:$AU,ROW()),$AU:$AU,0)),"")</f>
        <v/>
      </c>
      <c r="AO257" s="143" t="str">
        <f t="shared" ref="AO257:AO265" ca="1" si="131">IFERROR(INDEX(AB:AB,MATCH(SMALL($AU:$AU,ROW()),$AU:$AU,0)),"")</f>
        <v/>
      </c>
      <c r="AP257" s="143" t="str">
        <f t="shared" ref="AP257:AP265" ca="1" si="132">IFERROR(INDEX(AC:AC,MATCH(SMALL($AU:$AU,ROW()),$AU:$AU,0)),"")</f>
        <v/>
      </c>
    </row>
    <row r="258" spans="1:42" x14ac:dyDescent="0.55000000000000004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92" t="str">
        <f>""</f>
        <v/>
      </c>
      <c r="G258" s="92" t="str">
        <f>""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9"/>
        <v/>
      </c>
      <c r="Q258" s="92" t="str">
        <f t="shared" ca="1" si="111"/>
        <v/>
      </c>
      <c r="S258" s="143"/>
      <c r="U258" s="215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IF(AND(LEFT(INDIRECT("B"&amp;R258&amp;""),2)="博多",INDIRECT("B"&amp;R258&amp;"")=INDIRECT("B"&amp;R258+1&amp;"")&amp;"'"),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20"/>
        <v/>
      </c>
      <c r="AE258" s="143" t="str">
        <f t="shared" ca="1" si="121"/>
        <v/>
      </c>
      <c r="AF258" s="143" t="str">
        <f t="shared" ca="1" si="122"/>
        <v/>
      </c>
      <c r="AG258" s="143" t="str">
        <f t="shared" ca="1" si="123"/>
        <v/>
      </c>
      <c r="AH258" s="150" t="str">
        <f t="shared" ca="1" si="124"/>
        <v/>
      </c>
      <c r="AI258" s="143" t="str">
        <f t="shared" ca="1" si="125"/>
        <v/>
      </c>
      <c r="AJ258" s="143" t="str">
        <f t="shared" ca="1" si="126"/>
        <v/>
      </c>
      <c r="AK258" s="143" t="str">
        <f t="shared" ca="1" si="127"/>
        <v/>
      </c>
      <c r="AL258" s="143" t="str">
        <f t="shared" ca="1" si="128"/>
        <v/>
      </c>
      <c r="AM258" s="143" t="str">
        <f t="shared" ca="1" si="129"/>
        <v/>
      </c>
      <c r="AN258" s="143" t="str">
        <f t="shared" ca="1" si="130"/>
        <v/>
      </c>
      <c r="AO258" s="143" t="str">
        <f t="shared" ca="1" si="131"/>
        <v/>
      </c>
      <c r="AP258" s="143" t="str">
        <f t="shared" ca="1" si="132"/>
        <v/>
      </c>
    </row>
    <row r="259" spans="1:42" x14ac:dyDescent="0.55000000000000004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92" t="str">
        <f>""</f>
        <v/>
      </c>
      <c r="G259" s="92" t="str">
        <f>""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9"/>
        <v/>
      </c>
      <c r="Q259" s="92" t="str">
        <f t="shared" ca="1" si="111"/>
        <v/>
      </c>
      <c r="S259" s="143"/>
      <c r="U259" s="215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IF(AND(LEFT(INDIRECT("B"&amp;R259&amp;""),2)="博多",INDIRECT("B"&amp;R259&amp;"")=INDIRECT("B"&amp;R259+1&amp;"")&amp;"'"),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20"/>
        <v/>
      </c>
      <c r="AE259" s="143" t="str">
        <f t="shared" ca="1" si="121"/>
        <v/>
      </c>
      <c r="AF259" s="143" t="str">
        <f t="shared" ca="1" si="122"/>
        <v/>
      </c>
      <c r="AG259" s="143" t="str">
        <f t="shared" ca="1" si="123"/>
        <v/>
      </c>
      <c r="AH259" s="150" t="str">
        <f t="shared" ca="1" si="124"/>
        <v/>
      </c>
      <c r="AI259" s="143" t="str">
        <f t="shared" ca="1" si="125"/>
        <v/>
      </c>
      <c r="AJ259" s="143" t="str">
        <f t="shared" ca="1" si="126"/>
        <v/>
      </c>
      <c r="AK259" s="143" t="str">
        <f t="shared" ca="1" si="127"/>
        <v/>
      </c>
      <c r="AL259" s="143" t="str">
        <f t="shared" ca="1" si="128"/>
        <v/>
      </c>
      <c r="AM259" s="143" t="str">
        <f t="shared" ca="1" si="129"/>
        <v/>
      </c>
      <c r="AN259" s="143" t="str">
        <f t="shared" ca="1" si="130"/>
        <v/>
      </c>
      <c r="AO259" s="143" t="str">
        <f t="shared" ca="1" si="131"/>
        <v/>
      </c>
      <c r="AP259" s="143" t="str">
        <f t="shared" ca="1" si="132"/>
        <v/>
      </c>
    </row>
    <row r="260" spans="1:42" x14ac:dyDescent="0.55000000000000004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92" t="str">
        <f>""</f>
        <v/>
      </c>
      <c r="G260" s="92" t="str">
        <f>""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9"/>
        <v/>
      </c>
      <c r="Q260" s="92" t="str">
        <f t="shared" ca="1" si="111"/>
        <v/>
      </c>
      <c r="S260" s="143"/>
      <c r="U260" s="215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IF(AND(LEFT(INDIRECT("B"&amp;R260&amp;""),2)="博多",INDIRECT("B"&amp;R260&amp;"")=INDIRECT("B"&amp;R260+1&amp;"")&amp;"'"),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20"/>
        <v/>
      </c>
      <c r="AE260" s="143" t="str">
        <f t="shared" ca="1" si="121"/>
        <v/>
      </c>
      <c r="AF260" s="143" t="str">
        <f t="shared" ca="1" si="122"/>
        <v/>
      </c>
      <c r="AG260" s="143" t="str">
        <f t="shared" ca="1" si="123"/>
        <v/>
      </c>
      <c r="AH260" s="150" t="str">
        <f t="shared" ca="1" si="124"/>
        <v/>
      </c>
      <c r="AI260" s="143" t="str">
        <f t="shared" ca="1" si="125"/>
        <v/>
      </c>
      <c r="AJ260" s="143" t="str">
        <f t="shared" ca="1" si="126"/>
        <v/>
      </c>
      <c r="AK260" s="143" t="str">
        <f t="shared" ca="1" si="127"/>
        <v/>
      </c>
      <c r="AL260" s="143" t="str">
        <f t="shared" ca="1" si="128"/>
        <v/>
      </c>
      <c r="AM260" s="143" t="str">
        <f t="shared" ca="1" si="129"/>
        <v/>
      </c>
      <c r="AN260" s="143" t="str">
        <f t="shared" ca="1" si="130"/>
        <v/>
      </c>
      <c r="AO260" s="143" t="str">
        <f t="shared" ca="1" si="131"/>
        <v/>
      </c>
      <c r="AP260" s="143" t="str">
        <f t="shared" ca="1" si="132"/>
        <v/>
      </c>
    </row>
    <row r="261" spans="1:42" x14ac:dyDescent="0.55000000000000004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92" t="str">
        <f>""</f>
        <v/>
      </c>
      <c r="G261" s="92" t="str">
        <f>""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9"/>
        <v/>
      </c>
      <c r="Q261" s="92" t="str">
        <f t="shared" ca="1" si="111"/>
        <v/>
      </c>
      <c r="S261" s="143"/>
      <c r="U261" s="215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IF(AND(LEFT(INDIRECT("B"&amp;R261&amp;""),2)="博多",INDIRECT("B"&amp;R261&amp;"")=INDIRECT("B"&amp;R261+1&amp;"")&amp;"'"),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20"/>
        <v/>
      </c>
      <c r="AE261" s="143" t="str">
        <f t="shared" ca="1" si="121"/>
        <v/>
      </c>
      <c r="AF261" s="143" t="str">
        <f t="shared" ca="1" si="122"/>
        <v/>
      </c>
      <c r="AG261" s="143" t="str">
        <f t="shared" ca="1" si="123"/>
        <v/>
      </c>
      <c r="AH261" s="150" t="str">
        <f t="shared" ca="1" si="124"/>
        <v/>
      </c>
      <c r="AI261" s="143" t="str">
        <f t="shared" ca="1" si="125"/>
        <v/>
      </c>
      <c r="AJ261" s="143" t="str">
        <f t="shared" ca="1" si="126"/>
        <v/>
      </c>
      <c r="AK261" s="143" t="str">
        <f t="shared" ca="1" si="127"/>
        <v/>
      </c>
      <c r="AL261" s="143" t="str">
        <f t="shared" ca="1" si="128"/>
        <v/>
      </c>
      <c r="AM261" s="143" t="str">
        <f t="shared" ca="1" si="129"/>
        <v/>
      </c>
      <c r="AN261" s="143" t="str">
        <f t="shared" ca="1" si="130"/>
        <v/>
      </c>
      <c r="AO261" s="143" t="str">
        <f t="shared" ca="1" si="131"/>
        <v/>
      </c>
      <c r="AP261" s="143" t="str">
        <f t="shared" ca="1" si="132"/>
        <v/>
      </c>
    </row>
    <row r="262" spans="1:42" x14ac:dyDescent="0.55000000000000004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92" t="str">
        <f>""</f>
        <v/>
      </c>
      <c r="G262" s="92" t="str">
        <f>""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9"/>
        <v/>
      </c>
      <c r="Q262" s="92" t="str">
        <f t="shared" ca="1" si="111"/>
        <v/>
      </c>
      <c r="S262" s="143"/>
      <c r="U262" s="215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IF(AND(LEFT(INDIRECT("B"&amp;R262&amp;""),2)="博多",INDIRECT("B"&amp;R262&amp;"")=INDIRECT("B"&amp;R262+1&amp;"")&amp;"'"),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20"/>
        <v/>
      </c>
      <c r="AE262" s="143" t="str">
        <f t="shared" ca="1" si="121"/>
        <v/>
      </c>
      <c r="AF262" s="143" t="str">
        <f t="shared" ca="1" si="122"/>
        <v/>
      </c>
      <c r="AG262" s="143" t="str">
        <f t="shared" ca="1" si="123"/>
        <v/>
      </c>
      <c r="AH262" s="150" t="str">
        <f t="shared" ca="1" si="124"/>
        <v/>
      </c>
      <c r="AI262" s="143" t="str">
        <f t="shared" ca="1" si="125"/>
        <v/>
      </c>
      <c r="AJ262" s="143" t="str">
        <f t="shared" ca="1" si="126"/>
        <v/>
      </c>
      <c r="AK262" s="143" t="str">
        <f t="shared" ca="1" si="127"/>
        <v/>
      </c>
      <c r="AL262" s="143" t="str">
        <f t="shared" ca="1" si="128"/>
        <v/>
      </c>
      <c r="AM262" s="143" t="str">
        <f t="shared" ca="1" si="129"/>
        <v/>
      </c>
      <c r="AN262" s="143" t="str">
        <f t="shared" ca="1" si="130"/>
        <v/>
      </c>
      <c r="AO262" s="143" t="str">
        <f t="shared" ca="1" si="131"/>
        <v/>
      </c>
      <c r="AP262" s="143" t="str">
        <f t="shared" ca="1" si="132"/>
        <v/>
      </c>
    </row>
    <row r="263" spans="1:42" x14ac:dyDescent="0.55000000000000004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92" t="str">
        <f>""</f>
        <v/>
      </c>
      <c r="G263" s="92" t="str">
        <f>""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9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215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IF(AND(LEFT(INDIRECT("B"&amp;R263&amp;""),2)="博多",INDIRECT("B"&amp;R263&amp;"")=INDIRECT("B"&amp;R263+1&amp;"")&amp;"'"),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20"/>
        <v/>
      </c>
      <c r="AE263" s="143" t="str">
        <f t="shared" ca="1" si="121"/>
        <v/>
      </c>
      <c r="AF263" s="143" t="str">
        <f t="shared" ca="1" si="122"/>
        <v/>
      </c>
      <c r="AG263" s="143" t="str">
        <f t="shared" ca="1" si="123"/>
        <v/>
      </c>
      <c r="AH263" s="150" t="str">
        <f t="shared" ca="1" si="124"/>
        <v/>
      </c>
      <c r="AI263" s="143" t="str">
        <f t="shared" ca="1" si="125"/>
        <v/>
      </c>
      <c r="AJ263" s="143" t="str">
        <f t="shared" ca="1" si="126"/>
        <v/>
      </c>
      <c r="AK263" s="143" t="str">
        <f t="shared" ca="1" si="127"/>
        <v/>
      </c>
      <c r="AL263" s="143" t="str">
        <f t="shared" ca="1" si="128"/>
        <v/>
      </c>
      <c r="AM263" s="143" t="str">
        <f t="shared" ca="1" si="129"/>
        <v/>
      </c>
      <c r="AN263" s="143" t="str">
        <f t="shared" ca="1" si="130"/>
        <v/>
      </c>
      <c r="AO263" s="143" t="str">
        <f t="shared" ca="1" si="131"/>
        <v/>
      </c>
      <c r="AP263" s="143" t="str">
        <f t="shared" ca="1" si="132"/>
        <v/>
      </c>
    </row>
    <row r="264" spans="1:42" x14ac:dyDescent="0.55000000000000004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92" t="str">
        <f>""</f>
        <v/>
      </c>
      <c r="G264" s="92" t="str">
        <f>""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9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215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IF(AND(LEFT(INDIRECT("B"&amp;R264&amp;""),2)="博多",INDIRECT("B"&amp;R264&amp;"")=INDIRECT("B"&amp;R264+1&amp;"")&amp;"'"),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20"/>
        <v/>
      </c>
      <c r="AE264" s="143" t="str">
        <f t="shared" ca="1" si="121"/>
        <v/>
      </c>
      <c r="AF264" s="143" t="str">
        <f t="shared" ca="1" si="122"/>
        <v/>
      </c>
      <c r="AG264" s="143" t="str">
        <f t="shared" ca="1" si="123"/>
        <v/>
      </c>
      <c r="AH264" s="150" t="str">
        <f t="shared" ca="1" si="124"/>
        <v/>
      </c>
      <c r="AI264" s="143" t="str">
        <f t="shared" ca="1" si="125"/>
        <v/>
      </c>
      <c r="AJ264" s="143" t="str">
        <f t="shared" ca="1" si="126"/>
        <v/>
      </c>
      <c r="AK264" s="143" t="str">
        <f t="shared" ca="1" si="127"/>
        <v/>
      </c>
      <c r="AL264" s="143" t="str">
        <f t="shared" ca="1" si="128"/>
        <v/>
      </c>
      <c r="AM264" s="143" t="str">
        <f t="shared" ca="1" si="129"/>
        <v/>
      </c>
      <c r="AN264" s="143" t="str">
        <f t="shared" ca="1" si="130"/>
        <v/>
      </c>
      <c r="AO264" s="143" t="str">
        <f t="shared" ca="1" si="131"/>
        <v/>
      </c>
      <c r="AP264" s="143" t="str">
        <f t="shared" ca="1" si="132"/>
        <v/>
      </c>
    </row>
    <row r="265" spans="1:42" x14ac:dyDescent="0.55000000000000004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92" t="str">
        <f>""</f>
        <v/>
      </c>
      <c r="G265" s="92" t="str">
        <f>""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9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215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IF(AND(LEFT(INDIRECT("B"&amp;R265&amp;""),2)="博多",INDIRECT("B"&amp;R265&amp;"")=INDIRECT("B"&amp;R265+1&amp;"")&amp;"'"),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20"/>
        <v/>
      </c>
      <c r="AE265" s="143" t="str">
        <f t="shared" ca="1" si="121"/>
        <v/>
      </c>
      <c r="AF265" s="143" t="str">
        <f t="shared" ca="1" si="122"/>
        <v/>
      </c>
      <c r="AG265" s="143" t="str">
        <f t="shared" ca="1" si="123"/>
        <v/>
      </c>
      <c r="AH265" s="150" t="str">
        <f t="shared" ca="1" si="124"/>
        <v/>
      </c>
      <c r="AI265" s="143" t="str">
        <f t="shared" ca="1" si="125"/>
        <v/>
      </c>
      <c r="AJ265" s="143" t="str">
        <f t="shared" ca="1" si="126"/>
        <v/>
      </c>
      <c r="AK265" s="143" t="str">
        <f t="shared" ca="1" si="127"/>
        <v/>
      </c>
      <c r="AL265" s="143" t="str">
        <f t="shared" ca="1" si="128"/>
        <v/>
      </c>
      <c r="AM265" s="143" t="str">
        <f t="shared" ca="1" si="129"/>
        <v/>
      </c>
      <c r="AN265" s="143" t="str">
        <f t="shared" ca="1" si="130"/>
        <v/>
      </c>
      <c r="AO265" s="143" t="str">
        <f t="shared" ca="1" si="131"/>
        <v/>
      </c>
      <c r="AP265" s="143" t="str">
        <f t="shared" ca="1" si="132"/>
        <v/>
      </c>
    </row>
    <row r="266" spans="1:42" x14ac:dyDescent="0.55000000000000004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 x14ac:dyDescent="0.55000000000000004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33">IFERROR(INDEX(AC:AC,MATCH(SMALL($AU:$AU,ROW()+3),$AU:$AU,0)),"")</f>
        <v/>
      </c>
      <c r="AE270" s="143" t="str">
        <f t="shared" ref="AE270:AE301" ca="1" si="134">IFERROR(INDEX(R:R,MATCH(SMALL($AU:$AU,ROW()+3),$AU:$AU,0)),"")</f>
        <v/>
      </c>
      <c r="AF270" s="143" t="str">
        <f t="shared" ref="AF270:AF301" ca="1" si="135">IFERROR(INDEX(S:S,MATCH(SMALL($AU:$AU,ROW()+3),$AU:$AU,0)),"")</f>
        <v/>
      </c>
      <c r="AG270" s="143" t="str">
        <f t="shared" ref="AG270:AG301" ca="1" si="136">IFERROR(INDEX(T:T,MATCH(SMALL($AU:$AU,ROW()+3),$AU:$AU,0)),"")</f>
        <v/>
      </c>
      <c r="AH270" s="150" t="str">
        <f t="shared" ref="AH270:AH301" ca="1" si="137">IFERROR(INDEX(U:U,MATCH(SMALL($AU:$AU,ROW()+3),$AU:$AU,0)),"")</f>
        <v/>
      </c>
      <c r="AI270" s="143" t="str">
        <f t="shared" ref="AI270:AI301" ca="1" si="138">IFERROR(INDEX(V:V,MATCH(SMALL($AU:$AU,ROW()+3),$AU:$AU,0)),"")</f>
        <v/>
      </c>
      <c r="AJ270" s="143" t="str">
        <f t="shared" ref="AJ270:AJ301" ca="1" si="139">IFERROR(INDEX(W:W,MATCH(SMALL($AU:$AU,ROW()+3),$AU:$AU,0)),"")</f>
        <v/>
      </c>
      <c r="AK270" s="143" t="str">
        <f t="shared" ref="AK270:AK301" ca="1" si="140">IFERROR(INDEX(X:X,MATCH(SMALL($AU:$AU,ROW()+3),$AU:$AU,0)),"")</f>
        <v/>
      </c>
      <c r="AL270" s="143" t="str">
        <f t="shared" ref="AL270:AL301" ca="1" si="141">IFERROR(INDEX(Y:Y,MATCH(SMALL($AU:$AU,ROW()+3),$AU:$AU,0)),"")</f>
        <v/>
      </c>
      <c r="AM270" s="143" t="str">
        <f t="shared" ref="AM270:AM301" ca="1" si="142">IFERROR(INDEX(Z:Z,MATCH(SMALL($AU:$AU,ROW()+3),$AU:$AU,0)),"")</f>
        <v/>
      </c>
      <c r="AN270" s="143" t="str">
        <f t="shared" ref="AN270:AN301" ca="1" si="143">IFERROR(INDEX(AA:AA,MATCH(SMALL($AU:$AU,ROW()+3),$AU:$AU,0)),"")</f>
        <v/>
      </c>
      <c r="AO270" s="143" t="str">
        <f t="shared" ref="AO270:AO301" ca="1" si="144">IFERROR(INDEX(AB:AB,MATCH(SMALL($AU:$AU,ROW()+3),$AU:$AU,0)),"")</f>
        <v/>
      </c>
      <c r="AP270" s="143" t="str">
        <f t="shared" ref="AP270:AP301" ca="1" si="145">IFERROR(INDEX(AC:AC,MATCH(SMALL($AU:$AU,ROW()+3),$AU:$AU,0)),"")</f>
        <v/>
      </c>
    </row>
    <row r="271" spans="1:42" x14ac:dyDescent="0.55000000000000004">
      <c r="AD271" s="143" t="str">
        <f t="shared" ca="1" si="133"/>
        <v/>
      </c>
      <c r="AE271" s="143" t="str">
        <f t="shared" ca="1" si="134"/>
        <v/>
      </c>
      <c r="AF271" s="143" t="str">
        <f t="shared" ca="1" si="135"/>
        <v/>
      </c>
      <c r="AG271" s="143" t="str">
        <f t="shared" ca="1" si="136"/>
        <v/>
      </c>
      <c r="AH271" s="150" t="str">
        <f t="shared" ca="1" si="137"/>
        <v/>
      </c>
      <c r="AI271" s="143" t="str">
        <f t="shared" ca="1" si="138"/>
        <v/>
      </c>
      <c r="AJ271" s="143" t="str">
        <f t="shared" ca="1" si="139"/>
        <v/>
      </c>
      <c r="AK271" s="143" t="str">
        <f t="shared" ca="1" si="140"/>
        <v/>
      </c>
      <c r="AL271" s="143" t="str">
        <f t="shared" ca="1" si="141"/>
        <v/>
      </c>
      <c r="AM271" s="143" t="str">
        <f t="shared" ca="1" si="142"/>
        <v/>
      </c>
      <c r="AN271" s="143" t="str">
        <f t="shared" ca="1" si="143"/>
        <v/>
      </c>
      <c r="AO271" s="143" t="str">
        <f t="shared" ca="1" si="144"/>
        <v/>
      </c>
      <c r="AP271" s="143" t="str">
        <f t="shared" ca="1" si="145"/>
        <v/>
      </c>
    </row>
    <row r="272" spans="1:42" x14ac:dyDescent="0.55000000000000004">
      <c r="AD272" s="143" t="str">
        <f t="shared" ca="1" si="133"/>
        <v/>
      </c>
      <c r="AE272" s="143" t="str">
        <f t="shared" ca="1" si="134"/>
        <v/>
      </c>
      <c r="AF272" s="143" t="str">
        <f t="shared" ca="1" si="135"/>
        <v/>
      </c>
      <c r="AG272" s="143" t="str">
        <f t="shared" ca="1" si="136"/>
        <v/>
      </c>
      <c r="AH272" s="150" t="str">
        <f t="shared" ca="1" si="137"/>
        <v/>
      </c>
      <c r="AI272" s="143" t="str">
        <f t="shared" ca="1" si="138"/>
        <v/>
      </c>
      <c r="AJ272" s="143" t="str">
        <f t="shared" ca="1" si="139"/>
        <v/>
      </c>
      <c r="AK272" s="143" t="str">
        <f t="shared" ca="1" si="140"/>
        <v/>
      </c>
      <c r="AL272" s="143" t="str">
        <f t="shared" ca="1" si="141"/>
        <v/>
      </c>
      <c r="AM272" s="143" t="str">
        <f t="shared" ca="1" si="142"/>
        <v/>
      </c>
      <c r="AN272" s="143" t="str">
        <f t="shared" ca="1" si="143"/>
        <v/>
      </c>
      <c r="AO272" s="143" t="str">
        <f t="shared" ca="1" si="144"/>
        <v/>
      </c>
      <c r="AP272" s="143" t="str">
        <f t="shared" ca="1" si="145"/>
        <v/>
      </c>
    </row>
    <row r="273" spans="30:42" x14ac:dyDescent="0.55000000000000004">
      <c r="AD273" s="143" t="str">
        <f t="shared" ca="1" si="133"/>
        <v/>
      </c>
      <c r="AE273" s="143" t="str">
        <f t="shared" ca="1" si="134"/>
        <v/>
      </c>
      <c r="AF273" s="143" t="str">
        <f t="shared" ca="1" si="135"/>
        <v/>
      </c>
      <c r="AG273" s="143" t="str">
        <f t="shared" ca="1" si="136"/>
        <v/>
      </c>
      <c r="AH273" s="150" t="str">
        <f t="shared" ca="1" si="137"/>
        <v/>
      </c>
      <c r="AI273" s="143" t="str">
        <f t="shared" ca="1" si="138"/>
        <v/>
      </c>
      <c r="AJ273" s="143" t="str">
        <f t="shared" ca="1" si="139"/>
        <v/>
      </c>
      <c r="AK273" s="143" t="str">
        <f t="shared" ca="1" si="140"/>
        <v/>
      </c>
      <c r="AL273" s="143" t="str">
        <f t="shared" ca="1" si="141"/>
        <v/>
      </c>
      <c r="AM273" s="143" t="str">
        <f t="shared" ca="1" si="142"/>
        <v/>
      </c>
      <c r="AN273" s="143" t="str">
        <f t="shared" ca="1" si="143"/>
        <v/>
      </c>
      <c r="AO273" s="143" t="str">
        <f t="shared" ca="1" si="144"/>
        <v/>
      </c>
      <c r="AP273" s="143" t="str">
        <f t="shared" ca="1" si="145"/>
        <v/>
      </c>
    </row>
    <row r="274" spans="30:42" x14ac:dyDescent="0.55000000000000004">
      <c r="AD274" s="143" t="str">
        <f t="shared" ca="1" si="133"/>
        <v/>
      </c>
      <c r="AE274" s="143" t="str">
        <f t="shared" ca="1" si="134"/>
        <v/>
      </c>
      <c r="AF274" s="143" t="str">
        <f t="shared" ca="1" si="135"/>
        <v/>
      </c>
      <c r="AG274" s="143" t="str">
        <f t="shared" ca="1" si="136"/>
        <v/>
      </c>
      <c r="AH274" s="150" t="str">
        <f t="shared" ca="1" si="137"/>
        <v/>
      </c>
      <c r="AI274" s="143" t="str">
        <f t="shared" ca="1" si="138"/>
        <v/>
      </c>
      <c r="AJ274" s="143" t="str">
        <f t="shared" ca="1" si="139"/>
        <v/>
      </c>
      <c r="AK274" s="143" t="str">
        <f t="shared" ca="1" si="140"/>
        <v/>
      </c>
      <c r="AL274" s="143" t="str">
        <f t="shared" ca="1" si="141"/>
        <v/>
      </c>
      <c r="AM274" s="143" t="str">
        <f t="shared" ca="1" si="142"/>
        <v/>
      </c>
      <c r="AN274" s="143" t="str">
        <f t="shared" ca="1" si="143"/>
        <v/>
      </c>
      <c r="AO274" s="143" t="str">
        <f t="shared" ca="1" si="144"/>
        <v/>
      </c>
      <c r="AP274" s="143" t="str">
        <f t="shared" ca="1" si="145"/>
        <v/>
      </c>
    </row>
    <row r="275" spans="30:42" x14ac:dyDescent="0.55000000000000004">
      <c r="AD275" s="143" t="str">
        <f t="shared" ca="1" si="133"/>
        <v/>
      </c>
      <c r="AE275" s="143" t="str">
        <f t="shared" ca="1" si="134"/>
        <v/>
      </c>
      <c r="AF275" s="143" t="str">
        <f t="shared" ca="1" si="135"/>
        <v/>
      </c>
      <c r="AG275" s="143" t="str">
        <f t="shared" ca="1" si="136"/>
        <v/>
      </c>
      <c r="AH275" s="150" t="str">
        <f t="shared" ca="1" si="137"/>
        <v/>
      </c>
      <c r="AI275" s="143" t="str">
        <f t="shared" ca="1" si="138"/>
        <v/>
      </c>
      <c r="AJ275" s="143" t="str">
        <f t="shared" ca="1" si="139"/>
        <v/>
      </c>
      <c r="AK275" s="143" t="str">
        <f t="shared" ca="1" si="140"/>
        <v/>
      </c>
      <c r="AL275" s="143" t="str">
        <f t="shared" ca="1" si="141"/>
        <v/>
      </c>
      <c r="AM275" s="143" t="str">
        <f t="shared" ca="1" si="142"/>
        <v/>
      </c>
      <c r="AN275" s="143" t="str">
        <f t="shared" ca="1" si="143"/>
        <v/>
      </c>
      <c r="AO275" s="143" t="str">
        <f t="shared" ca="1" si="144"/>
        <v/>
      </c>
      <c r="AP275" s="143" t="str">
        <f t="shared" ca="1" si="145"/>
        <v/>
      </c>
    </row>
    <row r="276" spans="30:42" x14ac:dyDescent="0.55000000000000004">
      <c r="AD276" s="143" t="str">
        <f t="shared" ca="1" si="133"/>
        <v/>
      </c>
      <c r="AE276" s="143" t="str">
        <f t="shared" ca="1" si="134"/>
        <v/>
      </c>
      <c r="AF276" s="143" t="str">
        <f t="shared" ca="1" si="135"/>
        <v/>
      </c>
      <c r="AG276" s="143" t="str">
        <f t="shared" ca="1" si="136"/>
        <v/>
      </c>
      <c r="AH276" s="150" t="str">
        <f t="shared" ca="1" si="137"/>
        <v/>
      </c>
      <c r="AI276" s="143" t="str">
        <f t="shared" ca="1" si="138"/>
        <v/>
      </c>
      <c r="AJ276" s="143" t="str">
        <f t="shared" ca="1" si="139"/>
        <v/>
      </c>
      <c r="AK276" s="143" t="str">
        <f t="shared" ca="1" si="140"/>
        <v/>
      </c>
      <c r="AL276" s="143" t="str">
        <f t="shared" ca="1" si="141"/>
        <v/>
      </c>
      <c r="AM276" s="143" t="str">
        <f t="shared" ca="1" si="142"/>
        <v/>
      </c>
      <c r="AN276" s="143" t="str">
        <f t="shared" ca="1" si="143"/>
        <v/>
      </c>
      <c r="AO276" s="143" t="str">
        <f t="shared" ca="1" si="144"/>
        <v/>
      </c>
      <c r="AP276" s="143" t="str">
        <f t="shared" ca="1" si="145"/>
        <v/>
      </c>
    </row>
    <row r="277" spans="30:42" x14ac:dyDescent="0.55000000000000004">
      <c r="AD277" s="143" t="str">
        <f t="shared" ca="1" si="133"/>
        <v/>
      </c>
      <c r="AE277" s="143" t="str">
        <f t="shared" ca="1" si="134"/>
        <v/>
      </c>
      <c r="AF277" s="143" t="str">
        <f t="shared" ca="1" si="135"/>
        <v/>
      </c>
      <c r="AG277" s="143" t="str">
        <f t="shared" ca="1" si="136"/>
        <v/>
      </c>
      <c r="AH277" s="150" t="str">
        <f t="shared" ca="1" si="137"/>
        <v/>
      </c>
      <c r="AI277" s="143" t="str">
        <f t="shared" ca="1" si="138"/>
        <v/>
      </c>
      <c r="AJ277" s="143" t="str">
        <f t="shared" ca="1" si="139"/>
        <v/>
      </c>
      <c r="AK277" s="143" t="str">
        <f t="shared" ca="1" si="140"/>
        <v/>
      </c>
      <c r="AL277" s="143" t="str">
        <f t="shared" ca="1" si="141"/>
        <v/>
      </c>
      <c r="AM277" s="143" t="str">
        <f t="shared" ca="1" si="142"/>
        <v/>
      </c>
      <c r="AN277" s="143" t="str">
        <f t="shared" ca="1" si="143"/>
        <v/>
      </c>
      <c r="AO277" s="143" t="str">
        <f t="shared" ca="1" si="144"/>
        <v/>
      </c>
      <c r="AP277" s="143" t="str">
        <f t="shared" ca="1" si="145"/>
        <v/>
      </c>
    </row>
    <row r="278" spans="30:42" x14ac:dyDescent="0.55000000000000004">
      <c r="AD278" s="143" t="str">
        <f t="shared" ca="1" si="133"/>
        <v/>
      </c>
      <c r="AE278" s="143" t="str">
        <f t="shared" ca="1" si="134"/>
        <v/>
      </c>
      <c r="AF278" s="143" t="str">
        <f t="shared" ca="1" si="135"/>
        <v/>
      </c>
      <c r="AG278" s="143" t="str">
        <f t="shared" ca="1" si="136"/>
        <v/>
      </c>
      <c r="AH278" s="150" t="str">
        <f t="shared" ca="1" si="137"/>
        <v/>
      </c>
      <c r="AI278" s="143" t="str">
        <f t="shared" ca="1" si="138"/>
        <v/>
      </c>
      <c r="AJ278" s="143" t="str">
        <f t="shared" ca="1" si="139"/>
        <v/>
      </c>
      <c r="AK278" s="143" t="str">
        <f t="shared" ca="1" si="140"/>
        <v/>
      </c>
      <c r="AL278" s="143" t="str">
        <f t="shared" ca="1" si="141"/>
        <v/>
      </c>
      <c r="AM278" s="143" t="str">
        <f t="shared" ca="1" si="142"/>
        <v/>
      </c>
      <c r="AN278" s="143" t="str">
        <f t="shared" ca="1" si="143"/>
        <v/>
      </c>
      <c r="AO278" s="143" t="str">
        <f t="shared" ca="1" si="144"/>
        <v/>
      </c>
      <c r="AP278" s="143" t="str">
        <f t="shared" ca="1" si="145"/>
        <v/>
      </c>
    </row>
    <row r="279" spans="30:42" x14ac:dyDescent="0.55000000000000004">
      <c r="AD279" s="143" t="str">
        <f t="shared" ca="1" si="133"/>
        <v/>
      </c>
      <c r="AE279" s="143" t="str">
        <f t="shared" ca="1" si="134"/>
        <v/>
      </c>
      <c r="AF279" s="143" t="str">
        <f t="shared" ca="1" si="135"/>
        <v/>
      </c>
      <c r="AG279" s="143" t="str">
        <f t="shared" ca="1" si="136"/>
        <v/>
      </c>
      <c r="AH279" s="150" t="str">
        <f t="shared" ca="1" si="137"/>
        <v/>
      </c>
      <c r="AI279" s="143" t="str">
        <f t="shared" ca="1" si="138"/>
        <v/>
      </c>
      <c r="AJ279" s="143" t="str">
        <f t="shared" ca="1" si="139"/>
        <v/>
      </c>
      <c r="AK279" s="143" t="str">
        <f t="shared" ca="1" si="140"/>
        <v/>
      </c>
      <c r="AL279" s="143" t="str">
        <f t="shared" ca="1" si="141"/>
        <v/>
      </c>
      <c r="AM279" s="143" t="str">
        <f t="shared" ca="1" si="142"/>
        <v/>
      </c>
      <c r="AN279" s="143" t="str">
        <f t="shared" ca="1" si="143"/>
        <v/>
      </c>
      <c r="AO279" s="143" t="str">
        <f t="shared" ca="1" si="144"/>
        <v/>
      </c>
      <c r="AP279" s="143" t="str">
        <f t="shared" ca="1" si="145"/>
        <v/>
      </c>
    </row>
    <row r="280" spans="30:42" x14ac:dyDescent="0.55000000000000004">
      <c r="AD280" s="143" t="str">
        <f t="shared" ca="1" si="133"/>
        <v/>
      </c>
      <c r="AE280" s="143" t="str">
        <f t="shared" ca="1" si="134"/>
        <v/>
      </c>
      <c r="AF280" s="143" t="str">
        <f t="shared" ca="1" si="135"/>
        <v/>
      </c>
      <c r="AG280" s="143" t="str">
        <f t="shared" ca="1" si="136"/>
        <v/>
      </c>
      <c r="AH280" s="150" t="str">
        <f t="shared" ca="1" si="137"/>
        <v/>
      </c>
      <c r="AI280" s="143" t="str">
        <f t="shared" ca="1" si="138"/>
        <v/>
      </c>
      <c r="AJ280" s="143" t="str">
        <f t="shared" ca="1" si="139"/>
        <v/>
      </c>
      <c r="AK280" s="143" t="str">
        <f t="shared" ca="1" si="140"/>
        <v/>
      </c>
      <c r="AL280" s="143" t="str">
        <f t="shared" ca="1" si="141"/>
        <v/>
      </c>
      <c r="AM280" s="143" t="str">
        <f t="shared" ca="1" si="142"/>
        <v/>
      </c>
      <c r="AN280" s="143" t="str">
        <f t="shared" ca="1" si="143"/>
        <v/>
      </c>
      <c r="AO280" s="143" t="str">
        <f t="shared" ca="1" si="144"/>
        <v/>
      </c>
      <c r="AP280" s="143" t="str">
        <f t="shared" ca="1" si="145"/>
        <v/>
      </c>
    </row>
    <row r="281" spans="30:42" x14ac:dyDescent="0.55000000000000004">
      <c r="AD281" s="143" t="str">
        <f t="shared" ca="1" si="133"/>
        <v/>
      </c>
      <c r="AE281" s="143" t="str">
        <f t="shared" ca="1" si="134"/>
        <v/>
      </c>
      <c r="AF281" s="143" t="str">
        <f t="shared" ca="1" si="135"/>
        <v/>
      </c>
      <c r="AG281" s="143" t="str">
        <f t="shared" ca="1" si="136"/>
        <v/>
      </c>
      <c r="AH281" s="150" t="str">
        <f t="shared" ca="1" si="137"/>
        <v/>
      </c>
      <c r="AI281" s="143" t="str">
        <f t="shared" ca="1" si="138"/>
        <v/>
      </c>
      <c r="AJ281" s="143" t="str">
        <f t="shared" ca="1" si="139"/>
        <v/>
      </c>
      <c r="AK281" s="143" t="str">
        <f t="shared" ca="1" si="140"/>
        <v/>
      </c>
      <c r="AL281" s="143" t="str">
        <f t="shared" ca="1" si="141"/>
        <v/>
      </c>
      <c r="AM281" s="143" t="str">
        <f t="shared" ca="1" si="142"/>
        <v/>
      </c>
      <c r="AN281" s="143" t="str">
        <f t="shared" ca="1" si="143"/>
        <v/>
      </c>
      <c r="AO281" s="143" t="str">
        <f t="shared" ca="1" si="144"/>
        <v/>
      </c>
      <c r="AP281" s="143" t="str">
        <f t="shared" ca="1" si="145"/>
        <v/>
      </c>
    </row>
    <row r="282" spans="30:42" x14ac:dyDescent="0.55000000000000004">
      <c r="AD282" s="143" t="str">
        <f t="shared" ca="1" si="133"/>
        <v/>
      </c>
      <c r="AE282" s="143" t="str">
        <f t="shared" ca="1" si="134"/>
        <v/>
      </c>
      <c r="AF282" s="143" t="str">
        <f t="shared" ca="1" si="135"/>
        <v/>
      </c>
      <c r="AG282" s="143" t="str">
        <f t="shared" ca="1" si="136"/>
        <v/>
      </c>
      <c r="AH282" s="150" t="str">
        <f t="shared" ca="1" si="137"/>
        <v/>
      </c>
      <c r="AI282" s="143" t="str">
        <f t="shared" ca="1" si="138"/>
        <v/>
      </c>
      <c r="AJ282" s="143" t="str">
        <f t="shared" ca="1" si="139"/>
        <v/>
      </c>
      <c r="AK282" s="143" t="str">
        <f t="shared" ca="1" si="140"/>
        <v/>
      </c>
      <c r="AL282" s="143" t="str">
        <f t="shared" ca="1" si="141"/>
        <v/>
      </c>
      <c r="AM282" s="143" t="str">
        <f t="shared" ca="1" si="142"/>
        <v/>
      </c>
      <c r="AN282" s="143" t="str">
        <f t="shared" ca="1" si="143"/>
        <v/>
      </c>
      <c r="AO282" s="143" t="str">
        <f t="shared" ca="1" si="144"/>
        <v/>
      </c>
      <c r="AP282" s="143" t="str">
        <f t="shared" ca="1" si="145"/>
        <v/>
      </c>
    </row>
    <row r="283" spans="30:42" x14ac:dyDescent="0.55000000000000004">
      <c r="AD283" s="143" t="str">
        <f t="shared" ca="1" si="133"/>
        <v/>
      </c>
      <c r="AE283" s="143" t="str">
        <f t="shared" ca="1" si="134"/>
        <v/>
      </c>
      <c r="AF283" s="143" t="str">
        <f t="shared" ca="1" si="135"/>
        <v/>
      </c>
      <c r="AG283" s="143" t="str">
        <f t="shared" ca="1" si="136"/>
        <v/>
      </c>
      <c r="AH283" s="150" t="str">
        <f t="shared" ca="1" si="137"/>
        <v/>
      </c>
      <c r="AI283" s="143" t="str">
        <f t="shared" ca="1" si="138"/>
        <v/>
      </c>
      <c r="AJ283" s="143" t="str">
        <f t="shared" ca="1" si="139"/>
        <v/>
      </c>
      <c r="AK283" s="143" t="str">
        <f t="shared" ca="1" si="140"/>
        <v/>
      </c>
      <c r="AL283" s="143" t="str">
        <f t="shared" ca="1" si="141"/>
        <v/>
      </c>
      <c r="AM283" s="143" t="str">
        <f t="shared" ca="1" si="142"/>
        <v/>
      </c>
      <c r="AN283" s="143" t="str">
        <f t="shared" ca="1" si="143"/>
        <v/>
      </c>
      <c r="AO283" s="143" t="str">
        <f t="shared" ca="1" si="144"/>
        <v/>
      </c>
      <c r="AP283" s="143" t="str">
        <f t="shared" ca="1" si="145"/>
        <v/>
      </c>
    </row>
    <row r="284" spans="30:42" x14ac:dyDescent="0.55000000000000004">
      <c r="AD284" s="143" t="str">
        <f t="shared" ca="1" si="133"/>
        <v/>
      </c>
      <c r="AE284" s="143" t="str">
        <f t="shared" ca="1" si="134"/>
        <v/>
      </c>
      <c r="AF284" s="143" t="str">
        <f t="shared" ca="1" si="135"/>
        <v/>
      </c>
      <c r="AG284" s="143" t="str">
        <f t="shared" ca="1" si="136"/>
        <v/>
      </c>
      <c r="AH284" s="150" t="str">
        <f t="shared" ca="1" si="137"/>
        <v/>
      </c>
      <c r="AI284" s="143" t="str">
        <f t="shared" ca="1" si="138"/>
        <v/>
      </c>
      <c r="AJ284" s="143" t="str">
        <f t="shared" ca="1" si="139"/>
        <v/>
      </c>
      <c r="AK284" s="143" t="str">
        <f t="shared" ca="1" si="140"/>
        <v/>
      </c>
      <c r="AL284" s="143" t="str">
        <f t="shared" ca="1" si="141"/>
        <v/>
      </c>
      <c r="AM284" s="143" t="str">
        <f t="shared" ca="1" si="142"/>
        <v/>
      </c>
      <c r="AN284" s="143" t="str">
        <f t="shared" ca="1" si="143"/>
        <v/>
      </c>
      <c r="AO284" s="143" t="str">
        <f t="shared" ca="1" si="144"/>
        <v/>
      </c>
      <c r="AP284" s="143" t="str">
        <f t="shared" ca="1" si="145"/>
        <v/>
      </c>
    </row>
    <row r="285" spans="30:42" x14ac:dyDescent="0.55000000000000004">
      <c r="AD285" s="143" t="str">
        <f t="shared" ca="1" si="133"/>
        <v/>
      </c>
      <c r="AE285" s="143" t="str">
        <f t="shared" ca="1" si="134"/>
        <v/>
      </c>
      <c r="AF285" s="143" t="str">
        <f t="shared" ca="1" si="135"/>
        <v/>
      </c>
      <c r="AG285" s="143" t="str">
        <f t="shared" ca="1" si="136"/>
        <v/>
      </c>
      <c r="AH285" s="150" t="str">
        <f t="shared" ca="1" si="137"/>
        <v/>
      </c>
      <c r="AI285" s="143" t="str">
        <f t="shared" ca="1" si="138"/>
        <v/>
      </c>
      <c r="AJ285" s="143" t="str">
        <f t="shared" ca="1" si="139"/>
        <v/>
      </c>
      <c r="AK285" s="143" t="str">
        <f t="shared" ca="1" si="140"/>
        <v/>
      </c>
      <c r="AL285" s="143" t="str">
        <f t="shared" ca="1" si="141"/>
        <v/>
      </c>
      <c r="AM285" s="143" t="str">
        <f t="shared" ca="1" si="142"/>
        <v/>
      </c>
      <c r="AN285" s="143" t="str">
        <f t="shared" ca="1" si="143"/>
        <v/>
      </c>
      <c r="AO285" s="143" t="str">
        <f t="shared" ca="1" si="144"/>
        <v/>
      </c>
      <c r="AP285" s="143" t="str">
        <f t="shared" ca="1" si="145"/>
        <v/>
      </c>
    </row>
    <row r="286" spans="30:42" x14ac:dyDescent="0.55000000000000004">
      <c r="AD286" s="143" t="str">
        <f t="shared" ca="1" si="133"/>
        <v/>
      </c>
      <c r="AE286" s="143" t="str">
        <f t="shared" ca="1" si="134"/>
        <v/>
      </c>
      <c r="AF286" s="143" t="str">
        <f t="shared" ca="1" si="135"/>
        <v/>
      </c>
      <c r="AG286" s="143" t="str">
        <f t="shared" ca="1" si="136"/>
        <v/>
      </c>
      <c r="AH286" s="150" t="str">
        <f t="shared" ca="1" si="137"/>
        <v/>
      </c>
      <c r="AI286" s="143" t="str">
        <f t="shared" ca="1" si="138"/>
        <v/>
      </c>
      <c r="AJ286" s="143" t="str">
        <f t="shared" ca="1" si="139"/>
        <v/>
      </c>
      <c r="AK286" s="143" t="str">
        <f t="shared" ca="1" si="140"/>
        <v/>
      </c>
      <c r="AL286" s="143" t="str">
        <f t="shared" ca="1" si="141"/>
        <v/>
      </c>
      <c r="AM286" s="143" t="str">
        <f t="shared" ca="1" si="142"/>
        <v/>
      </c>
      <c r="AN286" s="143" t="str">
        <f t="shared" ca="1" si="143"/>
        <v/>
      </c>
      <c r="AO286" s="143" t="str">
        <f t="shared" ca="1" si="144"/>
        <v/>
      </c>
      <c r="AP286" s="143" t="str">
        <f t="shared" ca="1" si="145"/>
        <v/>
      </c>
    </row>
    <row r="287" spans="30:42" x14ac:dyDescent="0.55000000000000004">
      <c r="AD287" s="143" t="str">
        <f t="shared" ca="1" si="133"/>
        <v/>
      </c>
      <c r="AE287" s="143" t="str">
        <f t="shared" ca="1" si="134"/>
        <v/>
      </c>
      <c r="AF287" s="143" t="str">
        <f t="shared" ca="1" si="135"/>
        <v/>
      </c>
      <c r="AG287" s="143" t="str">
        <f t="shared" ca="1" si="136"/>
        <v/>
      </c>
      <c r="AH287" s="150" t="str">
        <f t="shared" ca="1" si="137"/>
        <v/>
      </c>
      <c r="AI287" s="143" t="str">
        <f t="shared" ca="1" si="138"/>
        <v/>
      </c>
      <c r="AJ287" s="143" t="str">
        <f t="shared" ca="1" si="139"/>
        <v/>
      </c>
      <c r="AK287" s="143" t="str">
        <f t="shared" ca="1" si="140"/>
        <v/>
      </c>
      <c r="AL287" s="143" t="str">
        <f t="shared" ca="1" si="141"/>
        <v/>
      </c>
      <c r="AM287" s="143" t="str">
        <f t="shared" ca="1" si="142"/>
        <v/>
      </c>
      <c r="AN287" s="143" t="str">
        <f t="shared" ca="1" si="143"/>
        <v/>
      </c>
      <c r="AO287" s="143" t="str">
        <f t="shared" ca="1" si="144"/>
        <v/>
      </c>
      <c r="AP287" s="143" t="str">
        <f t="shared" ca="1" si="145"/>
        <v/>
      </c>
    </row>
    <row r="288" spans="30:42" x14ac:dyDescent="0.55000000000000004">
      <c r="AD288" s="143" t="str">
        <f t="shared" ca="1" si="133"/>
        <v/>
      </c>
      <c r="AE288" s="143" t="str">
        <f t="shared" ca="1" si="134"/>
        <v/>
      </c>
      <c r="AF288" s="143" t="str">
        <f t="shared" ca="1" si="135"/>
        <v/>
      </c>
      <c r="AG288" s="143" t="str">
        <f t="shared" ca="1" si="136"/>
        <v/>
      </c>
      <c r="AH288" s="150" t="str">
        <f t="shared" ca="1" si="137"/>
        <v/>
      </c>
      <c r="AI288" s="143" t="str">
        <f t="shared" ca="1" si="138"/>
        <v/>
      </c>
      <c r="AJ288" s="143" t="str">
        <f t="shared" ca="1" si="139"/>
        <v/>
      </c>
      <c r="AK288" s="143" t="str">
        <f t="shared" ca="1" si="140"/>
        <v/>
      </c>
      <c r="AL288" s="143" t="str">
        <f t="shared" ca="1" si="141"/>
        <v/>
      </c>
      <c r="AM288" s="143" t="str">
        <f t="shared" ca="1" si="142"/>
        <v/>
      </c>
      <c r="AN288" s="143" t="str">
        <f t="shared" ca="1" si="143"/>
        <v/>
      </c>
      <c r="AO288" s="143" t="str">
        <f t="shared" ca="1" si="144"/>
        <v/>
      </c>
      <c r="AP288" s="143" t="str">
        <f t="shared" ca="1" si="145"/>
        <v/>
      </c>
    </row>
    <row r="289" spans="30:42" x14ac:dyDescent="0.55000000000000004">
      <c r="AD289" s="143" t="str">
        <f t="shared" ca="1" si="133"/>
        <v/>
      </c>
      <c r="AE289" s="143" t="str">
        <f t="shared" ca="1" si="134"/>
        <v/>
      </c>
      <c r="AF289" s="143" t="str">
        <f t="shared" ca="1" si="135"/>
        <v/>
      </c>
      <c r="AG289" s="143" t="str">
        <f t="shared" ca="1" si="136"/>
        <v/>
      </c>
      <c r="AH289" s="150" t="str">
        <f t="shared" ca="1" si="137"/>
        <v/>
      </c>
      <c r="AI289" s="143" t="str">
        <f t="shared" ca="1" si="138"/>
        <v/>
      </c>
      <c r="AJ289" s="143" t="str">
        <f t="shared" ca="1" si="139"/>
        <v/>
      </c>
      <c r="AK289" s="143" t="str">
        <f t="shared" ca="1" si="140"/>
        <v/>
      </c>
      <c r="AL289" s="143" t="str">
        <f t="shared" ca="1" si="141"/>
        <v/>
      </c>
      <c r="AM289" s="143" t="str">
        <f t="shared" ca="1" si="142"/>
        <v/>
      </c>
      <c r="AN289" s="143" t="str">
        <f t="shared" ca="1" si="143"/>
        <v/>
      </c>
      <c r="AO289" s="143" t="str">
        <f t="shared" ca="1" si="144"/>
        <v/>
      </c>
      <c r="AP289" s="143" t="str">
        <f t="shared" ca="1" si="145"/>
        <v/>
      </c>
    </row>
    <row r="290" spans="30:42" x14ac:dyDescent="0.55000000000000004">
      <c r="AD290" s="143" t="str">
        <f t="shared" ca="1" si="133"/>
        <v/>
      </c>
      <c r="AE290" s="143" t="str">
        <f t="shared" ca="1" si="134"/>
        <v/>
      </c>
      <c r="AF290" s="143" t="str">
        <f t="shared" ca="1" si="135"/>
        <v/>
      </c>
      <c r="AG290" s="143" t="str">
        <f t="shared" ca="1" si="136"/>
        <v/>
      </c>
      <c r="AH290" s="150" t="str">
        <f t="shared" ca="1" si="137"/>
        <v/>
      </c>
      <c r="AI290" s="143" t="str">
        <f t="shared" ca="1" si="138"/>
        <v/>
      </c>
      <c r="AJ290" s="143" t="str">
        <f t="shared" ca="1" si="139"/>
        <v/>
      </c>
      <c r="AK290" s="143" t="str">
        <f t="shared" ca="1" si="140"/>
        <v/>
      </c>
      <c r="AL290" s="143" t="str">
        <f t="shared" ca="1" si="141"/>
        <v/>
      </c>
      <c r="AM290" s="143" t="str">
        <f t="shared" ca="1" si="142"/>
        <v/>
      </c>
      <c r="AN290" s="143" t="str">
        <f t="shared" ca="1" si="143"/>
        <v/>
      </c>
      <c r="AO290" s="143" t="str">
        <f t="shared" ca="1" si="144"/>
        <v/>
      </c>
      <c r="AP290" s="143" t="str">
        <f t="shared" ca="1" si="145"/>
        <v/>
      </c>
    </row>
    <row r="291" spans="30:42" x14ac:dyDescent="0.55000000000000004">
      <c r="AD291" s="143" t="str">
        <f t="shared" ca="1" si="133"/>
        <v/>
      </c>
      <c r="AE291" s="143" t="str">
        <f t="shared" ca="1" si="134"/>
        <v/>
      </c>
      <c r="AF291" s="143" t="str">
        <f t="shared" ca="1" si="135"/>
        <v/>
      </c>
      <c r="AG291" s="143" t="str">
        <f t="shared" ca="1" si="136"/>
        <v/>
      </c>
      <c r="AH291" s="150" t="str">
        <f t="shared" ca="1" si="137"/>
        <v/>
      </c>
      <c r="AI291" s="143" t="str">
        <f t="shared" ca="1" si="138"/>
        <v/>
      </c>
      <c r="AJ291" s="143" t="str">
        <f t="shared" ca="1" si="139"/>
        <v/>
      </c>
      <c r="AK291" s="143" t="str">
        <f t="shared" ca="1" si="140"/>
        <v/>
      </c>
      <c r="AL291" s="143" t="str">
        <f t="shared" ca="1" si="141"/>
        <v/>
      </c>
      <c r="AM291" s="143" t="str">
        <f t="shared" ca="1" si="142"/>
        <v/>
      </c>
      <c r="AN291" s="143" t="str">
        <f t="shared" ca="1" si="143"/>
        <v/>
      </c>
      <c r="AO291" s="143" t="str">
        <f t="shared" ca="1" si="144"/>
        <v/>
      </c>
      <c r="AP291" s="143" t="str">
        <f t="shared" ca="1" si="145"/>
        <v/>
      </c>
    </row>
    <row r="292" spans="30:42" x14ac:dyDescent="0.55000000000000004">
      <c r="AD292" s="143" t="str">
        <f t="shared" ca="1" si="133"/>
        <v/>
      </c>
      <c r="AE292" s="143" t="str">
        <f t="shared" ca="1" si="134"/>
        <v/>
      </c>
      <c r="AF292" s="143" t="str">
        <f t="shared" ca="1" si="135"/>
        <v/>
      </c>
      <c r="AG292" s="143" t="str">
        <f t="shared" ca="1" si="136"/>
        <v/>
      </c>
      <c r="AH292" s="150" t="str">
        <f t="shared" ca="1" si="137"/>
        <v/>
      </c>
      <c r="AI292" s="143" t="str">
        <f t="shared" ca="1" si="138"/>
        <v/>
      </c>
      <c r="AJ292" s="143" t="str">
        <f t="shared" ca="1" si="139"/>
        <v/>
      </c>
      <c r="AK292" s="143" t="str">
        <f t="shared" ca="1" si="140"/>
        <v/>
      </c>
      <c r="AL292" s="143" t="str">
        <f t="shared" ca="1" si="141"/>
        <v/>
      </c>
      <c r="AM292" s="143" t="str">
        <f t="shared" ca="1" si="142"/>
        <v/>
      </c>
      <c r="AN292" s="143" t="str">
        <f t="shared" ca="1" si="143"/>
        <v/>
      </c>
      <c r="AO292" s="143" t="str">
        <f t="shared" ca="1" si="144"/>
        <v/>
      </c>
      <c r="AP292" s="143" t="str">
        <f t="shared" ca="1" si="145"/>
        <v/>
      </c>
    </row>
    <row r="293" spans="30:42" x14ac:dyDescent="0.55000000000000004">
      <c r="AD293" s="143" t="str">
        <f t="shared" ca="1" si="133"/>
        <v/>
      </c>
      <c r="AE293" s="143" t="str">
        <f t="shared" ca="1" si="134"/>
        <v/>
      </c>
      <c r="AF293" s="143" t="str">
        <f t="shared" ca="1" si="135"/>
        <v/>
      </c>
      <c r="AG293" s="143" t="str">
        <f t="shared" ca="1" si="136"/>
        <v/>
      </c>
      <c r="AH293" s="150" t="str">
        <f t="shared" ca="1" si="137"/>
        <v/>
      </c>
      <c r="AI293" s="143" t="str">
        <f t="shared" ca="1" si="138"/>
        <v/>
      </c>
      <c r="AJ293" s="143" t="str">
        <f t="shared" ca="1" si="139"/>
        <v/>
      </c>
      <c r="AK293" s="143" t="str">
        <f t="shared" ca="1" si="140"/>
        <v/>
      </c>
      <c r="AL293" s="143" t="str">
        <f t="shared" ca="1" si="141"/>
        <v/>
      </c>
      <c r="AM293" s="143" t="str">
        <f t="shared" ca="1" si="142"/>
        <v/>
      </c>
      <c r="AN293" s="143" t="str">
        <f t="shared" ca="1" si="143"/>
        <v/>
      </c>
      <c r="AO293" s="143" t="str">
        <f t="shared" ca="1" si="144"/>
        <v/>
      </c>
      <c r="AP293" s="143" t="str">
        <f t="shared" ca="1" si="145"/>
        <v/>
      </c>
    </row>
    <row r="294" spans="30:42" x14ac:dyDescent="0.55000000000000004">
      <c r="AD294" s="143" t="str">
        <f t="shared" ca="1" si="133"/>
        <v/>
      </c>
      <c r="AE294" s="143" t="str">
        <f t="shared" ca="1" si="134"/>
        <v/>
      </c>
      <c r="AF294" s="143" t="str">
        <f t="shared" ca="1" si="135"/>
        <v/>
      </c>
      <c r="AG294" s="143" t="str">
        <f t="shared" ca="1" si="136"/>
        <v/>
      </c>
      <c r="AH294" s="150" t="str">
        <f t="shared" ca="1" si="137"/>
        <v/>
      </c>
      <c r="AI294" s="143" t="str">
        <f t="shared" ca="1" si="138"/>
        <v/>
      </c>
      <c r="AJ294" s="143" t="str">
        <f t="shared" ca="1" si="139"/>
        <v/>
      </c>
      <c r="AK294" s="143" t="str">
        <f t="shared" ca="1" si="140"/>
        <v/>
      </c>
      <c r="AL294" s="143" t="str">
        <f t="shared" ca="1" si="141"/>
        <v/>
      </c>
      <c r="AM294" s="143" t="str">
        <f t="shared" ca="1" si="142"/>
        <v/>
      </c>
      <c r="AN294" s="143" t="str">
        <f t="shared" ca="1" si="143"/>
        <v/>
      </c>
      <c r="AO294" s="143" t="str">
        <f t="shared" ca="1" si="144"/>
        <v/>
      </c>
      <c r="AP294" s="143" t="str">
        <f t="shared" ca="1" si="145"/>
        <v/>
      </c>
    </row>
    <row r="295" spans="30:42" x14ac:dyDescent="0.55000000000000004">
      <c r="AD295" s="143" t="str">
        <f t="shared" ca="1" si="133"/>
        <v/>
      </c>
      <c r="AE295" s="143" t="str">
        <f t="shared" ca="1" si="134"/>
        <v/>
      </c>
      <c r="AF295" s="143" t="str">
        <f t="shared" ca="1" si="135"/>
        <v/>
      </c>
      <c r="AG295" s="143" t="str">
        <f t="shared" ca="1" si="136"/>
        <v/>
      </c>
      <c r="AH295" s="150" t="str">
        <f t="shared" ca="1" si="137"/>
        <v/>
      </c>
      <c r="AI295" s="143" t="str">
        <f t="shared" ca="1" si="138"/>
        <v/>
      </c>
      <c r="AJ295" s="143" t="str">
        <f t="shared" ca="1" si="139"/>
        <v/>
      </c>
      <c r="AK295" s="143" t="str">
        <f t="shared" ca="1" si="140"/>
        <v/>
      </c>
      <c r="AL295" s="143" t="str">
        <f t="shared" ca="1" si="141"/>
        <v/>
      </c>
      <c r="AM295" s="143" t="str">
        <f t="shared" ca="1" si="142"/>
        <v/>
      </c>
      <c r="AN295" s="143" t="str">
        <f t="shared" ca="1" si="143"/>
        <v/>
      </c>
      <c r="AO295" s="143" t="str">
        <f t="shared" ca="1" si="144"/>
        <v/>
      </c>
      <c r="AP295" s="143" t="str">
        <f t="shared" ca="1" si="145"/>
        <v/>
      </c>
    </row>
    <row r="296" spans="30:42" x14ac:dyDescent="0.55000000000000004">
      <c r="AD296" s="143" t="str">
        <f t="shared" ca="1" si="133"/>
        <v/>
      </c>
      <c r="AE296" s="143" t="str">
        <f t="shared" ca="1" si="134"/>
        <v/>
      </c>
      <c r="AF296" s="143" t="str">
        <f t="shared" ca="1" si="135"/>
        <v/>
      </c>
      <c r="AG296" s="143" t="str">
        <f t="shared" ca="1" si="136"/>
        <v/>
      </c>
      <c r="AH296" s="150" t="str">
        <f t="shared" ca="1" si="137"/>
        <v/>
      </c>
      <c r="AI296" s="143" t="str">
        <f t="shared" ca="1" si="138"/>
        <v/>
      </c>
      <c r="AJ296" s="143" t="str">
        <f t="shared" ca="1" si="139"/>
        <v/>
      </c>
      <c r="AK296" s="143" t="str">
        <f t="shared" ca="1" si="140"/>
        <v/>
      </c>
      <c r="AL296" s="143" t="str">
        <f t="shared" ca="1" si="141"/>
        <v/>
      </c>
      <c r="AM296" s="143" t="str">
        <f t="shared" ca="1" si="142"/>
        <v/>
      </c>
      <c r="AN296" s="143" t="str">
        <f t="shared" ca="1" si="143"/>
        <v/>
      </c>
      <c r="AO296" s="143" t="str">
        <f t="shared" ca="1" si="144"/>
        <v/>
      </c>
      <c r="AP296" s="143" t="str">
        <f t="shared" ca="1" si="145"/>
        <v/>
      </c>
    </row>
    <row r="297" spans="30:42" x14ac:dyDescent="0.55000000000000004">
      <c r="AD297" s="143" t="str">
        <f t="shared" ca="1" si="133"/>
        <v/>
      </c>
      <c r="AE297" s="143" t="str">
        <f t="shared" ca="1" si="134"/>
        <v/>
      </c>
      <c r="AF297" s="143" t="str">
        <f t="shared" ca="1" si="135"/>
        <v/>
      </c>
      <c r="AG297" s="143" t="str">
        <f t="shared" ca="1" si="136"/>
        <v/>
      </c>
      <c r="AH297" s="150" t="str">
        <f t="shared" ca="1" si="137"/>
        <v/>
      </c>
      <c r="AI297" s="143" t="str">
        <f t="shared" ca="1" si="138"/>
        <v/>
      </c>
      <c r="AJ297" s="143" t="str">
        <f t="shared" ca="1" si="139"/>
        <v/>
      </c>
      <c r="AK297" s="143" t="str">
        <f t="shared" ca="1" si="140"/>
        <v/>
      </c>
      <c r="AL297" s="143" t="str">
        <f t="shared" ca="1" si="141"/>
        <v/>
      </c>
      <c r="AM297" s="143" t="str">
        <f t="shared" ca="1" si="142"/>
        <v/>
      </c>
      <c r="AN297" s="143" t="str">
        <f t="shared" ca="1" si="143"/>
        <v/>
      </c>
      <c r="AO297" s="143" t="str">
        <f t="shared" ca="1" si="144"/>
        <v/>
      </c>
      <c r="AP297" s="143" t="str">
        <f t="shared" ca="1" si="145"/>
        <v/>
      </c>
    </row>
    <row r="298" spans="30:42" x14ac:dyDescent="0.55000000000000004">
      <c r="AD298" s="143" t="str">
        <f t="shared" ca="1" si="133"/>
        <v/>
      </c>
      <c r="AE298" s="143" t="str">
        <f t="shared" ca="1" si="134"/>
        <v/>
      </c>
      <c r="AF298" s="143" t="str">
        <f t="shared" ca="1" si="135"/>
        <v/>
      </c>
      <c r="AG298" s="143" t="str">
        <f t="shared" ca="1" si="136"/>
        <v/>
      </c>
      <c r="AH298" s="150" t="str">
        <f t="shared" ca="1" si="137"/>
        <v/>
      </c>
      <c r="AI298" s="143" t="str">
        <f t="shared" ca="1" si="138"/>
        <v/>
      </c>
      <c r="AJ298" s="143" t="str">
        <f t="shared" ca="1" si="139"/>
        <v/>
      </c>
      <c r="AK298" s="143" t="str">
        <f t="shared" ca="1" si="140"/>
        <v/>
      </c>
      <c r="AL298" s="143" t="str">
        <f t="shared" ca="1" si="141"/>
        <v/>
      </c>
      <c r="AM298" s="143" t="str">
        <f t="shared" ca="1" si="142"/>
        <v/>
      </c>
      <c r="AN298" s="143" t="str">
        <f t="shared" ca="1" si="143"/>
        <v/>
      </c>
      <c r="AO298" s="143" t="str">
        <f t="shared" ca="1" si="144"/>
        <v/>
      </c>
      <c r="AP298" s="143" t="str">
        <f t="shared" ca="1" si="145"/>
        <v/>
      </c>
    </row>
    <row r="299" spans="30:42" x14ac:dyDescent="0.55000000000000004">
      <c r="AD299" s="143" t="str">
        <f t="shared" ca="1" si="133"/>
        <v/>
      </c>
      <c r="AE299" s="143" t="str">
        <f t="shared" ca="1" si="134"/>
        <v/>
      </c>
      <c r="AF299" s="143" t="str">
        <f t="shared" ca="1" si="135"/>
        <v/>
      </c>
      <c r="AG299" s="143" t="str">
        <f t="shared" ca="1" si="136"/>
        <v/>
      </c>
      <c r="AH299" s="150" t="str">
        <f t="shared" ca="1" si="137"/>
        <v/>
      </c>
      <c r="AI299" s="143" t="str">
        <f t="shared" ca="1" si="138"/>
        <v/>
      </c>
      <c r="AJ299" s="143" t="str">
        <f t="shared" ca="1" si="139"/>
        <v/>
      </c>
      <c r="AK299" s="143" t="str">
        <f t="shared" ca="1" si="140"/>
        <v/>
      </c>
      <c r="AL299" s="143" t="str">
        <f t="shared" ca="1" si="141"/>
        <v/>
      </c>
      <c r="AM299" s="143" t="str">
        <f t="shared" ca="1" si="142"/>
        <v/>
      </c>
      <c r="AN299" s="143" t="str">
        <f t="shared" ca="1" si="143"/>
        <v/>
      </c>
      <c r="AO299" s="143" t="str">
        <f t="shared" ca="1" si="144"/>
        <v/>
      </c>
      <c r="AP299" s="143" t="str">
        <f t="shared" ca="1" si="145"/>
        <v/>
      </c>
    </row>
    <row r="300" spans="30:42" x14ac:dyDescent="0.55000000000000004">
      <c r="AD300" s="143" t="str">
        <f t="shared" ca="1" si="133"/>
        <v/>
      </c>
      <c r="AE300" s="143" t="str">
        <f t="shared" ca="1" si="134"/>
        <v/>
      </c>
      <c r="AF300" s="143" t="str">
        <f t="shared" ca="1" si="135"/>
        <v/>
      </c>
      <c r="AG300" s="143" t="str">
        <f t="shared" ca="1" si="136"/>
        <v/>
      </c>
      <c r="AH300" s="150" t="str">
        <f t="shared" ca="1" si="137"/>
        <v/>
      </c>
      <c r="AI300" s="143" t="str">
        <f t="shared" ca="1" si="138"/>
        <v/>
      </c>
      <c r="AJ300" s="143" t="str">
        <f t="shared" ca="1" si="139"/>
        <v/>
      </c>
      <c r="AK300" s="143" t="str">
        <f t="shared" ca="1" si="140"/>
        <v/>
      </c>
      <c r="AL300" s="143" t="str">
        <f t="shared" ca="1" si="141"/>
        <v/>
      </c>
      <c r="AM300" s="143" t="str">
        <f t="shared" ca="1" si="142"/>
        <v/>
      </c>
      <c r="AN300" s="143" t="str">
        <f t="shared" ca="1" si="143"/>
        <v/>
      </c>
      <c r="AO300" s="143" t="str">
        <f t="shared" ca="1" si="144"/>
        <v/>
      </c>
      <c r="AP300" s="143" t="str">
        <f t="shared" ca="1" si="145"/>
        <v/>
      </c>
    </row>
    <row r="301" spans="30:42" x14ac:dyDescent="0.55000000000000004">
      <c r="AD301" s="143" t="str">
        <f t="shared" ca="1" si="133"/>
        <v/>
      </c>
      <c r="AE301" s="143" t="str">
        <f t="shared" ca="1" si="134"/>
        <v/>
      </c>
      <c r="AF301" s="143" t="str">
        <f t="shared" ca="1" si="135"/>
        <v/>
      </c>
      <c r="AG301" s="143" t="str">
        <f t="shared" ca="1" si="136"/>
        <v/>
      </c>
      <c r="AH301" s="150" t="str">
        <f t="shared" ca="1" si="137"/>
        <v/>
      </c>
      <c r="AI301" s="143" t="str">
        <f t="shared" ca="1" si="138"/>
        <v/>
      </c>
      <c r="AJ301" s="143" t="str">
        <f t="shared" ca="1" si="139"/>
        <v/>
      </c>
      <c r="AK301" s="143" t="str">
        <f t="shared" ca="1" si="140"/>
        <v/>
      </c>
      <c r="AL301" s="143" t="str">
        <f t="shared" ca="1" si="141"/>
        <v/>
      </c>
      <c r="AM301" s="143" t="str">
        <f t="shared" ca="1" si="142"/>
        <v/>
      </c>
      <c r="AN301" s="143" t="str">
        <f t="shared" ca="1" si="143"/>
        <v/>
      </c>
      <c r="AO301" s="143" t="str">
        <f t="shared" ca="1" si="144"/>
        <v/>
      </c>
      <c r="AP301" s="143" t="str">
        <f t="shared" ca="1" si="145"/>
        <v/>
      </c>
    </row>
    <row r="302" spans="30:42" x14ac:dyDescent="0.55000000000000004">
      <c r="AD302" s="143" t="str">
        <f t="shared" ref="AD302:AD333" ca="1" si="146">IFERROR(INDEX(AC:AC,MATCH(SMALL($AU:$AU,ROW()+3),$AU:$AU,0)),"")</f>
        <v/>
      </c>
      <c r="AE302" s="143" t="str">
        <f t="shared" ref="AE302:AE333" ca="1" si="147">IFERROR(INDEX(R:R,MATCH(SMALL($AU:$AU,ROW()+3),$AU:$AU,0)),"")</f>
        <v/>
      </c>
      <c r="AF302" s="143" t="str">
        <f t="shared" ref="AF302:AF333" ca="1" si="148">IFERROR(INDEX(S:S,MATCH(SMALL($AU:$AU,ROW()+3),$AU:$AU,0)),"")</f>
        <v/>
      </c>
      <c r="AG302" s="143" t="str">
        <f t="shared" ref="AG302:AG333" ca="1" si="149">IFERROR(INDEX(T:T,MATCH(SMALL($AU:$AU,ROW()+3),$AU:$AU,0)),"")</f>
        <v/>
      </c>
      <c r="AH302" s="150" t="str">
        <f t="shared" ref="AH302:AH333" ca="1" si="150">IFERROR(INDEX(U:U,MATCH(SMALL($AU:$AU,ROW()+3),$AU:$AU,0)),"")</f>
        <v/>
      </c>
      <c r="AI302" s="143" t="str">
        <f t="shared" ref="AI302:AI333" ca="1" si="151">IFERROR(INDEX(V:V,MATCH(SMALL($AU:$AU,ROW()+3),$AU:$AU,0)),"")</f>
        <v/>
      </c>
      <c r="AJ302" s="143" t="str">
        <f t="shared" ref="AJ302:AJ333" ca="1" si="152">IFERROR(INDEX(W:W,MATCH(SMALL($AU:$AU,ROW()+3),$AU:$AU,0)),"")</f>
        <v/>
      </c>
      <c r="AK302" s="143" t="str">
        <f t="shared" ref="AK302:AK333" ca="1" si="153">IFERROR(INDEX(X:X,MATCH(SMALL($AU:$AU,ROW()+3),$AU:$AU,0)),"")</f>
        <v/>
      </c>
      <c r="AL302" s="143" t="str">
        <f t="shared" ref="AL302:AL333" ca="1" si="154">IFERROR(INDEX(Y:Y,MATCH(SMALL($AU:$AU,ROW()+3),$AU:$AU,0)),"")</f>
        <v/>
      </c>
      <c r="AM302" s="143" t="str">
        <f t="shared" ref="AM302:AM333" ca="1" si="155">IFERROR(INDEX(Z:Z,MATCH(SMALL($AU:$AU,ROW()+3),$AU:$AU,0)),"")</f>
        <v/>
      </c>
      <c r="AN302" s="143" t="str">
        <f t="shared" ref="AN302:AN333" ca="1" si="156">IFERROR(INDEX(AA:AA,MATCH(SMALL($AU:$AU,ROW()+3),$AU:$AU,0)),"")</f>
        <v/>
      </c>
      <c r="AO302" s="143" t="str">
        <f t="shared" ref="AO302:AO333" ca="1" si="157">IFERROR(INDEX(AB:AB,MATCH(SMALL($AU:$AU,ROW()+3),$AU:$AU,0)),"")</f>
        <v/>
      </c>
      <c r="AP302" s="143" t="str">
        <f t="shared" ref="AP302:AP333" ca="1" si="158">IFERROR(INDEX(AC:AC,MATCH(SMALL($AU:$AU,ROW()+3),$AU:$AU,0)),"")</f>
        <v/>
      </c>
    </row>
    <row r="303" spans="30:42" x14ac:dyDescent="0.55000000000000004">
      <c r="AD303" s="143" t="str">
        <f t="shared" ca="1" si="146"/>
        <v/>
      </c>
      <c r="AE303" s="143" t="str">
        <f t="shared" ca="1" si="147"/>
        <v/>
      </c>
      <c r="AF303" s="143" t="str">
        <f t="shared" ca="1" si="148"/>
        <v/>
      </c>
      <c r="AG303" s="143" t="str">
        <f t="shared" ca="1" si="149"/>
        <v/>
      </c>
      <c r="AH303" s="150" t="str">
        <f t="shared" ca="1" si="150"/>
        <v/>
      </c>
      <c r="AI303" s="143" t="str">
        <f t="shared" ca="1" si="151"/>
        <v/>
      </c>
      <c r="AJ303" s="143" t="str">
        <f t="shared" ca="1" si="152"/>
        <v/>
      </c>
      <c r="AK303" s="143" t="str">
        <f t="shared" ca="1" si="153"/>
        <v/>
      </c>
      <c r="AL303" s="143" t="str">
        <f t="shared" ca="1" si="154"/>
        <v/>
      </c>
      <c r="AM303" s="143" t="str">
        <f t="shared" ca="1" si="155"/>
        <v/>
      </c>
      <c r="AN303" s="143" t="str">
        <f t="shared" ca="1" si="156"/>
        <v/>
      </c>
      <c r="AO303" s="143" t="str">
        <f t="shared" ca="1" si="157"/>
        <v/>
      </c>
      <c r="AP303" s="143" t="str">
        <f t="shared" ca="1" si="158"/>
        <v/>
      </c>
    </row>
    <row r="304" spans="30:42" x14ac:dyDescent="0.55000000000000004">
      <c r="AD304" s="143" t="str">
        <f t="shared" ca="1" si="146"/>
        <v/>
      </c>
      <c r="AE304" s="143" t="str">
        <f t="shared" ca="1" si="147"/>
        <v/>
      </c>
      <c r="AF304" s="143" t="str">
        <f t="shared" ca="1" si="148"/>
        <v/>
      </c>
      <c r="AG304" s="143" t="str">
        <f t="shared" ca="1" si="149"/>
        <v/>
      </c>
      <c r="AH304" s="150" t="str">
        <f t="shared" ca="1" si="150"/>
        <v/>
      </c>
      <c r="AI304" s="143" t="str">
        <f t="shared" ca="1" si="151"/>
        <v/>
      </c>
      <c r="AJ304" s="143" t="str">
        <f t="shared" ca="1" si="152"/>
        <v/>
      </c>
      <c r="AK304" s="143" t="str">
        <f t="shared" ca="1" si="153"/>
        <v/>
      </c>
      <c r="AL304" s="143" t="str">
        <f t="shared" ca="1" si="154"/>
        <v/>
      </c>
      <c r="AM304" s="143" t="str">
        <f t="shared" ca="1" si="155"/>
        <v/>
      </c>
      <c r="AN304" s="143" t="str">
        <f t="shared" ca="1" si="156"/>
        <v/>
      </c>
      <c r="AO304" s="143" t="str">
        <f t="shared" ca="1" si="157"/>
        <v/>
      </c>
      <c r="AP304" s="143" t="str">
        <f t="shared" ca="1" si="158"/>
        <v/>
      </c>
    </row>
    <row r="305" spans="30:42" x14ac:dyDescent="0.55000000000000004">
      <c r="AD305" s="143" t="str">
        <f t="shared" ca="1" si="146"/>
        <v/>
      </c>
      <c r="AE305" s="143" t="str">
        <f t="shared" ca="1" si="147"/>
        <v/>
      </c>
      <c r="AF305" s="143" t="str">
        <f t="shared" ca="1" si="148"/>
        <v/>
      </c>
      <c r="AG305" s="143" t="str">
        <f t="shared" ca="1" si="149"/>
        <v/>
      </c>
      <c r="AH305" s="150" t="str">
        <f t="shared" ca="1" si="150"/>
        <v/>
      </c>
      <c r="AI305" s="143" t="str">
        <f t="shared" ca="1" si="151"/>
        <v/>
      </c>
      <c r="AJ305" s="143" t="str">
        <f t="shared" ca="1" si="152"/>
        <v/>
      </c>
      <c r="AK305" s="143" t="str">
        <f t="shared" ca="1" si="153"/>
        <v/>
      </c>
      <c r="AL305" s="143" t="str">
        <f t="shared" ca="1" si="154"/>
        <v/>
      </c>
      <c r="AM305" s="143" t="str">
        <f t="shared" ca="1" si="155"/>
        <v/>
      </c>
      <c r="AN305" s="143" t="str">
        <f t="shared" ca="1" si="156"/>
        <v/>
      </c>
      <c r="AO305" s="143" t="str">
        <f t="shared" ca="1" si="157"/>
        <v/>
      </c>
      <c r="AP305" s="143" t="str">
        <f t="shared" ca="1" si="158"/>
        <v/>
      </c>
    </row>
    <row r="306" spans="30:42" x14ac:dyDescent="0.55000000000000004">
      <c r="AD306" s="143" t="str">
        <f t="shared" ca="1" si="146"/>
        <v/>
      </c>
      <c r="AE306" s="143" t="str">
        <f t="shared" ca="1" si="147"/>
        <v/>
      </c>
      <c r="AF306" s="143" t="str">
        <f t="shared" ca="1" si="148"/>
        <v/>
      </c>
      <c r="AG306" s="143" t="str">
        <f t="shared" ca="1" si="149"/>
        <v/>
      </c>
      <c r="AH306" s="150" t="str">
        <f t="shared" ca="1" si="150"/>
        <v/>
      </c>
      <c r="AI306" s="143" t="str">
        <f t="shared" ca="1" si="151"/>
        <v/>
      </c>
      <c r="AJ306" s="143" t="str">
        <f t="shared" ca="1" si="152"/>
        <v/>
      </c>
      <c r="AK306" s="143" t="str">
        <f t="shared" ca="1" si="153"/>
        <v/>
      </c>
      <c r="AL306" s="143" t="str">
        <f t="shared" ca="1" si="154"/>
        <v/>
      </c>
      <c r="AM306" s="143" t="str">
        <f t="shared" ca="1" si="155"/>
        <v/>
      </c>
      <c r="AN306" s="143" t="str">
        <f t="shared" ca="1" si="156"/>
        <v/>
      </c>
      <c r="AO306" s="143" t="str">
        <f t="shared" ca="1" si="157"/>
        <v/>
      </c>
      <c r="AP306" s="143" t="str">
        <f t="shared" ca="1" si="158"/>
        <v/>
      </c>
    </row>
    <row r="307" spans="30:42" x14ac:dyDescent="0.55000000000000004">
      <c r="AD307" s="143" t="str">
        <f t="shared" ca="1" si="146"/>
        <v/>
      </c>
      <c r="AE307" s="143" t="str">
        <f t="shared" ca="1" si="147"/>
        <v/>
      </c>
      <c r="AF307" s="143" t="str">
        <f t="shared" ca="1" si="148"/>
        <v/>
      </c>
      <c r="AG307" s="143" t="str">
        <f t="shared" ca="1" si="149"/>
        <v/>
      </c>
      <c r="AH307" s="150" t="str">
        <f t="shared" ca="1" si="150"/>
        <v/>
      </c>
      <c r="AI307" s="143" t="str">
        <f t="shared" ca="1" si="151"/>
        <v/>
      </c>
      <c r="AJ307" s="143" t="str">
        <f t="shared" ca="1" si="152"/>
        <v/>
      </c>
      <c r="AK307" s="143" t="str">
        <f t="shared" ca="1" si="153"/>
        <v/>
      </c>
      <c r="AL307" s="143" t="str">
        <f t="shared" ca="1" si="154"/>
        <v/>
      </c>
      <c r="AM307" s="143" t="str">
        <f t="shared" ca="1" si="155"/>
        <v/>
      </c>
      <c r="AN307" s="143" t="str">
        <f t="shared" ca="1" si="156"/>
        <v/>
      </c>
      <c r="AO307" s="143" t="str">
        <f t="shared" ca="1" si="157"/>
        <v/>
      </c>
      <c r="AP307" s="143" t="str">
        <f t="shared" ca="1" si="158"/>
        <v/>
      </c>
    </row>
    <row r="308" spans="30:42" x14ac:dyDescent="0.55000000000000004">
      <c r="AD308" s="143" t="str">
        <f t="shared" ca="1" si="146"/>
        <v/>
      </c>
      <c r="AE308" s="143" t="str">
        <f t="shared" ca="1" si="147"/>
        <v/>
      </c>
      <c r="AF308" s="143" t="str">
        <f t="shared" ca="1" si="148"/>
        <v/>
      </c>
      <c r="AG308" s="143" t="str">
        <f t="shared" ca="1" si="149"/>
        <v/>
      </c>
      <c r="AH308" s="150" t="str">
        <f t="shared" ca="1" si="150"/>
        <v/>
      </c>
      <c r="AI308" s="143" t="str">
        <f t="shared" ca="1" si="151"/>
        <v/>
      </c>
      <c r="AJ308" s="143" t="str">
        <f t="shared" ca="1" si="152"/>
        <v/>
      </c>
      <c r="AK308" s="143" t="str">
        <f t="shared" ca="1" si="153"/>
        <v/>
      </c>
      <c r="AL308" s="143" t="str">
        <f t="shared" ca="1" si="154"/>
        <v/>
      </c>
      <c r="AM308" s="143" t="str">
        <f t="shared" ca="1" si="155"/>
        <v/>
      </c>
      <c r="AN308" s="143" t="str">
        <f t="shared" ca="1" si="156"/>
        <v/>
      </c>
      <c r="AO308" s="143" t="str">
        <f t="shared" ca="1" si="157"/>
        <v/>
      </c>
      <c r="AP308" s="143" t="str">
        <f t="shared" ca="1" si="158"/>
        <v/>
      </c>
    </row>
    <row r="309" spans="30:42" x14ac:dyDescent="0.55000000000000004">
      <c r="AD309" s="143" t="str">
        <f t="shared" ca="1" si="146"/>
        <v/>
      </c>
      <c r="AE309" s="143" t="str">
        <f t="shared" ca="1" si="147"/>
        <v/>
      </c>
      <c r="AF309" s="143" t="str">
        <f t="shared" ca="1" si="148"/>
        <v/>
      </c>
      <c r="AG309" s="143" t="str">
        <f t="shared" ca="1" si="149"/>
        <v/>
      </c>
      <c r="AH309" s="150" t="str">
        <f t="shared" ca="1" si="150"/>
        <v/>
      </c>
      <c r="AI309" s="143" t="str">
        <f t="shared" ca="1" si="151"/>
        <v/>
      </c>
      <c r="AJ309" s="143" t="str">
        <f t="shared" ca="1" si="152"/>
        <v/>
      </c>
      <c r="AK309" s="143" t="str">
        <f t="shared" ca="1" si="153"/>
        <v/>
      </c>
      <c r="AL309" s="143" t="str">
        <f t="shared" ca="1" si="154"/>
        <v/>
      </c>
      <c r="AM309" s="143" t="str">
        <f t="shared" ca="1" si="155"/>
        <v/>
      </c>
      <c r="AN309" s="143" t="str">
        <f t="shared" ca="1" si="156"/>
        <v/>
      </c>
      <c r="AO309" s="143" t="str">
        <f t="shared" ca="1" si="157"/>
        <v/>
      </c>
      <c r="AP309" s="143" t="str">
        <f t="shared" ca="1" si="158"/>
        <v/>
      </c>
    </row>
    <row r="310" spans="30:42" x14ac:dyDescent="0.55000000000000004">
      <c r="AD310" s="143" t="str">
        <f t="shared" ca="1" si="146"/>
        <v/>
      </c>
      <c r="AE310" s="143" t="str">
        <f t="shared" ca="1" si="147"/>
        <v/>
      </c>
      <c r="AF310" s="143" t="str">
        <f t="shared" ca="1" si="148"/>
        <v/>
      </c>
      <c r="AG310" s="143" t="str">
        <f t="shared" ca="1" si="149"/>
        <v/>
      </c>
      <c r="AH310" s="150" t="str">
        <f t="shared" ca="1" si="150"/>
        <v/>
      </c>
      <c r="AI310" s="143" t="str">
        <f t="shared" ca="1" si="151"/>
        <v/>
      </c>
      <c r="AJ310" s="143" t="str">
        <f t="shared" ca="1" si="152"/>
        <v/>
      </c>
      <c r="AK310" s="143" t="str">
        <f t="shared" ca="1" si="153"/>
        <v/>
      </c>
      <c r="AL310" s="143" t="str">
        <f t="shared" ca="1" si="154"/>
        <v/>
      </c>
      <c r="AM310" s="143" t="str">
        <f t="shared" ca="1" si="155"/>
        <v/>
      </c>
      <c r="AN310" s="143" t="str">
        <f t="shared" ca="1" si="156"/>
        <v/>
      </c>
      <c r="AO310" s="143" t="str">
        <f t="shared" ca="1" si="157"/>
        <v/>
      </c>
      <c r="AP310" s="143" t="str">
        <f t="shared" ca="1" si="158"/>
        <v/>
      </c>
    </row>
    <row r="311" spans="30:42" x14ac:dyDescent="0.55000000000000004">
      <c r="AD311" s="143" t="str">
        <f t="shared" ca="1" si="146"/>
        <v/>
      </c>
      <c r="AE311" s="143" t="str">
        <f t="shared" ca="1" si="147"/>
        <v/>
      </c>
      <c r="AF311" s="143" t="str">
        <f t="shared" ca="1" si="148"/>
        <v/>
      </c>
      <c r="AG311" s="143" t="str">
        <f t="shared" ca="1" si="149"/>
        <v/>
      </c>
      <c r="AH311" s="150" t="str">
        <f t="shared" ca="1" si="150"/>
        <v/>
      </c>
      <c r="AI311" s="143" t="str">
        <f t="shared" ca="1" si="151"/>
        <v/>
      </c>
      <c r="AJ311" s="143" t="str">
        <f t="shared" ca="1" si="152"/>
        <v/>
      </c>
      <c r="AK311" s="143" t="str">
        <f t="shared" ca="1" si="153"/>
        <v/>
      </c>
      <c r="AL311" s="143" t="str">
        <f t="shared" ca="1" si="154"/>
        <v/>
      </c>
      <c r="AM311" s="143" t="str">
        <f t="shared" ca="1" si="155"/>
        <v/>
      </c>
      <c r="AN311" s="143" t="str">
        <f t="shared" ca="1" si="156"/>
        <v/>
      </c>
      <c r="AO311" s="143" t="str">
        <f t="shared" ca="1" si="157"/>
        <v/>
      </c>
      <c r="AP311" s="143" t="str">
        <f t="shared" ca="1" si="158"/>
        <v/>
      </c>
    </row>
    <row r="312" spans="30:42" x14ac:dyDescent="0.55000000000000004">
      <c r="AD312" s="143" t="str">
        <f t="shared" ca="1" si="146"/>
        <v/>
      </c>
      <c r="AE312" s="143" t="str">
        <f t="shared" ca="1" si="147"/>
        <v/>
      </c>
      <c r="AF312" s="143" t="str">
        <f t="shared" ca="1" si="148"/>
        <v/>
      </c>
      <c r="AG312" s="143" t="str">
        <f t="shared" ca="1" si="149"/>
        <v/>
      </c>
      <c r="AH312" s="150" t="str">
        <f t="shared" ca="1" si="150"/>
        <v/>
      </c>
      <c r="AI312" s="143" t="str">
        <f t="shared" ca="1" si="151"/>
        <v/>
      </c>
      <c r="AJ312" s="143" t="str">
        <f t="shared" ca="1" si="152"/>
        <v/>
      </c>
      <c r="AK312" s="143" t="str">
        <f t="shared" ca="1" si="153"/>
        <v/>
      </c>
      <c r="AL312" s="143" t="str">
        <f t="shared" ca="1" si="154"/>
        <v/>
      </c>
      <c r="AM312" s="143" t="str">
        <f t="shared" ca="1" si="155"/>
        <v/>
      </c>
      <c r="AN312" s="143" t="str">
        <f t="shared" ca="1" si="156"/>
        <v/>
      </c>
      <c r="AO312" s="143" t="str">
        <f t="shared" ca="1" si="157"/>
        <v/>
      </c>
      <c r="AP312" s="143" t="str">
        <f t="shared" ca="1" si="158"/>
        <v/>
      </c>
    </row>
    <row r="313" spans="30:42" x14ac:dyDescent="0.55000000000000004">
      <c r="AD313" s="143" t="str">
        <f t="shared" ca="1" si="146"/>
        <v/>
      </c>
      <c r="AE313" s="143" t="str">
        <f t="shared" ca="1" si="147"/>
        <v/>
      </c>
      <c r="AF313" s="143" t="str">
        <f t="shared" ca="1" si="148"/>
        <v/>
      </c>
      <c r="AG313" s="143" t="str">
        <f t="shared" ca="1" si="149"/>
        <v/>
      </c>
      <c r="AH313" s="150" t="str">
        <f t="shared" ca="1" si="150"/>
        <v/>
      </c>
      <c r="AI313" s="143" t="str">
        <f t="shared" ca="1" si="151"/>
        <v/>
      </c>
      <c r="AJ313" s="143" t="str">
        <f t="shared" ca="1" si="152"/>
        <v/>
      </c>
      <c r="AK313" s="143" t="str">
        <f t="shared" ca="1" si="153"/>
        <v/>
      </c>
      <c r="AL313" s="143" t="str">
        <f t="shared" ca="1" si="154"/>
        <v/>
      </c>
      <c r="AM313" s="143" t="str">
        <f t="shared" ca="1" si="155"/>
        <v/>
      </c>
      <c r="AN313" s="143" t="str">
        <f t="shared" ca="1" si="156"/>
        <v/>
      </c>
      <c r="AO313" s="143" t="str">
        <f t="shared" ca="1" si="157"/>
        <v/>
      </c>
      <c r="AP313" s="143" t="str">
        <f t="shared" ca="1" si="158"/>
        <v/>
      </c>
    </row>
    <row r="314" spans="30:42" x14ac:dyDescent="0.55000000000000004">
      <c r="AD314" s="143" t="str">
        <f t="shared" ca="1" si="146"/>
        <v/>
      </c>
      <c r="AE314" s="143" t="str">
        <f t="shared" ca="1" si="147"/>
        <v/>
      </c>
      <c r="AF314" s="143" t="str">
        <f t="shared" ca="1" si="148"/>
        <v/>
      </c>
      <c r="AG314" s="143" t="str">
        <f t="shared" ca="1" si="149"/>
        <v/>
      </c>
      <c r="AH314" s="150" t="str">
        <f t="shared" ca="1" si="150"/>
        <v/>
      </c>
      <c r="AI314" s="143" t="str">
        <f t="shared" ca="1" si="151"/>
        <v/>
      </c>
      <c r="AJ314" s="143" t="str">
        <f t="shared" ca="1" si="152"/>
        <v/>
      </c>
      <c r="AK314" s="143" t="str">
        <f t="shared" ca="1" si="153"/>
        <v/>
      </c>
      <c r="AL314" s="143" t="str">
        <f t="shared" ca="1" si="154"/>
        <v/>
      </c>
      <c r="AM314" s="143" t="str">
        <f t="shared" ca="1" si="155"/>
        <v/>
      </c>
      <c r="AN314" s="143" t="str">
        <f t="shared" ca="1" si="156"/>
        <v/>
      </c>
      <c r="AO314" s="143" t="str">
        <f t="shared" ca="1" si="157"/>
        <v/>
      </c>
      <c r="AP314" s="143" t="str">
        <f t="shared" ca="1" si="158"/>
        <v/>
      </c>
    </row>
    <row r="315" spans="30:42" x14ac:dyDescent="0.55000000000000004">
      <c r="AD315" s="143" t="str">
        <f t="shared" ca="1" si="146"/>
        <v/>
      </c>
      <c r="AE315" s="143" t="str">
        <f t="shared" ca="1" si="147"/>
        <v/>
      </c>
      <c r="AF315" s="143" t="str">
        <f t="shared" ca="1" si="148"/>
        <v/>
      </c>
      <c r="AG315" s="143" t="str">
        <f t="shared" ca="1" si="149"/>
        <v/>
      </c>
      <c r="AH315" s="150" t="str">
        <f t="shared" ca="1" si="150"/>
        <v/>
      </c>
      <c r="AI315" s="143" t="str">
        <f t="shared" ca="1" si="151"/>
        <v/>
      </c>
      <c r="AJ315" s="143" t="str">
        <f t="shared" ca="1" si="152"/>
        <v/>
      </c>
      <c r="AK315" s="143" t="str">
        <f t="shared" ca="1" si="153"/>
        <v/>
      </c>
      <c r="AL315" s="143" t="str">
        <f t="shared" ca="1" si="154"/>
        <v/>
      </c>
      <c r="AM315" s="143" t="str">
        <f t="shared" ca="1" si="155"/>
        <v/>
      </c>
      <c r="AN315" s="143" t="str">
        <f t="shared" ca="1" si="156"/>
        <v/>
      </c>
      <c r="AO315" s="143" t="str">
        <f t="shared" ca="1" si="157"/>
        <v/>
      </c>
      <c r="AP315" s="143" t="str">
        <f t="shared" ca="1" si="158"/>
        <v/>
      </c>
    </row>
    <row r="316" spans="30:42" x14ac:dyDescent="0.55000000000000004">
      <c r="AD316" s="143" t="str">
        <f t="shared" ca="1" si="146"/>
        <v/>
      </c>
      <c r="AE316" s="143" t="str">
        <f t="shared" ca="1" si="147"/>
        <v/>
      </c>
      <c r="AF316" s="143" t="str">
        <f t="shared" ca="1" si="148"/>
        <v/>
      </c>
      <c r="AG316" s="143" t="str">
        <f t="shared" ca="1" si="149"/>
        <v/>
      </c>
      <c r="AH316" s="150" t="str">
        <f t="shared" ca="1" si="150"/>
        <v/>
      </c>
      <c r="AI316" s="143" t="str">
        <f t="shared" ca="1" si="151"/>
        <v/>
      </c>
      <c r="AJ316" s="143" t="str">
        <f t="shared" ca="1" si="152"/>
        <v/>
      </c>
      <c r="AK316" s="143" t="str">
        <f t="shared" ca="1" si="153"/>
        <v/>
      </c>
      <c r="AL316" s="143" t="str">
        <f t="shared" ca="1" si="154"/>
        <v/>
      </c>
      <c r="AM316" s="143" t="str">
        <f t="shared" ca="1" si="155"/>
        <v/>
      </c>
      <c r="AN316" s="143" t="str">
        <f t="shared" ca="1" si="156"/>
        <v/>
      </c>
      <c r="AO316" s="143" t="str">
        <f t="shared" ca="1" si="157"/>
        <v/>
      </c>
      <c r="AP316" s="143" t="str">
        <f t="shared" ca="1" si="158"/>
        <v/>
      </c>
    </row>
    <row r="317" spans="30:42" x14ac:dyDescent="0.55000000000000004">
      <c r="AD317" s="143" t="str">
        <f t="shared" ca="1" si="146"/>
        <v/>
      </c>
      <c r="AE317" s="143" t="str">
        <f t="shared" ca="1" si="147"/>
        <v/>
      </c>
      <c r="AF317" s="143" t="str">
        <f t="shared" ca="1" si="148"/>
        <v/>
      </c>
      <c r="AG317" s="143" t="str">
        <f t="shared" ca="1" si="149"/>
        <v/>
      </c>
      <c r="AH317" s="150" t="str">
        <f t="shared" ca="1" si="150"/>
        <v/>
      </c>
      <c r="AI317" s="143" t="str">
        <f t="shared" ca="1" si="151"/>
        <v/>
      </c>
      <c r="AJ317" s="143" t="str">
        <f t="shared" ca="1" si="152"/>
        <v/>
      </c>
      <c r="AK317" s="143" t="str">
        <f t="shared" ca="1" si="153"/>
        <v/>
      </c>
      <c r="AL317" s="143" t="str">
        <f t="shared" ca="1" si="154"/>
        <v/>
      </c>
      <c r="AM317" s="143" t="str">
        <f t="shared" ca="1" si="155"/>
        <v/>
      </c>
      <c r="AN317" s="143" t="str">
        <f t="shared" ca="1" si="156"/>
        <v/>
      </c>
      <c r="AO317" s="143" t="str">
        <f t="shared" ca="1" si="157"/>
        <v/>
      </c>
      <c r="AP317" s="143" t="str">
        <f t="shared" ca="1" si="158"/>
        <v/>
      </c>
    </row>
    <row r="318" spans="30:42" x14ac:dyDescent="0.55000000000000004">
      <c r="AD318" s="143" t="str">
        <f t="shared" ca="1" si="146"/>
        <v/>
      </c>
      <c r="AE318" s="143" t="str">
        <f t="shared" ca="1" si="147"/>
        <v/>
      </c>
      <c r="AF318" s="143" t="str">
        <f t="shared" ca="1" si="148"/>
        <v/>
      </c>
      <c r="AG318" s="143" t="str">
        <f t="shared" ca="1" si="149"/>
        <v/>
      </c>
      <c r="AH318" s="150" t="str">
        <f t="shared" ca="1" si="150"/>
        <v/>
      </c>
      <c r="AI318" s="143" t="str">
        <f t="shared" ca="1" si="151"/>
        <v/>
      </c>
      <c r="AJ318" s="143" t="str">
        <f t="shared" ca="1" si="152"/>
        <v/>
      </c>
      <c r="AK318" s="143" t="str">
        <f t="shared" ca="1" si="153"/>
        <v/>
      </c>
      <c r="AL318" s="143" t="str">
        <f t="shared" ca="1" si="154"/>
        <v/>
      </c>
      <c r="AM318" s="143" t="str">
        <f t="shared" ca="1" si="155"/>
        <v/>
      </c>
      <c r="AN318" s="143" t="str">
        <f t="shared" ca="1" si="156"/>
        <v/>
      </c>
      <c r="AO318" s="143" t="str">
        <f t="shared" ca="1" si="157"/>
        <v/>
      </c>
      <c r="AP318" s="143" t="str">
        <f t="shared" ca="1" si="158"/>
        <v/>
      </c>
    </row>
    <row r="319" spans="30:42" x14ac:dyDescent="0.55000000000000004">
      <c r="AD319" s="143" t="str">
        <f t="shared" ca="1" si="146"/>
        <v/>
      </c>
      <c r="AE319" s="143" t="str">
        <f t="shared" ca="1" si="147"/>
        <v/>
      </c>
      <c r="AF319" s="143" t="str">
        <f t="shared" ca="1" si="148"/>
        <v/>
      </c>
      <c r="AG319" s="143" t="str">
        <f t="shared" ca="1" si="149"/>
        <v/>
      </c>
      <c r="AH319" s="150" t="str">
        <f t="shared" ca="1" si="150"/>
        <v/>
      </c>
      <c r="AI319" s="143" t="str">
        <f t="shared" ca="1" si="151"/>
        <v/>
      </c>
      <c r="AJ319" s="143" t="str">
        <f t="shared" ca="1" si="152"/>
        <v/>
      </c>
      <c r="AK319" s="143" t="str">
        <f t="shared" ca="1" si="153"/>
        <v/>
      </c>
      <c r="AL319" s="143" t="str">
        <f t="shared" ca="1" si="154"/>
        <v/>
      </c>
      <c r="AM319" s="143" t="str">
        <f t="shared" ca="1" si="155"/>
        <v/>
      </c>
      <c r="AN319" s="143" t="str">
        <f t="shared" ca="1" si="156"/>
        <v/>
      </c>
      <c r="AO319" s="143" t="str">
        <f t="shared" ca="1" si="157"/>
        <v/>
      </c>
      <c r="AP319" s="143" t="str">
        <f t="shared" ca="1" si="158"/>
        <v/>
      </c>
    </row>
    <row r="320" spans="30:42" x14ac:dyDescent="0.55000000000000004">
      <c r="AD320" s="143" t="str">
        <f t="shared" ca="1" si="146"/>
        <v/>
      </c>
      <c r="AE320" s="143" t="str">
        <f t="shared" ca="1" si="147"/>
        <v/>
      </c>
      <c r="AF320" s="143" t="str">
        <f t="shared" ca="1" si="148"/>
        <v/>
      </c>
      <c r="AG320" s="143" t="str">
        <f t="shared" ca="1" si="149"/>
        <v/>
      </c>
      <c r="AH320" s="150" t="str">
        <f t="shared" ca="1" si="150"/>
        <v/>
      </c>
      <c r="AI320" s="143" t="str">
        <f t="shared" ca="1" si="151"/>
        <v/>
      </c>
      <c r="AJ320" s="143" t="str">
        <f t="shared" ca="1" si="152"/>
        <v/>
      </c>
      <c r="AK320" s="143" t="str">
        <f t="shared" ca="1" si="153"/>
        <v/>
      </c>
      <c r="AL320" s="143" t="str">
        <f t="shared" ca="1" si="154"/>
        <v/>
      </c>
      <c r="AM320" s="143" t="str">
        <f t="shared" ca="1" si="155"/>
        <v/>
      </c>
      <c r="AN320" s="143" t="str">
        <f t="shared" ca="1" si="156"/>
        <v/>
      </c>
      <c r="AO320" s="143" t="str">
        <f t="shared" ca="1" si="157"/>
        <v/>
      </c>
      <c r="AP320" s="143" t="str">
        <f t="shared" ca="1" si="158"/>
        <v/>
      </c>
    </row>
    <row r="321" spans="30:42" x14ac:dyDescent="0.55000000000000004">
      <c r="AD321" s="143" t="str">
        <f t="shared" ca="1" si="146"/>
        <v/>
      </c>
      <c r="AE321" s="143" t="str">
        <f t="shared" ca="1" si="147"/>
        <v/>
      </c>
      <c r="AF321" s="143" t="str">
        <f t="shared" ca="1" si="148"/>
        <v/>
      </c>
      <c r="AG321" s="143" t="str">
        <f t="shared" ca="1" si="149"/>
        <v/>
      </c>
      <c r="AH321" s="150" t="str">
        <f t="shared" ca="1" si="150"/>
        <v/>
      </c>
      <c r="AI321" s="143" t="str">
        <f t="shared" ca="1" si="151"/>
        <v/>
      </c>
      <c r="AJ321" s="143" t="str">
        <f t="shared" ca="1" si="152"/>
        <v/>
      </c>
      <c r="AK321" s="143" t="str">
        <f t="shared" ca="1" si="153"/>
        <v/>
      </c>
      <c r="AL321" s="143" t="str">
        <f t="shared" ca="1" si="154"/>
        <v/>
      </c>
      <c r="AM321" s="143" t="str">
        <f t="shared" ca="1" si="155"/>
        <v/>
      </c>
      <c r="AN321" s="143" t="str">
        <f t="shared" ca="1" si="156"/>
        <v/>
      </c>
      <c r="AO321" s="143" t="str">
        <f t="shared" ca="1" si="157"/>
        <v/>
      </c>
      <c r="AP321" s="143" t="str">
        <f t="shared" ca="1" si="158"/>
        <v/>
      </c>
    </row>
    <row r="322" spans="30:42" x14ac:dyDescent="0.55000000000000004">
      <c r="AD322" s="143" t="str">
        <f t="shared" ca="1" si="146"/>
        <v/>
      </c>
      <c r="AE322" s="143" t="str">
        <f t="shared" ca="1" si="147"/>
        <v/>
      </c>
      <c r="AF322" s="143" t="str">
        <f t="shared" ca="1" si="148"/>
        <v/>
      </c>
      <c r="AG322" s="143" t="str">
        <f t="shared" ca="1" si="149"/>
        <v/>
      </c>
      <c r="AH322" s="150" t="str">
        <f t="shared" ca="1" si="150"/>
        <v/>
      </c>
      <c r="AI322" s="143" t="str">
        <f t="shared" ca="1" si="151"/>
        <v/>
      </c>
      <c r="AJ322" s="143" t="str">
        <f t="shared" ca="1" si="152"/>
        <v/>
      </c>
      <c r="AK322" s="143" t="str">
        <f t="shared" ca="1" si="153"/>
        <v/>
      </c>
      <c r="AL322" s="143" t="str">
        <f t="shared" ca="1" si="154"/>
        <v/>
      </c>
      <c r="AM322" s="143" t="str">
        <f t="shared" ca="1" si="155"/>
        <v/>
      </c>
      <c r="AN322" s="143" t="str">
        <f t="shared" ca="1" si="156"/>
        <v/>
      </c>
      <c r="AO322" s="143" t="str">
        <f t="shared" ca="1" si="157"/>
        <v/>
      </c>
      <c r="AP322" s="143" t="str">
        <f t="shared" ca="1" si="158"/>
        <v/>
      </c>
    </row>
    <row r="323" spans="30:42" x14ac:dyDescent="0.55000000000000004">
      <c r="AD323" s="143" t="str">
        <f t="shared" ca="1" si="146"/>
        <v/>
      </c>
      <c r="AE323" s="143" t="str">
        <f t="shared" ca="1" si="147"/>
        <v/>
      </c>
      <c r="AF323" s="143" t="str">
        <f t="shared" ca="1" si="148"/>
        <v/>
      </c>
      <c r="AG323" s="143" t="str">
        <f t="shared" ca="1" si="149"/>
        <v/>
      </c>
      <c r="AH323" s="150" t="str">
        <f t="shared" ca="1" si="150"/>
        <v/>
      </c>
      <c r="AI323" s="143" t="str">
        <f t="shared" ca="1" si="151"/>
        <v/>
      </c>
      <c r="AJ323" s="143" t="str">
        <f t="shared" ca="1" si="152"/>
        <v/>
      </c>
      <c r="AK323" s="143" t="str">
        <f t="shared" ca="1" si="153"/>
        <v/>
      </c>
      <c r="AL323" s="143" t="str">
        <f t="shared" ca="1" si="154"/>
        <v/>
      </c>
      <c r="AM323" s="143" t="str">
        <f t="shared" ca="1" si="155"/>
        <v/>
      </c>
      <c r="AN323" s="143" t="str">
        <f t="shared" ca="1" si="156"/>
        <v/>
      </c>
      <c r="AO323" s="143" t="str">
        <f t="shared" ca="1" si="157"/>
        <v/>
      </c>
      <c r="AP323" s="143" t="str">
        <f t="shared" ca="1" si="158"/>
        <v/>
      </c>
    </row>
    <row r="324" spans="30:42" x14ac:dyDescent="0.55000000000000004">
      <c r="AD324" s="143" t="str">
        <f t="shared" ca="1" si="146"/>
        <v/>
      </c>
      <c r="AE324" s="143" t="str">
        <f t="shared" ca="1" si="147"/>
        <v/>
      </c>
      <c r="AF324" s="143" t="str">
        <f t="shared" ca="1" si="148"/>
        <v/>
      </c>
      <c r="AG324" s="143" t="str">
        <f t="shared" ca="1" si="149"/>
        <v/>
      </c>
      <c r="AH324" s="150" t="str">
        <f t="shared" ca="1" si="150"/>
        <v/>
      </c>
      <c r="AI324" s="143" t="str">
        <f t="shared" ca="1" si="151"/>
        <v/>
      </c>
      <c r="AJ324" s="143" t="str">
        <f t="shared" ca="1" si="152"/>
        <v/>
      </c>
      <c r="AK324" s="143" t="str">
        <f t="shared" ca="1" si="153"/>
        <v/>
      </c>
      <c r="AL324" s="143" t="str">
        <f t="shared" ca="1" si="154"/>
        <v/>
      </c>
      <c r="AM324" s="143" t="str">
        <f t="shared" ca="1" si="155"/>
        <v/>
      </c>
      <c r="AN324" s="143" t="str">
        <f t="shared" ca="1" si="156"/>
        <v/>
      </c>
      <c r="AO324" s="143" t="str">
        <f t="shared" ca="1" si="157"/>
        <v/>
      </c>
      <c r="AP324" s="143" t="str">
        <f t="shared" ca="1" si="158"/>
        <v/>
      </c>
    </row>
    <row r="325" spans="30:42" x14ac:dyDescent="0.55000000000000004">
      <c r="AD325" s="143" t="str">
        <f t="shared" ca="1" si="146"/>
        <v/>
      </c>
      <c r="AE325" s="143" t="str">
        <f t="shared" ca="1" si="147"/>
        <v/>
      </c>
      <c r="AF325" s="143" t="str">
        <f t="shared" ca="1" si="148"/>
        <v/>
      </c>
      <c r="AG325" s="143" t="str">
        <f t="shared" ca="1" si="149"/>
        <v/>
      </c>
      <c r="AH325" s="150" t="str">
        <f t="shared" ca="1" si="150"/>
        <v/>
      </c>
      <c r="AI325" s="143" t="str">
        <f t="shared" ca="1" si="151"/>
        <v/>
      </c>
      <c r="AJ325" s="143" t="str">
        <f t="shared" ca="1" si="152"/>
        <v/>
      </c>
      <c r="AK325" s="143" t="str">
        <f t="shared" ca="1" si="153"/>
        <v/>
      </c>
      <c r="AL325" s="143" t="str">
        <f t="shared" ca="1" si="154"/>
        <v/>
      </c>
      <c r="AM325" s="143" t="str">
        <f t="shared" ca="1" si="155"/>
        <v/>
      </c>
      <c r="AN325" s="143" t="str">
        <f t="shared" ca="1" si="156"/>
        <v/>
      </c>
      <c r="AO325" s="143" t="str">
        <f t="shared" ca="1" si="157"/>
        <v/>
      </c>
      <c r="AP325" s="143" t="str">
        <f t="shared" ca="1" si="158"/>
        <v/>
      </c>
    </row>
    <row r="326" spans="30:42" x14ac:dyDescent="0.55000000000000004">
      <c r="AD326" s="143" t="str">
        <f t="shared" ca="1" si="146"/>
        <v/>
      </c>
      <c r="AE326" s="143" t="str">
        <f t="shared" ca="1" si="147"/>
        <v/>
      </c>
      <c r="AF326" s="143" t="str">
        <f t="shared" ca="1" si="148"/>
        <v/>
      </c>
      <c r="AG326" s="143" t="str">
        <f t="shared" ca="1" si="149"/>
        <v/>
      </c>
      <c r="AH326" s="150" t="str">
        <f t="shared" ca="1" si="150"/>
        <v/>
      </c>
      <c r="AI326" s="143" t="str">
        <f t="shared" ca="1" si="151"/>
        <v/>
      </c>
      <c r="AJ326" s="143" t="str">
        <f t="shared" ca="1" si="152"/>
        <v/>
      </c>
      <c r="AK326" s="143" t="str">
        <f t="shared" ca="1" si="153"/>
        <v/>
      </c>
      <c r="AL326" s="143" t="str">
        <f t="shared" ca="1" si="154"/>
        <v/>
      </c>
      <c r="AM326" s="143" t="str">
        <f t="shared" ca="1" si="155"/>
        <v/>
      </c>
      <c r="AN326" s="143" t="str">
        <f t="shared" ca="1" si="156"/>
        <v/>
      </c>
      <c r="AO326" s="143" t="str">
        <f t="shared" ca="1" si="157"/>
        <v/>
      </c>
      <c r="AP326" s="143" t="str">
        <f t="shared" ca="1" si="158"/>
        <v/>
      </c>
    </row>
    <row r="327" spans="30:42" x14ac:dyDescent="0.55000000000000004">
      <c r="AD327" s="143" t="str">
        <f t="shared" ca="1" si="146"/>
        <v/>
      </c>
      <c r="AE327" s="143" t="str">
        <f t="shared" ca="1" si="147"/>
        <v/>
      </c>
      <c r="AF327" s="143" t="str">
        <f t="shared" ca="1" si="148"/>
        <v/>
      </c>
      <c r="AG327" s="143" t="str">
        <f t="shared" ca="1" si="149"/>
        <v/>
      </c>
      <c r="AH327" s="150" t="str">
        <f t="shared" ca="1" si="150"/>
        <v/>
      </c>
      <c r="AI327" s="143" t="str">
        <f t="shared" ca="1" si="151"/>
        <v/>
      </c>
      <c r="AJ327" s="143" t="str">
        <f t="shared" ca="1" si="152"/>
        <v/>
      </c>
      <c r="AK327" s="143" t="str">
        <f t="shared" ca="1" si="153"/>
        <v/>
      </c>
      <c r="AL327" s="143" t="str">
        <f t="shared" ca="1" si="154"/>
        <v/>
      </c>
      <c r="AM327" s="143" t="str">
        <f t="shared" ca="1" si="155"/>
        <v/>
      </c>
      <c r="AN327" s="143" t="str">
        <f t="shared" ca="1" si="156"/>
        <v/>
      </c>
      <c r="AO327" s="143" t="str">
        <f t="shared" ca="1" si="157"/>
        <v/>
      </c>
      <c r="AP327" s="143" t="str">
        <f t="shared" ca="1" si="158"/>
        <v/>
      </c>
    </row>
    <row r="328" spans="30:42" x14ac:dyDescent="0.55000000000000004">
      <c r="AD328" s="143" t="str">
        <f t="shared" ca="1" si="146"/>
        <v/>
      </c>
      <c r="AE328" s="143" t="str">
        <f t="shared" ca="1" si="147"/>
        <v/>
      </c>
      <c r="AF328" s="143" t="str">
        <f t="shared" ca="1" si="148"/>
        <v/>
      </c>
      <c r="AG328" s="143" t="str">
        <f t="shared" ca="1" si="149"/>
        <v/>
      </c>
      <c r="AH328" s="150" t="str">
        <f t="shared" ca="1" si="150"/>
        <v/>
      </c>
      <c r="AI328" s="143" t="str">
        <f t="shared" ca="1" si="151"/>
        <v/>
      </c>
      <c r="AJ328" s="143" t="str">
        <f t="shared" ca="1" si="152"/>
        <v/>
      </c>
      <c r="AK328" s="143" t="str">
        <f t="shared" ca="1" si="153"/>
        <v/>
      </c>
      <c r="AL328" s="143" t="str">
        <f t="shared" ca="1" si="154"/>
        <v/>
      </c>
      <c r="AM328" s="143" t="str">
        <f t="shared" ca="1" si="155"/>
        <v/>
      </c>
      <c r="AN328" s="143" t="str">
        <f t="shared" ca="1" si="156"/>
        <v/>
      </c>
      <c r="AO328" s="143" t="str">
        <f t="shared" ca="1" si="157"/>
        <v/>
      </c>
      <c r="AP328" s="143" t="str">
        <f t="shared" ca="1" si="158"/>
        <v/>
      </c>
    </row>
    <row r="329" spans="30:42" x14ac:dyDescent="0.55000000000000004">
      <c r="AD329" s="143" t="str">
        <f t="shared" ca="1" si="146"/>
        <v/>
      </c>
      <c r="AE329" s="143" t="str">
        <f t="shared" ca="1" si="147"/>
        <v/>
      </c>
      <c r="AF329" s="143" t="str">
        <f t="shared" ca="1" si="148"/>
        <v/>
      </c>
      <c r="AG329" s="143" t="str">
        <f t="shared" ca="1" si="149"/>
        <v/>
      </c>
      <c r="AH329" s="150" t="str">
        <f t="shared" ca="1" si="150"/>
        <v/>
      </c>
      <c r="AI329" s="143" t="str">
        <f t="shared" ca="1" si="151"/>
        <v/>
      </c>
      <c r="AJ329" s="143" t="str">
        <f t="shared" ca="1" si="152"/>
        <v/>
      </c>
      <c r="AK329" s="143" t="str">
        <f t="shared" ca="1" si="153"/>
        <v/>
      </c>
      <c r="AL329" s="143" t="str">
        <f t="shared" ca="1" si="154"/>
        <v/>
      </c>
      <c r="AM329" s="143" t="str">
        <f t="shared" ca="1" si="155"/>
        <v/>
      </c>
      <c r="AN329" s="143" t="str">
        <f t="shared" ca="1" si="156"/>
        <v/>
      </c>
      <c r="AO329" s="143" t="str">
        <f t="shared" ca="1" si="157"/>
        <v/>
      </c>
      <c r="AP329" s="143" t="str">
        <f t="shared" ca="1" si="158"/>
        <v/>
      </c>
    </row>
    <row r="330" spans="30:42" x14ac:dyDescent="0.55000000000000004">
      <c r="AD330" s="143" t="str">
        <f t="shared" ca="1" si="146"/>
        <v/>
      </c>
      <c r="AE330" s="143" t="str">
        <f t="shared" ca="1" si="147"/>
        <v/>
      </c>
      <c r="AF330" s="143" t="str">
        <f t="shared" ca="1" si="148"/>
        <v/>
      </c>
      <c r="AG330" s="143" t="str">
        <f t="shared" ca="1" si="149"/>
        <v/>
      </c>
      <c r="AH330" s="150" t="str">
        <f t="shared" ca="1" si="150"/>
        <v/>
      </c>
      <c r="AI330" s="143" t="str">
        <f t="shared" ca="1" si="151"/>
        <v/>
      </c>
      <c r="AJ330" s="143" t="str">
        <f t="shared" ca="1" si="152"/>
        <v/>
      </c>
      <c r="AK330" s="143" t="str">
        <f t="shared" ca="1" si="153"/>
        <v/>
      </c>
      <c r="AL330" s="143" t="str">
        <f t="shared" ca="1" si="154"/>
        <v/>
      </c>
      <c r="AM330" s="143" t="str">
        <f t="shared" ca="1" si="155"/>
        <v/>
      </c>
      <c r="AN330" s="143" t="str">
        <f t="shared" ca="1" si="156"/>
        <v/>
      </c>
      <c r="AO330" s="143" t="str">
        <f t="shared" ca="1" si="157"/>
        <v/>
      </c>
      <c r="AP330" s="143" t="str">
        <f t="shared" ca="1" si="158"/>
        <v/>
      </c>
    </row>
    <row r="331" spans="30:42" x14ac:dyDescent="0.55000000000000004">
      <c r="AD331" s="143" t="str">
        <f t="shared" ca="1" si="146"/>
        <v/>
      </c>
      <c r="AE331" s="143" t="str">
        <f t="shared" ca="1" si="147"/>
        <v/>
      </c>
      <c r="AF331" s="143" t="str">
        <f t="shared" ca="1" si="148"/>
        <v/>
      </c>
      <c r="AG331" s="143" t="str">
        <f t="shared" ca="1" si="149"/>
        <v/>
      </c>
      <c r="AH331" s="150" t="str">
        <f t="shared" ca="1" si="150"/>
        <v/>
      </c>
      <c r="AI331" s="143" t="str">
        <f t="shared" ca="1" si="151"/>
        <v/>
      </c>
      <c r="AJ331" s="143" t="str">
        <f t="shared" ca="1" si="152"/>
        <v/>
      </c>
      <c r="AK331" s="143" t="str">
        <f t="shared" ca="1" si="153"/>
        <v/>
      </c>
      <c r="AL331" s="143" t="str">
        <f t="shared" ca="1" si="154"/>
        <v/>
      </c>
      <c r="AM331" s="143" t="str">
        <f t="shared" ca="1" si="155"/>
        <v/>
      </c>
      <c r="AN331" s="143" t="str">
        <f t="shared" ca="1" si="156"/>
        <v/>
      </c>
      <c r="AO331" s="143" t="str">
        <f t="shared" ca="1" si="157"/>
        <v/>
      </c>
      <c r="AP331" s="143" t="str">
        <f t="shared" ca="1" si="158"/>
        <v/>
      </c>
    </row>
    <row r="332" spans="30:42" x14ac:dyDescent="0.55000000000000004">
      <c r="AD332" s="143" t="str">
        <f t="shared" ca="1" si="146"/>
        <v/>
      </c>
      <c r="AE332" s="143" t="str">
        <f t="shared" ca="1" si="147"/>
        <v/>
      </c>
      <c r="AF332" s="143" t="str">
        <f t="shared" ca="1" si="148"/>
        <v/>
      </c>
      <c r="AG332" s="143" t="str">
        <f t="shared" ca="1" si="149"/>
        <v/>
      </c>
      <c r="AH332" s="150" t="str">
        <f t="shared" ca="1" si="150"/>
        <v/>
      </c>
      <c r="AI332" s="143" t="str">
        <f t="shared" ca="1" si="151"/>
        <v/>
      </c>
      <c r="AJ332" s="143" t="str">
        <f t="shared" ca="1" si="152"/>
        <v/>
      </c>
      <c r="AK332" s="143" t="str">
        <f t="shared" ca="1" si="153"/>
        <v/>
      </c>
      <c r="AL332" s="143" t="str">
        <f t="shared" ca="1" si="154"/>
        <v/>
      </c>
      <c r="AM332" s="143" t="str">
        <f t="shared" ca="1" si="155"/>
        <v/>
      </c>
      <c r="AN332" s="143" t="str">
        <f t="shared" ca="1" si="156"/>
        <v/>
      </c>
      <c r="AO332" s="143" t="str">
        <f t="shared" ca="1" si="157"/>
        <v/>
      </c>
      <c r="AP332" s="143" t="str">
        <f t="shared" ca="1" si="158"/>
        <v/>
      </c>
    </row>
    <row r="333" spans="30:42" x14ac:dyDescent="0.55000000000000004">
      <c r="AD333" s="143" t="str">
        <f t="shared" ca="1" si="146"/>
        <v/>
      </c>
      <c r="AE333" s="143" t="str">
        <f t="shared" ca="1" si="147"/>
        <v/>
      </c>
      <c r="AF333" s="143" t="str">
        <f t="shared" ca="1" si="148"/>
        <v/>
      </c>
      <c r="AG333" s="143" t="str">
        <f t="shared" ca="1" si="149"/>
        <v/>
      </c>
      <c r="AH333" s="150" t="str">
        <f t="shared" ca="1" si="150"/>
        <v/>
      </c>
      <c r="AI333" s="143" t="str">
        <f t="shared" ca="1" si="151"/>
        <v/>
      </c>
      <c r="AJ333" s="143" t="str">
        <f t="shared" ca="1" si="152"/>
        <v/>
      </c>
      <c r="AK333" s="143" t="str">
        <f t="shared" ca="1" si="153"/>
        <v/>
      </c>
      <c r="AL333" s="143" t="str">
        <f t="shared" ca="1" si="154"/>
        <v/>
      </c>
      <c r="AM333" s="143" t="str">
        <f t="shared" ca="1" si="155"/>
        <v/>
      </c>
      <c r="AN333" s="143" t="str">
        <f t="shared" ca="1" si="156"/>
        <v/>
      </c>
      <c r="AO333" s="143" t="str">
        <f t="shared" ca="1" si="157"/>
        <v/>
      </c>
      <c r="AP333" s="143" t="str">
        <f t="shared" ca="1" si="158"/>
        <v/>
      </c>
    </row>
    <row r="334" spans="30:42" x14ac:dyDescent="0.55000000000000004">
      <c r="AD334" s="143" t="str">
        <f t="shared" ref="AD334:AD365" ca="1" si="159">IFERROR(INDEX(AC:AC,MATCH(SMALL($AU:$AU,ROW()+3),$AU:$AU,0)),"")</f>
        <v/>
      </c>
      <c r="AE334" s="143" t="str">
        <f t="shared" ref="AE334:AE365" ca="1" si="160">IFERROR(INDEX(R:R,MATCH(SMALL($AU:$AU,ROW()+3),$AU:$AU,0)),"")</f>
        <v/>
      </c>
      <c r="AF334" s="143" t="str">
        <f t="shared" ref="AF334:AF365" ca="1" si="161">IFERROR(INDEX(S:S,MATCH(SMALL($AU:$AU,ROW()+3),$AU:$AU,0)),"")</f>
        <v/>
      </c>
      <c r="AG334" s="143" t="str">
        <f t="shared" ref="AG334:AG365" ca="1" si="162">IFERROR(INDEX(T:T,MATCH(SMALL($AU:$AU,ROW()+3),$AU:$AU,0)),"")</f>
        <v/>
      </c>
      <c r="AH334" s="150" t="str">
        <f t="shared" ref="AH334:AH365" ca="1" si="163">IFERROR(INDEX(U:U,MATCH(SMALL($AU:$AU,ROW()+3),$AU:$AU,0)),"")</f>
        <v/>
      </c>
      <c r="AI334" s="143" t="str">
        <f t="shared" ref="AI334:AI365" ca="1" si="164">IFERROR(INDEX(V:V,MATCH(SMALL($AU:$AU,ROW()+3),$AU:$AU,0)),"")</f>
        <v/>
      </c>
      <c r="AJ334" s="143" t="str">
        <f t="shared" ref="AJ334:AJ365" ca="1" si="165">IFERROR(INDEX(W:W,MATCH(SMALL($AU:$AU,ROW()+3),$AU:$AU,0)),"")</f>
        <v/>
      </c>
      <c r="AK334" s="143" t="str">
        <f t="shared" ref="AK334:AK365" ca="1" si="166">IFERROR(INDEX(X:X,MATCH(SMALL($AU:$AU,ROW()+3),$AU:$AU,0)),"")</f>
        <v/>
      </c>
      <c r="AL334" s="143" t="str">
        <f t="shared" ref="AL334:AL365" ca="1" si="167">IFERROR(INDEX(Y:Y,MATCH(SMALL($AU:$AU,ROW()+3),$AU:$AU,0)),"")</f>
        <v/>
      </c>
      <c r="AM334" s="143" t="str">
        <f t="shared" ref="AM334:AM365" ca="1" si="168">IFERROR(INDEX(Z:Z,MATCH(SMALL($AU:$AU,ROW()+3),$AU:$AU,0)),"")</f>
        <v/>
      </c>
      <c r="AN334" s="143" t="str">
        <f t="shared" ref="AN334:AN365" ca="1" si="169">IFERROR(INDEX(AA:AA,MATCH(SMALL($AU:$AU,ROW()+3),$AU:$AU,0)),"")</f>
        <v/>
      </c>
      <c r="AO334" s="143" t="str">
        <f t="shared" ref="AO334:AO365" ca="1" si="170">IFERROR(INDEX(AB:AB,MATCH(SMALL($AU:$AU,ROW()+3),$AU:$AU,0)),"")</f>
        <v/>
      </c>
      <c r="AP334" s="143" t="str">
        <f t="shared" ref="AP334:AP365" ca="1" si="171">IFERROR(INDEX(AC:AC,MATCH(SMALL($AU:$AU,ROW()+3),$AU:$AU,0)),"")</f>
        <v/>
      </c>
    </row>
    <row r="335" spans="30:42" x14ac:dyDescent="0.55000000000000004">
      <c r="AD335" s="143" t="str">
        <f t="shared" ca="1" si="159"/>
        <v/>
      </c>
      <c r="AE335" s="143" t="str">
        <f t="shared" ca="1" si="160"/>
        <v/>
      </c>
      <c r="AF335" s="143" t="str">
        <f t="shared" ca="1" si="161"/>
        <v/>
      </c>
      <c r="AG335" s="143" t="str">
        <f t="shared" ca="1" si="162"/>
        <v/>
      </c>
      <c r="AH335" s="150" t="str">
        <f t="shared" ca="1" si="163"/>
        <v/>
      </c>
      <c r="AI335" s="143" t="str">
        <f t="shared" ca="1" si="164"/>
        <v/>
      </c>
      <c r="AJ335" s="143" t="str">
        <f t="shared" ca="1" si="165"/>
        <v/>
      </c>
      <c r="AK335" s="143" t="str">
        <f t="shared" ca="1" si="166"/>
        <v/>
      </c>
      <c r="AL335" s="143" t="str">
        <f t="shared" ca="1" si="167"/>
        <v/>
      </c>
      <c r="AM335" s="143" t="str">
        <f t="shared" ca="1" si="168"/>
        <v/>
      </c>
      <c r="AN335" s="143" t="str">
        <f t="shared" ca="1" si="169"/>
        <v/>
      </c>
      <c r="AO335" s="143" t="str">
        <f t="shared" ca="1" si="170"/>
        <v/>
      </c>
      <c r="AP335" s="143" t="str">
        <f t="shared" ca="1" si="171"/>
        <v/>
      </c>
    </row>
    <row r="336" spans="30:42" x14ac:dyDescent="0.55000000000000004">
      <c r="AD336" s="143" t="str">
        <f t="shared" ca="1" si="159"/>
        <v/>
      </c>
      <c r="AE336" s="143" t="str">
        <f t="shared" ca="1" si="160"/>
        <v/>
      </c>
      <c r="AF336" s="143" t="str">
        <f t="shared" ca="1" si="161"/>
        <v/>
      </c>
      <c r="AG336" s="143" t="str">
        <f t="shared" ca="1" si="162"/>
        <v/>
      </c>
      <c r="AH336" s="150" t="str">
        <f t="shared" ca="1" si="163"/>
        <v/>
      </c>
      <c r="AI336" s="143" t="str">
        <f t="shared" ca="1" si="164"/>
        <v/>
      </c>
      <c r="AJ336" s="143" t="str">
        <f t="shared" ca="1" si="165"/>
        <v/>
      </c>
      <c r="AK336" s="143" t="str">
        <f t="shared" ca="1" si="166"/>
        <v/>
      </c>
      <c r="AL336" s="143" t="str">
        <f t="shared" ca="1" si="167"/>
        <v/>
      </c>
      <c r="AM336" s="143" t="str">
        <f t="shared" ca="1" si="168"/>
        <v/>
      </c>
      <c r="AN336" s="143" t="str">
        <f t="shared" ca="1" si="169"/>
        <v/>
      </c>
      <c r="AO336" s="143" t="str">
        <f t="shared" ca="1" si="170"/>
        <v/>
      </c>
      <c r="AP336" s="143" t="str">
        <f t="shared" ca="1" si="171"/>
        <v/>
      </c>
    </row>
    <row r="337" spans="30:42" x14ac:dyDescent="0.55000000000000004">
      <c r="AD337" s="143" t="str">
        <f t="shared" ca="1" si="159"/>
        <v/>
      </c>
      <c r="AE337" s="143" t="str">
        <f t="shared" ca="1" si="160"/>
        <v/>
      </c>
      <c r="AF337" s="143" t="str">
        <f t="shared" ca="1" si="161"/>
        <v/>
      </c>
      <c r="AG337" s="143" t="str">
        <f t="shared" ca="1" si="162"/>
        <v/>
      </c>
      <c r="AH337" s="150" t="str">
        <f t="shared" ca="1" si="163"/>
        <v/>
      </c>
      <c r="AI337" s="143" t="str">
        <f t="shared" ca="1" si="164"/>
        <v/>
      </c>
      <c r="AJ337" s="143" t="str">
        <f t="shared" ca="1" si="165"/>
        <v/>
      </c>
      <c r="AK337" s="143" t="str">
        <f t="shared" ca="1" si="166"/>
        <v/>
      </c>
      <c r="AL337" s="143" t="str">
        <f t="shared" ca="1" si="167"/>
        <v/>
      </c>
      <c r="AM337" s="143" t="str">
        <f t="shared" ca="1" si="168"/>
        <v/>
      </c>
      <c r="AN337" s="143" t="str">
        <f t="shared" ca="1" si="169"/>
        <v/>
      </c>
      <c r="AO337" s="143" t="str">
        <f t="shared" ca="1" si="170"/>
        <v/>
      </c>
      <c r="AP337" s="143" t="str">
        <f t="shared" ca="1" si="171"/>
        <v/>
      </c>
    </row>
    <row r="338" spans="30:42" x14ac:dyDescent="0.55000000000000004">
      <c r="AD338" s="143" t="str">
        <f t="shared" ca="1" si="159"/>
        <v/>
      </c>
      <c r="AE338" s="143" t="str">
        <f t="shared" ca="1" si="160"/>
        <v/>
      </c>
      <c r="AF338" s="143" t="str">
        <f t="shared" ca="1" si="161"/>
        <v/>
      </c>
      <c r="AG338" s="143" t="str">
        <f t="shared" ca="1" si="162"/>
        <v/>
      </c>
      <c r="AH338" s="150" t="str">
        <f t="shared" ca="1" si="163"/>
        <v/>
      </c>
      <c r="AI338" s="143" t="str">
        <f t="shared" ca="1" si="164"/>
        <v/>
      </c>
      <c r="AJ338" s="143" t="str">
        <f t="shared" ca="1" si="165"/>
        <v/>
      </c>
      <c r="AK338" s="143" t="str">
        <f t="shared" ca="1" si="166"/>
        <v/>
      </c>
      <c r="AL338" s="143" t="str">
        <f t="shared" ca="1" si="167"/>
        <v/>
      </c>
      <c r="AM338" s="143" t="str">
        <f t="shared" ca="1" si="168"/>
        <v/>
      </c>
      <c r="AN338" s="143" t="str">
        <f t="shared" ca="1" si="169"/>
        <v/>
      </c>
      <c r="AO338" s="143" t="str">
        <f t="shared" ca="1" si="170"/>
        <v/>
      </c>
      <c r="AP338" s="143" t="str">
        <f t="shared" ca="1" si="171"/>
        <v/>
      </c>
    </row>
    <row r="339" spans="30:42" x14ac:dyDescent="0.55000000000000004">
      <c r="AD339" s="143" t="str">
        <f t="shared" ca="1" si="159"/>
        <v/>
      </c>
      <c r="AE339" s="143" t="str">
        <f t="shared" ca="1" si="160"/>
        <v/>
      </c>
      <c r="AF339" s="143" t="str">
        <f t="shared" ca="1" si="161"/>
        <v/>
      </c>
      <c r="AG339" s="143" t="str">
        <f t="shared" ca="1" si="162"/>
        <v/>
      </c>
      <c r="AH339" s="150" t="str">
        <f t="shared" ca="1" si="163"/>
        <v/>
      </c>
      <c r="AI339" s="143" t="str">
        <f t="shared" ca="1" si="164"/>
        <v/>
      </c>
      <c r="AJ339" s="143" t="str">
        <f t="shared" ca="1" si="165"/>
        <v/>
      </c>
      <c r="AK339" s="143" t="str">
        <f t="shared" ca="1" si="166"/>
        <v/>
      </c>
      <c r="AL339" s="143" t="str">
        <f t="shared" ca="1" si="167"/>
        <v/>
      </c>
      <c r="AM339" s="143" t="str">
        <f t="shared" ca="1" si="168"/>
        <v/>
      </c>
      <c r="AN339" s="143" t="str">
        <f t="shared" ca="1" si="169"/>
        <v/>
      </c>
      <c r="AO339" s="143" t="str">
        <f t="shared" ca="1" si="170"/>
        <v/>
      </c>
      <c r="AP339" s="143" t="str">
        <f t="shared" ca="1" si="171"/>
        <v/>
      </c>
    </row>
    <row r="340" spans="30:42" x14ac:dyDescent="0.55000000000000004">
      <c r="AD340" s="143" t="str">
        <f t="shared" ca="1" si="159"/>
        <v/>
      </c>
      <c r="AE340" s="143" t="str">
        <f t="shared" ca="1" si="160"/>
        <v/>
      </c>
      <c r="AF340" s="143" t="str">
        <f t="shared" ca="1" si="161"/>
        <v/>
      </c>
      <c r="AG340" s="143" t="str">
        <f t="shared" ca="1" si="162"/>
        <v/>
      </c>
      <c r="AH340" s="150" t="str">
        <f t="shared" ca="1" si="163"/>
        <v/>
      </c>
      <c r="AI340" s="143" t="str">
        <f t="shared" ca="1" si="164"/>
        <v/>
      </c>
      <c r="AJ340" s="143" t="str">
        <f t="shared" ca="1" si="165"/>
        <v/>
      </c>
      <c r="AK340" s="143" t="str">
        <f t="shared" ca="1" si="166"/>
        <v/>
      </c>
      <c r="AL340" s="143" t="str">
        <f t="shared" ca="1" si="167"/>
        <v/>
      </c>
      <c r="AM340" s="143" t="str">
        <f t="shared" ca="1" si="168"/>
        <v/>
      </c>
      <c r="AN340" s="143" t="str">
        <f t="shared" ca="1" si="169"/>
        <v/>
      </c>
      <c r="AO340" s="143" t="str">
        <f t="shared" ca="1" si="170"/>
        <v/>
      </c>
      <c r="AP340" s="143" t="str">
        <f t="shared" ca="1" si="171"/>
        <v/>
      </c>
    </row>
    <row r="341" spans="30:42" x14ac:dyDescent="0.55000000000000004">
      <c r="AD341" s="143" t="str">
        <f t="shared" ca="1" si="159"/>
        <v/>
      </c>
      <c r="AE341" s="143" t="str">
        <f t="shared" ca="1" si="160"/>
        <v/>
      </c>
      <c r="AF341" s="143" t="str">
        <f t="shared" ca="1" si="161"/>
        <v/>
      </c>
      <c r="AG341" s="143" t="str">
        <f t="shared" ca="1" si="162"/>
        <v/>
      </c>
      <c r="AH341" s="150" t="str">
        <f t="shared" ca="1" si="163"/>
        <v/>
      </c>
      <c r="AI341" s="143" t="str">
        <f t="shared" ca="1" si="164"/>
        <v/>
      </c>
      <c r="AJ341" s="143" t="str">
        <f t="shared" ca="1" si="165"/>
        <v/>
      </c>
      <c r="AK341" s="143" t="str">
        <f t="shared" ca="1" si="166"/>
        <v/>
      </c>
      <c r="AL341" s="143" t="str">
        <f t="shared" ca="1" si="167"/>
        <v/>
      </c>
      <c r="AM341" s="143" t="str">
        <f t="shared" ca="1" si="168"/>
        <v/>
      </c>
      <c r="AN341" s="143" t="str">
        <f t="shared" ca="1" si="169"/>
        <v/>
      </c>
      <c r="AO341" s="143" t="str">
        <f t="shared" ca="1" si="170"/>
        <v/>
      </c>
      <c r="AP341" s="143" t="str">
        <f t="shared" ca="1" si="171"/>
        <v/>
      </c>
    </row>
    <row r="342" spans="30:42" x14ac:dyDescent="0.55000000000000004">
      <c r="AD342" s="143" t="str">
        <f t="shared" ca="1" si="159"/>
        <v/>
      </c>
      <c r="AE342" s="143" t="str">
        <f t="shared" ca="1" si="160"/>
        <v/>
      </c>
      <c r="AF342" s="143" t="str">
        <f t="shared" ca="1" si="161"/>
        <v/>
      </c>
      <c r="AG342" s="143" t="str">
        <f t="shared" ca="1" si="162"/>
        <v/>
      </c>
      <c r="AH342" s="150" t="str">
        <f t="shared" ca="1" si="163"/>
        <v/>
      </c>
      <c r="AI342" s="143" t="str">
        <f t="shared" ca="1" si="164"/>
        <v/>
      </c>
      <c r="AJ342" s="143" t="str">
        <f t="shared" ca="1" si="165"/>
        <v/>
      </c>
      <c r="AK342" s="143" t="str">
        <f t="shared" ca="1" si="166"/>
        <v/>
      </c>
      <c r="AL342" s="143" t="str">
        <f t="shared" ca="1" si="167"/>
        <v/>
      </c>
      <c r="AM342" s="143" t="str">
        <f t="shared" ca="1" si="168"/>
        <v/>
      </c>
      <c r="AN342" s="143" t="str">
        <f t="shared" ca="1" si="169"/>
        <v/>
      </c>
      <c r="AO342" s="143" t="str">
        <f t="shared" ca="1" si="170"/>
        <v/>
      </c>
      <c r="AP342" s="143" t="str">
        <f t="shared" ca="1" si="171"/>
        <v/>
      </c>
    </row>
    <row r="343" spans="30:42" x14ac:dyDescent="0.55000000000000004">
      <c r="AD343" s="143" t="str">
        <f t="shared" ca="1" si="159"/>
        <v/>
      </c>
      <c r="AE343" s="143" t="str">
        <f t="shared" ca="1" si="160"/>
        <v/>
      </c>
      <c r="AF343" s="143" t="str">
        <f t="shared" ca="1" si="161"/>
        <v/>
      </c>
      <c r="AG343" s="143" t="str">
        <f t="shared" ca="1" si="162"/>
        <v/>
      </c>
      <c r="AH343" s="150" t="str">
        <f t="shared" ca="1" si="163"/>
        <v/>
      </c>
      <c r="AI343" s="143" t="str">
        <f t="shared" ca="1" si="164"/>
        <v/>
      </c>
      <c r="AJ343" s="143" t="str">
        <f t="shared" ca="1" si="165"/>
        <v/>
      </c>
      <c r="AK343" s="143" t="str">
        <f t="shared" ca="1" si="166"/>
        <v/>
      </c>
      <c r="AL343" s="143" t="str">
        <f t="shared" ca="1" si="167"/>
        <v/>
      </c>
      <c r="AM343" s="143" t="str">
        <f t="shared" ca="1" si="168"/>
        <v/>
      </c>
      <c r="AN343" s="143" t="str">
        <f t="shared" ca="1" si="169"/>
        <v/>
      </c>
      <c r="AO343" s="143" t="str">
        <f t="shared" ca="1" si="170"/>
        <v/>
      </c>
      <c r="AP343" s="143" t="str">
        <f t="shared" ca="1" si="171"/>
        <v/>
      </c>
    </row>
    <row r="344" spans="30:42" x14ac:dyDescent="0.55000000000000004">
      <c r="AD344" s="143" t="str">
        <f t="shared" ca="1" si="159"/>
        <v/>
      </c>
      <c r="AE344" s="143" t="str">
        <f t="shared" ca="1" si="160"/>
        <v/>
      </c>
      <c r="AF344" s="143" t="str">
        <f t="shared" ca="1" si="161"/>
        <v/>
      </c>
      <c r="AG344" s="143" t="str">
        <f t="shared" ca="1" si="162"/>
        <v/>
      </c>
      <c r="AH344" s="150" t="str">
        <f t="shared" ca="1" si="163"/>
        <v/>
      </c>
      <c r="AI344" s="143" t="str">
        <f t="shared" ca="1" si="164"/>
        <v/>
      </c>
      <c r="AJ344" s="143" t="str">
        <f t="shared" ca="1" si="165"/>
        <v/>
      </c>
      <c r="AK344" s="143" t="str">
        <f t="shared" ca="1" si="166"/>
        <v/>
      </c>
      <c r="AL344" s="143" t="str">
        <f t="shared" ca="1" si="167"/>
        <v/>
      </c>
      <c r="AM344" s="143" t="str">
        <f t="shared" ca="1" si="168"/>
        <v/>
      </c>
      <c r="AN344" s="143" t="str">
        <f t="shared" ca="1" si="169"/>
        <v/>
      </c>
      <c r="AO344" s="143" t="str">
        <f t="shared" ca="1" si="170"/>
        <v/>
      </c>
      <c r="AP344" s="143" t="str">
        <f t="shared" ca="1" si="171"/>
        <v/>
      </c>
    </row>
    <row r="345" spans="30:42" x14ac:dyDescent="0.55000000000000004">
      <c r="AD345" s="143" t="str">
        <f t="shared" ca="1" si="159"/>
        <v/>
      </c>
      <c r="AE345" s="143" t="str">
        <f t="shared" ca="1" si="160"/>
        <v/>
      </c>
      <c r="AF345" s="143" t="str">
        <f t="shared" ca="1" si="161"/>
        <v/>
      </c>
      <c r="AG345" s="143" t="str">
        <f t="shared" ca="1" si="162"/>
        <v/>
      </c>
      <c r="AH345" s="150" t="str">
        <f t="shared" ca="1" si="163"/>
        <v/>
      </c>
      <c r="AI345" s="143" t="str">
        <f t="shared" ca="1" si="164"/>
        <v/>
      </c>
      <c r="AJ345" s="143" t="str">
        <f t="shared" ca="1" si="165"/>
        <v/>
      </c>
      <c r="AK345" s="143" t="str">
        <f t="shared" ca="1" si="166"/>
        <v/>
      </c>
      <c r="AL345" s="143" t="str">
        <f t="shared" ca="1" si="167"/>
        <v/>
      </c>
      <c r="AM345" s="143" t="str">
        <f t="shared" ca="1" si="168"/>
        <v/>
      </c>
      <c r="AN345" s="143" t="str">
        <f t="shared" ca="1" si="169"/>
        <v/>
      </c>
      <c r="AO345" s="143" t="str">
        <f t="shared" ca="1" si="170"/>
        <v/>
      </c>
      <c r="AP345" s="143" t="str">
        <f t="shared" ca="1" si="171"/>
        <v/>
      </c>
    </row>
    <row r="346" spans="30:42" x14ac:dyDescent="0.55000000000000004">
      <c r="AD346" s="143" t="str">
        <f t="shared" ca="1" si="159"/>
        <v/>
      </c>
      <c r="AE346" s="143" t="str">
        <f t="shared" ca="1" si="160"/>
        <v/>
      </c>
      <c r="AF346" s="143" t="str">
        <f t="shared" ca="1" si="161"/>
        <v/>
      </c>
      <c r="AG346" s="143" t="str">
        <f t="shared" ca="1" si="162"/>
        <v/>
      </c>
      <c r="AH346" s="150" t="str">
        <f t="shared" ca="1" si="163"/>
        <v/>
      </c>
      <c r="AI346" s="143" t="str">
        <f t="shared" ca="1" si="164"/>
        <v/>
      </c>
      <c r="AJ346" s="143" t="str">
        <f t="shared" ca="1" si="165"/>
        <v/>
      </c>
      <c r="AK346" s="143" t="str">
        <f t="shared" ca="1" si="166"/>
        <v/>
      </c>
      <c r="AL346" s="143" t="str">
        <f t="shared" ca="1" si="167"/>
        <v/>
      </c>
      <c r="AM346" s="143" t="str">
        <f t="shared" ca="1" si="168"/>
        <v/>
      </c>
      <c r="AN346" s="143" t="str">
        <f t="shared" ca="1" si="169"/>
        <v/>
      </c>
      <c r="AO346" s="143" t="str">
        <f t="shared" ca="1" si="170"/>
        <v/>
      </c>
      <c r="AP346" s="143" t="str">
        <f t="shared" ca="1" si="171"/>
        <v/>
      </c>
    </row>
    <row r="347" spans="30:42" x14ac:dyDescent="0.55000000000000004">
      <c r="AD347" s="143" t="str">
        <f t="shared" ca="1" si="159"/>
        <v/>
      </c>
      <c r="AE347" s="143" t="str">
        <f t="shared" ca="1" si="160"/>
        <v/>
      </c>
      <c r="AF347" s="143" t="str">
        <f t="shared" ca="1" si="161"/>
        <v/>
      </c>
      <c r="AG347" s="143" t="str">
        <f t="shared" ca="1" si="162"/>
        <v/>
      </c>
      <c r="AH347" s="150" t="str">
        <f t="shared" ca="1" si="163"/>
        <v/>
      </c>
      <c r="AI347" s="143" t="str">
        <f t="shared" ca="1" si="164"/>
        <v/>
      </c>
      <c r="AJ347" s="143" t="str">
        <f t="shared" ca="1" si="165"/>
        <v/>
      </c>
      <c r="AK347" s="143" t="str">
        <f t="shared" ca="1" si="166"/>
        <v/>
      </c>
      <c r="AL347" s="143" t="str">
        <f t="shared" ca="1" si="167"/>
        <v/>
      </c>
      <c r="AM347" s="143" t="str">
        <f t="shared" ca="1" si="168"/>
        <v/>
      </c>
      <c r="AN347" s="143" t="str">
        <f t="shared" ca="1" si="169"/>
        <v/>
      </c>
      <c r="AO347" s="143" t="str">
        <f t="shared" ca="1" si="170"/>
        <v/>
      </c>
      <c r="AP347" s="143" t="str">
        <f t="shared" ca="1" si="171"/>
        <v/>
      </c>
    </row>
    <row r="348" spans="30:42" x14ac:dyDescent="0.55000000000000004">
      <c r="AD348" s="143" t="str">
        <f t="shared" ca="1" si="159"/>
        <v/>
      </c>
      <c r="AE348" s="143" t="str">
        <f t="shared" ca="1" si="160"/>
        <v/>
      </c>
      <c r="AF348" s="143" t="str">
        <f t="shared" ca="1" si="161"/>
        <v/>
      </c>
      <c r="AG348" s="143" t="str">
        <f t="shared" ca="1" si="162"/>
        <v/>
      </c>
      <c r="AH348" s="150" t="str">
        <f t="shared" ca="1" si="163"/>
        <v/>
      </c>
      <c r="AI348" s="143" t="str">
        <f t="shared" ca="1" si="164"/>
        <v/>
      </c>
      <c r="AJ348" s="143" t="str">
        <f t="shared" ca="1" si="165"/>
        <v/>
      </c>
      <c r="AK348" s="143" t="str">
        <f t="shared" ca="1" si="166"/>
        <v/>
      </c>
      <c r="AL348" s="143" t="str">
        <f t="shared" ca="1" si="167"/>
        <v/>
      </c>
      <c r="AM348" s="143" t="str">
        <f t="shared" ca="1" si="168"/>
        <v/>
      </c>
      <c r="AN348" s="143" t="str">
        <f t="shared" ca="1" si="169"/>
        <v/>
      </c>
      <c r="AO348" s="143" t="str">
        <f t="shared" ca="1" si="170"/>
        <v/>
      </c>
      <c r="AP348" s="143" t="str">
        <f t="shared" ca="1" si="171"/>
        <v/>
      </c>
    </row>
    <row r="349" spans="30:42" x14ac:dyDescent="0.55000000000000004">
      <c r="AD349" s="143" t="str">
        <f t="shared" ca="1" si="159"/>
        <v/>
      </c>
      <c r="AE349" s="143" t="str">
        <f t="shared" ca="1" si="160"/>
        <v/>
      </c>
      <c r="AF349" s="143" t="str">
        <f t="shared" ca="1" si="161"/>
        <v/>
      </c>
      <c r="AG349" s="143" t="str">
        <f t="shared" ca="1" si="162"/>
        <v/>
      </c>
      <c r="AH349" s="150" t="str">
        <f t="shared" ca="1" si="163"/>
        <v/>
      </c>
      <c r="AI349" s="143" t="str">
        <f t="shared" ca="1" si="164"/>
        <v/>
      </c>
      <c r="AJ349" s="143" t="str">
        <f t="shared" ca="1" si="165"/>
        <v/>
      </c>
      <c r="AK349" s="143" t="str">
        <f t="shared" ca="1" si="166"/>
        <v/>
      </c>
      <c r="AL349" s="143" t="str">
        <f t="shared" ca="1" si="167"/>
        <v/>
      </c>
      <c r="AM349" s="143" t="str">
        <f t="shared" ca="1" si="168"/>
        <v/>
      </c>
      <c r="AN349" s="143" t="str">
        <f t="shared" ca="1" si="169"/>
        <v/>
      </c>
      <c r="AO349" s="143" t="str">
        <f t="shared" ca="1" si="170"/>
        <v/>
      </c>
      <c r="AP349" s="143" t="str">
        <f t="shared" ca="1" si="171"/>
        <v/>
      </c>
    </row>
    <row r="350" spans="30:42" x14ac:dyDescent="0.55000000000000004">
      <c r="AD350" s="143" t="str">
        <f t="shared" ca="1" si="159"/>
        <v/>
      </c>
      <c r="AE350" s="143" t="str">
        <f t="shared" ca="1" si="160"/>
        <v/>
      </c>
      <c r="AF350" s="143" t="str">
        <f t="shared" ca="1" si="161"/>
        <v/>
      </c>
      <c r="AG350" s="143" t="str">
        <f t="shared" ca="1" si="162"/>
        <v/>
      </c>
      <c r="AH350" s="150" t="str">
        <f t="shared" ca="1" si="163"/>
        <v/>
      </c>
      <c r="AI350" s="143" t="str">
        <f t="shared" ca="1" si="164"/>
        <v/>
      </c>
      <c r="AJ350" s="143" t="str">
        <f t="shared" ca="1" si="165"/>
        <v/>
      </c>
      <c r="AK350" s="143" t="str">
        <f t="shared" ca="1" si="166"/>
        <v/>
      </c>
      <c r="AL350" s="143" t="str">
        <f t="shared" ca="1" si="167"/>
        <v/>
      </c>
      <c r="AM350" s="143" t="str">
        <f t="shared" ca="1" si="168"/>
        <v/>
      </c>
      <c r="AN350" s="143" t="str">
        <f t="shared" ca="1" si="169"/>
        <v/>
      </c>
      <c r="AO350" s="143" t="str">
        <f t="shared" ca="1" si="170"/>
        <v/>
      </c>
      <c r="AP350" s="143" t="str">
        <f t="shared" ca="1" si="171"/>
        <v/>
      </c>
    </row>
    <row r="351" spans="30:42" x14ac:dyDescent="0.55000000000000004">
      <c r="AD351" s="143" t="str">
        <f t="shared" ca="1" si="159"/>
        <v/>
      </c>
      <c r="AE351" s="143" t="str">
        <f t="shared" ca="1" si="160"/>
        <v/>
      </c>
      <c r="AF351" s="143" t="str">
        <f t="shared" ca="1" si="161"/>
        <v/>
      </c>
      <c r="AG351" s="143" t="str">
        <f t="shared" ca="1" si="162"/>
        <v/>
      </c>
      <c r="AH351" s="150" t="str">
        <f t="shared" ca="1" si="163"/>
        <v/>
      </c>
      <c r="AI351" s="143" t="str">
        <f t="shared" ca="1" si="164"/>
        <v/>
      </c>
      <c r="AJ351" s="143" t="str">
        <f t="shared" ca="1" si="165"/>
        <v/>
      </c>
      <c r="AK351" s="143" t="str">
        <f t="shared" ca="1" si="166"/>
        <v/>
      </c>
      <c r="AL351" s="143" t="str">
        <f t="shared" ca="1" si="167"/>
        <v/>
      </c>
      <c r="AM351" s="143" t="str">
        <f t="shared" ca="1" si="168"/>
        <v/>
      </c>
      <c r="AN351" s="143" t="str">
        <f t="shared" ca="1" si="169"/>
        <v/>
      </c>
      <c r="AO351" s="143" t="str">
        <f t="shared" ca="1" si="170"/>
        <v/>
      </c>
      <c r="AP351" s="143" t="str">
        <f t="shared" ca="1" si="171"/>
        <v/>
      </c>
    </row>
    <row r="352" spans="30:42" x14ac:dyDescent="0.55000000000000004">
      <c r="AD352" s="143" t="str">
        <f t="shared" ca="1" si="159"/>
        <v/>
      </c>
      <c r="AE352" s="143" t="str">
        <f t="shared" ca="1" si="160"/>
        <v/>
      </c>
      <c r="AF352" s="143" t="str">
        <f t="shared" ca="1" si="161"/>
        <v/>
      </c>
      <c r="AG352" s="143" t="str">
        <f t="shared" ca="1" si="162"/>
        <v/>
      </c>
      <c r="AH352" s="150" t="str">
        <f t="shared" ca="1" si="163"/>
        <v/>
      </c>
      <c r="AI352" s="143" t="str">
        <f t="shared" ca="1" si="164"/>
        <v/>
      </c>
      <c r="AJ352" s="143" t="str">
        <f t="shared" ca="1" si="165"/>
        <v/>
      </c>
      <c r="AK352" s="143" t="str">
        <f t="shared" ca="1" si="166"/>
        <v/>
      </c>
      <c r="AL352" s="143" t="str">
        <f t="shared" ca="1" si="167"/>
        <v/>
      </c>
      <c r="AM352" s="143" t="str">
        <f t="shared" ca="1" si="168"/>
        <v/>
      </c>
      <c r="AN352" s="143" t="str">
        <f t="shared" ca="1" si="169"/>
        <v/>
      </c>
      <c r="AO352" s="143" t="str">
        <f t="shared" ca="1" si="170"/>
        <v/>
      </c>
      <c r="AP352" s="143" t="str">
        <f t="shared" ca="1" si="171"/>
        <v/>
      </c>
    </row>
    <row r="353" spans="30:42" x14ac:dyDescent="0.55000000000000004">
      <c r="AD353" s="143" t="str">
        <f t="shared" ca="1" si="159"/>
        <v/>
      </c>
      <c r="AE353" s="143" t="str">
        <f t="shared" ca="1" si="160"/>
        <v/>
      </c>
      <c r="AF353" s="143" t="str">
        <f t="shared" ca="1" si="161"/>
        <v/>
      </c>
      <c r="AG353" s="143" t="str">
        <f t="shared" ca="1" si="162"/>
        <v/>
      </c>
      <c r="AH353" s="150" t="str">
        <f t="shared" ca="1" si="163"/>
        <v/>
      </c>
      <c r="AI353" s="143" t="str">
        <f t="shared" ca="1" si="164"/>
        <v/>
      </c>
      <c r="AJ353" s="143" t="str">
        <f t="shared" ca="1" si="165"/>
        <v/>
      </c>
      <c r="AK353" s="143" t="str">
        <f t="shared" ca="1" si="166"/>
        <v/>
      </c>
      <c r="AL353" s="143" t="str">
        <f t="shared" ca="1" si="167"/>
        <v/>
      </c>
      <c r="AM353" s="143" t="str">
        <f t="shared" ca="1" si="168"/>
        <v/>
      </c>
      <c r="AN353" s="143" t="str">
        <f t="shared" ca="1" si="169"/>
        <v/>
      </c>
      <c r="AO353" s="143" t="str">
        <f t="shared" ca="1" si="170"/>
        <v/>
      </c>
      <c r="AP353" s="143" t="str">
        <f t="shared" ca="1" si="171"/>
        <v/>
      </c>
    </row>
    <row r="354" spans="30:42" x14ac:dyDescent="0.55000000000000004">
      <c r="AD354" s="143" t="str">
        <f t="shared" ca="1" si="159"/>
        <v/>
      </c>
      <c r="AE354" s="143" t="str">
        <f t="shared" ca="1" si="160"/>
        <v/>
      </c>
      <c r="AF354" s="143" t="str">
        <f t="shared" ca="1" si="161"/>
        <v/>
      </c>
      <c r="AG354" s="143" t="str">
        <f t="shared" ca="1" si="162"/>
        <v/>
      </c>
      <c r="AH354" s="150" t="str">
        <f t="shared" ca="1" si="163"/>
        <v/>
      </c>
      <c r="AI354" s="143" t="str">
        <f t="shared" ca="1" si="164"/>
        <v/>
      </c>
      <c r="AJ354" s="143" t="str">
        <f t="shared" ca="1" si="165"/>
        <v/>
      </c>
      <c r="AK354" s="143" t="str">
        <f t="shared" ca="1" si="166"/>
        <v/>
      </c>
      <c r="AL354" s="143" t="str">
        <f t="shared" ca="1" si="167"/>
        <v/>
      </c>
      <c r="AM354" s="143" t="str">
        <f t="shared" ca="1" si="168"/>
        <v/>
      </c>
      <c r="AN354" s="143" t="str">
        <f t="shared" ca="1" si="169"/>
        <v/>
      </c>
      <c r="AO354" s="143" t="str">
        <f t="shared" ca="1" si="170"/>
        <v/>
      </c>
      <c r="AP354" s="143" t="str">
        <f t="shared" ca="1" si="171"/>
        <v/>
      </c>
    </row>
    <row r="355" spans="30:42" x14ac:dyDescent="0.55000000000000004">
      <c r="AD355" s="143" t="str">
        <f t="shared" ca="1" si="159"/>
        <v/>
      </c>
      <c r="AE355" s="143" t="str">
        <f t="shared" ca="1" si="160"/>
        <v/>
      </c>
      <c r="AF355" s="143" t="str">
        <f t="shared" ca="1" si="161"/>
        <v/>
      </c>
      <c r="AG355" s="143" t="str">
        <f t="shared" ca="1" si="162"/>
        <v/>
      </c>
      <c r="AH355" s="150" t="str">
        <f t="shared" ca="1" si="163"/>
        <v/>
      </c>
      <c r="AI355" s="143" t="str">
        <f t="shared" ca="1" si="164"/>
        <v/>
      </c>
      <c r="AJ355" s="143" t="str">
        <f t="shared" ca="1" si="165"/>
        <v/>
      </c>
      <c r="AK355" s="143" t="str">
        <f t="shared" ca="1" si="166"/>
        <v/>
      </c>
      <c r="AL355" s="143" t="str">
        <f t="shared" ca="1" si="167"/>
        <v/>
      </c>
      <c r="AM355" s="143" t="str">
        <f t="shared" ca="1" si="168"/>
        <v/>
      </c>
      <c r="AN355" s="143" t="str">
        <f t="shared" ca="1" si="169"/>
        <v/>
      </c>
      <c r="AO355" s="143" t="str">
        <f t="shared" ca="1" si="170"/>
        <v/>
      </c>
      <c r="AP355" s="143" t="str">
        <f t="shared" ca="1" si="171"/>
        <v/>
      </c>
    </row>
    <row r="356" spans="30:42" x14ac:dyDescent="0.55000000000000004">
      <c r="AD356" s="143" t="str">
        <f t="shared" ca="1" si="159"/>
        <v/>
      </c>
      <c r="AE356" s="143" t="str">
        <f t="shared" ca="1" si="160"/>
        <v/>
      </c>
      <c r="AF356" s="143" t="str">
        <f t="shared" ca="1" si="161"/>
        <v/>
      </c>
      <c r="AG356" s="143" t="str">
        <f t="shared" ca="1" si="162"/>
        <v/>
      </c>
      <c r="AH356" s="150" t="str">
        <f t="shared" ca="1" si="163"/>
        <v/>
      </c>
      <c r="AI356" s="143" t="str">
        <f t="shared" ca="1" si="164"/>
        <v/>
      </c>
      <c r="AJ356" s="143" t="str">
        <f t="shared" ca="1" si="165"/>
        <v/>
      </c>
      <c r="AK356" s="143" t="str">
        <f t="shared" ca="1" si="166"/>
        <v/>
      </c>
      <c r="AL356" s="143" t="str">
        <f t="shared" ca="1" si="167"/>
        <v/>
      </c>
      <c r="AM356" s="143" t="str">
        <f t="shared" ca="1" si="168"/>
        <v/>
      </c>
      <c r="AN356" s="143" t="str">
        <f t="shared" ca="1" si="169"/>
        <v/>
      </c>
      <c r="AO356" s="143" t="str">
        <f t="shared" ca="1" si="170"/>
        <v/>
      </c>
      <c r="AP356" s="143" t="str">
        <f t="shared" ca="1" si="171"/>
        <v/>
      </c>
    </row>
    <row r="357" spans="30:42" x14ac:dyDescent="0.55000000000000004">
      <c r="AD357" s="143" t="str">
        <f t="shared" ca="1" si="159"/>
        <v/>
      </c>
      <c r="AE357" s="143" t="str">
        <f t="shared" ca="1" si="160"/>
        <v/>
      </c>
      <c r="AF357" s="143" t="str">
        <f t="shared" ca="1" si="161"/>
        <v/>
      </c>
      <c r="AG357" s="143" t="str">
        <f t="shared" ca="1" si="162"/>
        <v/>
      </c>
      <c r="AH357" s="150" t="str">
        <f t="shared" ca="1" si="163"/>
        <v/>
      </c>
      <c r="AI357" s="143" t="str">
        <f t="shared" ca="1" si="164"/>
        <v/>
      </c>
      <c r="AJ357" s="143" t="str">
        <f t="shared" ca="1" si="165"/>
        <v/>
      </c>
      <c r="AK357" s="143" t="str">
        <f t="shared" ca="1" si="166"/>
        <v/>
      </c>
      <c r="AL357" s="143" t="str">
        <f t="shared" ca="1" si="167"/>
        <v/>
      </c>
      <c r="AM357" s="143" t="str">
        <f t="shared" ca="1" si="168"/>
        <v/>
      </c>
      <c r="AN357" s="143" t="str">
        <f t="shared" ca="1" si="169"/>
        <v/>
      </c>
      <c r="AO357" s="143" t="str">
        <f t="shared" ca="1" si="170"/>
        <v/>
      </c>
      <c r="AP357" s="143" t="str">
        <f t="shared" ca="1" si="171"/>
        <v/>
      </c>
    </row>
    <row r="358" spans="30:42" x14ac:dyDescent="0.55000000000000004">
      <c r="AD358" s="143" t="str">
        <f t="shared" ca="1" si="159"/>
        <v/>
      </c>
      <c r="AE358" s="143" t="str">
        <f t="shared" ca="1" si="160"/>
        <v/>
      </c>
      <c r="AF358" s="143" t="str">
        <f t="shared" ca="1" si="161"/>
        <v/>
      </c>
      <c r="AG358" s="143" t="str">
        <f t="shared" ca="1" si="162"/>
        <v/>
      </c>
      <c r="AH358" s="150" t="str">
        <f t="shared" ca="1" si="163"/>
        <v/>
      </c>
      <c r="AI358" s="143" t="str">
        <f t="shared" ca="1" si="164"/>
        <v/>
      </c>
      <c r="AJ358" s="143" t="str">
        <f t="shared" ca="1" si="165"/>
        <v/>
      </c>
      <c r="AK358" s="143" t="str">
        <f t="shared" ca="1" si="166"/>
        <v/>
      </c>
      <c r="AL358" s="143" t="str">
        <f t="shared" ca="1" si="167"/>
        <v/>
      </c>
      <c r="AM358" s="143" t="str">
        <f t="shared" ca="1" si="168"/>
        <v/>
      </c>
      <c r="AN358" s="143" t="str">
        <f t="shared" ca="1" si="169"/>
        <v/>
      </c>
      <c r="AO358" s="143" t="str">
        <f t="shared" ca="1" si="170"/>
        <v/>
      </c>
      <c r="AP358" s="143" t="str">
        <f t="shared" ca="1" si="171"/>
        <v/>
      </c>
    </row>
    <row r="359" spans="30:42" x14ac:dyDescent="0.55000000000000004">
      <c r="AD359" s="143" t="str">
        <f t="shared" ca="1" si="159"/>
        <v/>
      </c>
      <c r="AE359" s="143" t="str">
        <f t="shared" ca="1" si="160"/>
        <v/>
      </c>
      <c r="AF359" s="143" t="str">
        <f t="shared" ca="1" si="161"/>
        <v/>
      </c>
      <c r="AG359" s="143" t="str">
        <f t="shared" ca="1" si="162"/>
        <v/>
      </c>
      <c r="AH359" s="150" t="str">
        <f t="shared" ca="1" si="163"/>
        <v/>
      </c>
      <c r="AI359" s="143" t="str">
        <f t="shared" ca="1" si="164"/>
        <v/>
      </c>
      <c r="AJ359" s="143" t="str">
        <f t="shared" ca="1" si="165"/>
        <v/>
      </c>
      <c r="AK359" s="143" t="str">
        <f t="shared" ca="1" si="166"/>
        <v/>
      </c>
      <c r="AL359" s="143" t="str">
        <f t="shared" ca="1" si="167"/>
        <v/>
      </c>
      <c r="AM359" s="143" t="str">
        <f t="shared" ca="1" si="168"/>
        <v/>
      </c>
      <c r="AN359" s="143" t="str">
        <f t="shared" ca="1" si="169"/>
        <v/>
      </c>
      <c r="AO359" s="143" t="str">
        <f t="shared" ca="1" si="170"/>
        <v/>
      </c>
      <c r="AP359" s="143" t="str">
        <f t="shared" ca="1" si="171"/>
        <v/>
      </c>
    </row>
    <row r="360" spans="30:42" x14ac:dyDescent="0.55000000000000004">
      <c r="AD360" s="143" t="str">
        <f t="shared" ca="1" si="159"/>
        <v/>
      </c>
      <c r="AE360" s="143" t="str">
        <f t="shared" ca="1" si="160"/>
        <v/>
      </c>
      <c r="AF360" s="143" t="str">
        <f t="shared" ca="1" si="161"/>
        <v/>
      </c>
      <c r="AG360" s="143" t="str">
        <f t="shared" ca="1" si="162"/>
        <v/>
      </c>
      <c r="AH360" s="150" t="str">
        <f t="shared" ca="1" si="163"/>
        <v/>
      </c>
      <c r="AI360" s="143" t="str">
        <f t="shared" ca="1" si="164"/>
        <v/>
      </c>
      <c r="AJ360" s="143" t="str">
        <f t="shared" ca="1" si="165"/>
        <v/>
      </c>
      <c r="AK360" s="143" t="str">
        <f t="shared" ca="1" si="166"/>
        <v/>
      </c>
      <c r="AL360" s="143" t="str">
        <f t="shared" ca="1" si="167"/>
        <v/>
      </c>
      <c r="AM360" s="143" t="str">
        <f t="shared" ca="1" si="168"/>
        <v/>
      </c>
      <c r="AN360" s="143" t="str">
        <f t="shared" ca="1" si="169"/>
        <v/>
      </c>
      <c r="AO360" s="143" t="str">
        <f t="shared" ca="1" si="170"/>
        <v/>
      </c>
      <c r="AP360" s="143" t="str">
        <f t="shared" ca="1" si="171"/>
        <v/>
      </c>
    </row>
    <row r="361" spans="30:42" x14ac:dyDescent="0.55000000000000004">
      <c r="AD361" s="143" t="str">
        <f t="shared" ca="1" si="159"/>
        <v/>
      </c>
      <c r="AE361" s="143" t="str">
        <f t="shared" ca="1" si="160"/>
        <v/>
      </c>
      <c r="AF361" s="143" t="str">
        <f t="shared" ca="1" si="161"/>
        <v/>
      </c>
      <c r="AG361" s="143" t="str">
        <f t="shared" ca="1" si="162"/>
        <v/>
      </c>
      <c r="AH361" s="150" t="str">
        <f t="shared" ca="1" si="163"/>
        <v/>
      </c>
      <c r="AI361" s="143" t="str">
        <f t="shared" ca="1" si="164"/>
        <v/>
      </c>
      <c r="AJ361" s="143" t="str">
        <f t="shared" ca="1" si="165"/>
        <v/>
      </c>
      <c r="AK361" s="143" t="str">
        <f t="shared" ca="1" si="166"/>
        <v/>
      </c>
      <c r="AL361" s="143" t="str">
        <f t="shared" ca="1" si="167"/>
        <v/>
      </c>
      <c r="AM361" s="143" t="str">
        <f t="shared" ca="1" si="168"/>
        <v/>
      </c>
      <c r="AN361" s="143" t="str">
        <f t="shared" ca="1" si="169"/>
        <v/>
      </c>
      <c r="AO361" s="143" t="str">
        <f t="shared" ca="1" si="170"/>
        <v/>
      </c>
      <c r="AP361" s="143" t="str">
        <f t="shared" ca="1" si="171"/>
        <v/>
      </c>
    </row>
    <row r="362" spans="30:42" x14ac:dyDescent="0.55000000000000004">
      <c r="AD362" s="143" t="str">
        <f t="shared" ca="1" si="159"/>
        <v/>
      </c>
      <c r="AE362" s="143" t="str">
        <f t="shared" ca="1" si="160"/>
        <v/>
      </c>
      <c r="AF362" s="143" t="str">
        <f t="shared" ca="1" si="161"/>
        <v/>
      </c>
      <c r="AG362" s="143" t="str">
        <f t="shared" ca="1" si="162"/>
        <v/>
      </c>
      <c r="AH362" s="150" t="str">
        <f t="shared" ca="1" si="163"/>
        <v/>
      </c>
      <c r="AI362" s="143" t="str">
        <f t="shared" ca="1" si="164"/>
        <v/>
      </c>
      <c r="AJ362" s="143" t="str">
        <f t="shared" ca="1" si="165"/>
        <v/>
      </c>
      <c r="AK362" s="143" t="str">
        <f t="shared" ca="1" si="166"/>
        <v/>
      </c>
      <c r="AL362" s="143" t="str">
        <f t="shared" ca="1" si="167"/>
        <v/>
      </c>
      <c r="AM362" s="143" t="str">
        <f t="shared" ca="1" si="168"/>
        <v/>
      </c>
      <c r="AN362" s="143" t="str">
        <f t="shared" ca="1" si="169"/>
        <v/>
      </c>
      <c r="AO362" s="143" t="str">
        <f t="shared" ca="1" si="170"/>
        <v/>
      </c>
      <c r="AP362" s="143" t="str">
        <f t="shared" ca="1" si="171"/>
        <v/>
      </c>
    </row>
    <row r="363" spans="30:42" x14ac:dyDescent="0.55000000000000004">
      <c r="AD363" s="143" t="str">
        <f t="shared" ca="1" si="159"/>
        <v/>
      </c>
      <c r="AE363" s="143" t="str">
        <f t="shared" ca="1" si="160"/>
        <v/>
      </c>
      <c r="AF363" s="143" t="str">
        <f t="shared" ca="1" si="161"/>
        <v/>
      </c>
      <c r="AG363" s="143" t="str">
        <f t="shared" ca="1" si="162"/>
        <v/>
      </c>
      <c r="AH363" s="150" t="str">
        <f t="shared" ca="1" si="163"/>
        <v/>
      </c>
      <c r="AI363" s="143" t="str">
        <f t="shared" ca="1" si="164"/>
        <v/>
      </c>
      <c r="AJ363" s="143" t="str">
        <f t="shared" ca="1" si="165"/>
        <v/>
      </c>
      <c r="AK363" s="143" t="str">
        <f t="shared" ca="1" si="166"/>
        <v/>
      </c>
      <c r="AL363" s="143" t="str">
        <f t="shared" ca="1" si="167"/>
        <v/>
      </c>
      <c r="AM363" s="143" t="str">
        <f t="shared" ca="1" si="168"/>
        <v/>
      </c>
      <c r="AN363" s="143" t="str">
        <f t="shared" ca="1" si="169"/>
        <v/>
      </c>
      <c r="AO363" s="143" t="str">
        <f t="shared" ca="1" si="170"/>
        <v/>
      </c>
      <c r="AP363" s="143" t="str">
        <f t="shared" ca="1" si="171"/>
        <v/>
      </c>
    </row>
    <row r="364" spans="30:42" x14ac:dyDescent="0.55000000000000004">
      <c r="AD364" s="143" t="str">
        <f t="shared" ca="1" si="159"/>
        <v/>
      </c>
      <c r="AE364" s="143" t="str">
        <f t="shared" ca="1" si="160"/>
        <v/>
      </c>
      <c r="AF364" s="143" t="str">
        <f t="shared" ca="1" si="161"/>
        <v/>
      </c>
      <c r="AG364" s="143" t="str">
        <f t="shared" ca="1" si="162"/>
        <v/>
      </c>
      <c r="AH364" s="150" t="str">
        <f t="shared" ca="1" si="163"/>
        <v/>
      </c>
      <c r="AI364" s="143" t="str">
        <f t="shared" ca="1" si="164"/>
        <v/>
      </c>
      <c r="AJ364" s="143" t="str">
        <f t="shared" ca="1" si="165"/>
        <v/>
      </c>
      <c r="AK364" s="143" t="str">
        <f t="shared" ca="1" si="166"/>
        <v/>
      </c>
      <c r="AL364" s="143" t="str">
        <f t="shared" ca="1" si="167"/>
        <v/>
      </c>
      <c r="AM364" s="143" t="str">
        <f t="shared" ca="1" si="168"/>
        <v/>
      </c>
      <c r="AN364" s="143" t="str">
        <f t="shared" ca="1" si="169"/>
        <v/>
      </c>
      <c r="AO364" s="143" t="str">
        <f t="shared" ca="1" si="170"/>
        <v/>
      </c>
      <c r="AP364" s="143" t="str">
        <f t="shared" ca="1" si="171"/>
        <v/>
      </c>
    </row>
    <row r="365" spans="30:42" x14ac:dyDescent="0.55000000000000004">
      <c r="AD365" s="143" t="str">
        <f t="shared" ca="1" si="159"/>
        <v/>
      </c>
      <c r="AE365" s="143" t="str">
        <f t="shared" ca="1" si="160"/>
        <v/>
      </c>
      <c r="AF365" s="143" t="str">
        <f t="shared" ca="1" si="161"/>
        <v/>
      </c>
      <c r="AG365" s="143" t="str">
        <f t="shared" ca="1" si="162"/>
        <v/>
      </c>
      <c r="AH365" s="150" t="str">
        <f t="shared" ca="1" si="163"/>
        <v/>
      </c>
      <c r="AI365" s="143" t="str">
        <f t="shared" ca="1" si="164"/>
        <v/>
      </c>
      <c r="AJ365" s="143" t="str">
        <f t="shared" ca="1" si="165"/>
        <v/>
      </c>
      <c r="AK365" s="143" t="str">
        <f t="shared" ca="1" si="166"/>
        <v/>
      </c>
      <c r="AL365" s="143" t="str">
        <f t="shared" ca="1" si="167"/>
        <v/>
      </c>
      <c r="AM365" s="143" t="str">
        <f t="shared" ca="1" si="168"/>
        <v/>
      </c>
      <c r="AN365" s="143" t="str">
        <f t="shared" ca="1" si="169"/>
        <v/>
      </c>
      <c r="AO365" s="143" t="str">
        <f t="shared" ca="1" si="170"/>
        <v/>
      </c>
      <c r="AP365" s="143" t="str">
        <f t="shared" ca="1" si="171"/>
        <v/>
      </c>
    </row>
    <row r="366" spans="30:42" x14ac:dyDescent="0.55000000000000004">
      <c r="AD366" s="143" t="str">
        <f t="shared" ref="AD366:AD397" ca="1" si="172">IFERROR(INDEX(AC:AC,MATCH(SMALL($AU:$AU,ROW()+3),$AU:$AU,0)),"")</f>
        <v/>
      </c>
      <c r="AE366" s="143" t="str">
        <f t="shared" ref="AE366:AE374" ca="1" si="173">IFERROR(INDEX(R:R,MATCH(SMALL($AU:$AU,ROW()+3),$AU:$AU,0)),"")</f>
        <v/>
      </c>
      <c r="AF366" s="143" t="str">
        <f t="shared" ref="AF366:AF374" ca="1" si="174">IFERROR(INDEX(S:S,MATCH(SMALL($AU:$AU,ROW()+3),$AU:$AU,0)),"")</f>
        <v/>
      </c>
      <c r="AG366" s="143" t="str">
        <f t="shared" ref="AG366:AG374" ca="1" si="175">IFERROR(INDEX(T:T,MATCH(SMALL($AU:$AU,ROW()+3),$AU:$AU,0)),"")</f>
        <v/>
      </c>
      <c r="AH366" s="150" t="str">
        <f t="shared" ref="AH366:AH374" ca="1" si="176">IFERROR(INDEX(U:U,MATCH(SMALL($AU:$AU,ROW()+3),$AU:$AU,0)),"")</f>
        <v/>
      </c>
      <c r="AI366" s="143" t="str">
        <f t="shared" ref="AI366:AI374" ca="1" si="177">IFERROR(INDEX(V:V,MATCH(SMALL($AU:$AU,ROW()+3),$AU:$AU,0)),"")</f>
        <v/>
      </c>
      <c r="AJ366" s="143" t="str">
        <f t="shared" ref="AJ366:AJ374" ca="1" si="178">IFERROR(INDEX(W:W,MATCH(SMALL($AU:$AU,ROW()+3),$AU:$AU,0)),"")</f>
        <v/>
      </c>
      <c r="AK366" s="143" t="str">
        <f t="shared" ref="AK366:AK374" ca="1" si="179">IFERROR(INDEX(X:X,MATCH(SMALL($AU:$AU,ROW()+3),$AU:$AU,0)),"")</f>
        <v/>
      </c>
      <c r="AL366" s="143" t="str">
        <f t="shared" ref="AL366:AL374" ca="1" si="180">IFERROR(INDEX(Y:Y,MATCH(SMALL($AU:$AU,ROW()+3),$AU:$AU,0)),"")</f>
        <v/>
      </c>
      <c r="AM366" s="143" t="str">
        <f t="shared" ref="AM366:AM374" ca="1" si="181">IFERROR(INDEX(Z:Z,MATCH(SMALL($AU:$AU,ROW()+3),$AU:$AU,0)),"")</f>
        <v/>
      </c>
      <c r="AN366" s="143" t="str">
        <f t="shared" ref="AN366:AN374" ca="1" si="182">IFERROR(INDEX(AA:AA,MATCH(SMALL($AU:$AU,ROW()+3),$AU:$AU,0)),"")</f>
        <v/>
      </c>
      <c r="AO366" s="143" t="str">
        <f t="shared" ref="AO366:AO374" ca="1" si="183">IFERROR(INDEX(AB:AB,MATCH(SMALL($AU:$AU,ROW()+3),$AU:$AU,0)),"")</f>
        <v/>
      </c>
      <c r="AP366" s="143" t="str">
        <f t="shared" ref="AP366:AP374" ca="1" si="184">IFERROR(INDEX(AC:AC,MATCH(SMALL($AU:$AU,ROW()+3),$AU:$AU,0)),"")</f>
        <v/>
      </c>
    </row>
    <row r="367" spans="30:42" x14ac:dyDescent="0.55000000000000004">
      <c r="AD367" s="143" t="str">
        <f t="shared" ca="1" si="172"/>
        <v/>
      </c>
      <c r="AE367" s="143" t="str">
        <f t="shared" ca="1" si="173"/>
        <v/>
      </c>
      <c r="AF367" s="143" t="str">
        <f t="shared" ca="1" si="174"/>
        <v/>
      </c>
      <c r="AG367" s="143" t="str">
        <f t="shared" ca="1" si="175"/>
        <v/>
      </c>
      <c r="AH367" s="150" t="str">
        <f t="shared" ca="1" si="176"/>
        <v/>
      </c>
      <c r="AI367" s="143" t="str">
        <f t="shared" ca="1" si="177"/>
        <v/>
      </c>
      <c r="AJ367" s="143" t="str">
        <f t="shared" ca="1" si="178"/>
        <v/>
      </c>
      <c r="AK367" s="143" t="str">
        <f t="shared" ca="1" si="179"/>
        <v/>
      </c>
      <c r="AL367" s="143" t="str">
        <f t="shared" ca="1" si="180"/>
        <v/>
      </c>
      <c r="AM367" s="143" t="str">
        <f t="shared" ca="1" si="181"/>
        <v/>
      </c>
      <c r="AN367" s="143" t="str">
        <f t="shared" ca="1" si="182"/>
        <v/>
      </c>
      <c r="AO367" s="143" t="str">
        <f t="shared" ca="1" si="183"/>
        <v/>
      </c>
      <c r="AP367" s="143" t="str">
        <f t="shared" ca="1" si="184"/>
        <v/>
      </c>
    </row>
    <row r="368" spans="30:42" x14ac:dyDescent="0.55000000000000004">
      <c r="AD368" s="143" t="str">
        <f t="shared" ca="1" si="172"/>
        <v/>
      </c>
      <c r="AE368" s="143" t="str">
        <f t="shared" ca="1" si="173"/>
        <v/>
      </c>
      <c r="AF368" s="143" t="str">
        <f t="shared" ca="1" si="174"/>
        <v/>
      </c>
      <c r="AG368" s="143" t="str">
        <f t="shared" ca="1" si="175"/>
        <v/>
      </c>
      <c r="AH368" s="150" t="str">
        <f t="shared" ca="1" si="176"/>
        <v/>
      </c>
      <c r="AI368" s="143" t="str">
        <f t="shared" ca="1" si="177"/>
        <v/>
      </c>
      <c r="AJ368" s="143" t="str">
        <f t="shared" ca="1" si="178"/>
        <v/>
      </c>
      <c r="AK368" s="143" t="str">
        <f t="shared" ca="1" si="179"/>
        <v/>
      </c>
      <c r="AL368" s="143" t="str">
        <f t="shared" ca="1" si="180"/>
        <v/>
      </c>
      <c r="AM368" s="143" t="str">
        <f t="shared" ca="1" si="181"/>
        <v/>
      </c>
      <c r="AN368" s="143" t="str">
        <f t="shared" ca="1" si="182"/>
        <v/>
      </c>
      <c r="AO368" s="143" t="str">
        <f t="shared" ca="1" si="183"/>
        <v/>
      </c>
      <c r="AP368" s="143" t="str">
        <f t="shared" ca="1" si="184"/>
        <v/>
      </c>
    </row>
    <row r="369" spans="30:42" x14ac:dyDescent="0.55000000000000004">
      <c r="AD369" s="143" t="str">
        <f t="shared" ca="1" si="172"/>
        <v/>
      </c>
      <c r="AE369" s="143" t="str">
        <f t="shared" ca="1" si="173"/>
        <v/>
      </c>
      <c r="AF369" s="143" t="str">
        <f t="shared" ca="1" si="174"/>
        <v/>
      </c>
      <c r="AG369" s="143" t="str">
        <f t="shared" ca="1" si="175"/>
        <v/>
      </c>
      <c r="AH369" s="150" t="str">
        <f t="shared" ca="1" si="176"/>
        <v/>
      </c>
      <c r="AI369" s="143" t="str">
        <f t="shared" ca="1" si="177"/>
        <v/>
      </c>
      <c r="AJ369" s="143" t="str">
        <f t="shared" ca="1" si="178"/>
        <v/>
      </c>
      <c r="AK369" s="143" t="str">
        <f t="shared" ca="1" si="179"/>
        <v/>
      </c>
      <c r="AL369" s="143" t="str">
        <f t="shared" ca="1" si="180"/>
        <v/>
      </c>
      <c r="AM369" s="143" t="str">
        <f t="shared" ca="1" si="181"/>
        <v/>
      </c>
      <c r="AN369" s="143" t="str">
        <f t="shared" ca="1" si="182"/>
        <v/>
      </c>
      <c r="AO369" s="143" t="str">
        <f t="shared" ca="1" si="183"/>
        <v/>
      </c>
      <c r="AP369" s="143" t="str">
        <f t="shared" ca="1" si="184"/>
        <v/>
      </c>
    </row>
    <row r="370" spans="30:42" x14ac:dyDescent="0.55000000000000004">
      <c r="AD370" s="143" t="str">
        <f t="shared" ca="1" si="172"/>
        <v/>
      </c>
      <c r="AE370" s="143" t="str">
        <f t="shared" ca="1" si="173"/>
        <v/>
      </c>
      <c r="AF370" s="143" t="str">
        <f t="shared" ca="1" si="174"/>
        <v/>
      </c>
      <c r="AG370" s="143" t="str">
        <f t="shared" ca="1" si="175"/>
        <v/>
      </c>
      <c r="AH370" s="150" t="str">
        <f t="shared" ca="1" si="176"/>
        <v/>
      </c>
      <c r="AI370" s="143" t="str">
        <f t="shared" ca="1" si="177"/>
        <v/>
      </c>
      <c r="AJ370" s="143" t="str">
        <f t="shared" ca="1" si="178"/>
        <v/>
      </c>
      <c r="AK370" s="143" t="str">
        <f t="shared" ca="1" si="179"/>
        <v/>
      </c>
      <c r="AL370" s="143" t="str">
        <f t="shared" ca="1" si="180"/>
        <v/>
      </c>
      <c r="AM370" s="143" t="str">
        <f t="shared" ca="1" si="181"/>
        <v/>
      </c>
      <c r="AN370" s="143" t="str">
        <f t="shared" ca="1" si="182"/>
        <v/>
      </c>
      <c r="AO370" s="143" t="str">
        <f t="shared" ca="1" si="183"/>
        <v/>
      </c>
      <c r="AP370" s="143" t="str">
        <f t="shared" ca="1" si="184"/>
        <v/>
      </c>
    </row>
    <row r="371" spans="30:42" x14ac:dyDescent="0.55000000000000004">
      <c r="AD371" s="143" t="str">
        <f t="shared" ca="1" si="172"/>
        <v/>
      </c>
      <c r="AE371" s="143" t="str">
        <f t="shared" ca="1" si="173"/>
        <v/>
      </c>
      <c r="AF371" s="143" t="str">
        <f t="shared" ca="1" si="174"/>
        <v/>
      </c>
      <c r="AG371" s="143" t="str">
        <f t="shared" ca="1" si="175"/>
        <v/>
      </c>
      <c r="AH371" s="150" t="str">
        <f t="shared" ca="1" si="176"/>
        <v/>
      </c>
      <c r="AI371" s="143" t="str">
        <f t="shared" ca="1" si="177"/>
        <v/>
      </c>
      <c r="AJ371" s="143" t="str">
        <f t="shared" ca="1" si="178"/>
        <v/>
      </c>
      <c r="AK371" s="143" t="str">
        <f t="shared" ca="1" si="179"/>
        <v/>
      </c>
      <c r="AL371" s="143" t="str">
        <f t="shared" ca="1" si="180"/>
        <v/>
      </c>
      <c r="AM371" s="143" t="str">
        <f t="shared" ca="1" si="181"/>
        <v/>
      </c>
      <c r="AN371" s="143" t="str">
        <f t="shared" ca="1" si="182"/>
        <v/>
      </c>
      <c r="AO371" s="143" t="str">
        <f t="shared" ca="1" si="183"/>
        <v/>
      </c>
      <c r="AP371" s="143" t="str">
        <f t="shared" ca="1" si="184"/>
        <v/>
      </c>
    </row>
    <row r="372" spans="30:42" x14ac:dyDescent="0.55000000000000004">
      <c r="AD372" s="143" t="str">
        <f t="shared" ca="1" si="172"/>
        <v/>
      </c>
      <c r="AE372" s="143" t="str">
        <f t="shared" ca="1" si="173"/>
        <v/>
      </c>
      <c r="AF372" s="143" t="str">
        <f t="shared" ca="1" si="174"/>
        <v/>
      </c>
      <c r="AG372" s="143" t="str">
        <f t="shared" ca="1" si="175"/>
        <v/>
      </c>
      <c r="AH372" s="150" t="str">
        <f t="shared" ca="1" si="176"/>
        <v/>
      </c>
      <c r="AI372" s="143" t="str">
        <f t="shared" ca="1" si="177"/>
        <v/>
      </c>
      <c r="AJ372" s="143" t="str">
        <f t="shared" ca="1" si="178"/>
        <v/>
      </c>
      <c r="AK372" s="143" t="str">
        <f t="shared" ca="1" si="179"/>
        <v/>
      </c>
      <c r="AL372" s="143" t="str">
        <f t="shared" ca="1" si="180"/>
        <v/>
      </c>
      <c r="AM372" s="143" t="str">
        <f t="shared" ca="1" si="181"/>
        <v/>
      </c>
      <c r="AN372" s="143" t="str">
        <f t="shared" ca="1" si="182"/>
        <v/>
      </c>
      <c r="AO372" s="143" t="str">
        <f t="shared" ca="1" si="183"/>
        <v/>
      </c>
      <c r="AP372" s="143" t="str">
        <f t="shared" ca="1" si="184"/>
        <v/>
      </c>
    </row>
    <row r="373" spans="30:42" x14ac:dyDescent="0.55000000000000004">
      <c r="AD373" s="143" t="str">
        <f t="shared" ca="1" si="172"/>
        <v/>
      </c>
      <c r="AE373" s="143" t="str">
        <f t="shared" ca="1" si="173"/>
        <v/>
      </c>
      <c r="AF373" s="143" t="str">
        <f t="shared" ca="1" si="174"/>
        <v/>
      </c>
      <c r="AG373" s="143" t="str">
        <f t="shared" ca="1" si="175"/>
        <v/>
      </c>
      <c r="AH373" s="150" t="str">
        <f t="shared" ca="1" si="176"/>
        <v/>
      </c>
      <c r="AI373" s="143" t="str">
        <f t="shared" ca="1" si="177"/>
        <v/>
      </c>
      <c r="AJ373" s="143" t="str">
        <f t="shared" ca="1" si="178"/>
        <v/>
      </c>
      <c r="AK373" s="143" t="str">
        <f t="shared" ca="1" si="179"/>
        <v/>
      </c>
      <c r="AL373" s="143" t="str">
        <f t="shared" ca="1" si="180"/>
        <v/>
      </c>
      <c r="AM373" s="143" t="str">
        <f t="shared" ca="1" si="181"/>
        <v/>
      </c>
      <c r="AN373" s="143" t="str">
        <f t="shared" ca="1" si="182"/>
        <v/>
      </c>
      <c r="AO373" s="143" t="str">
        <f t="shared" ca="1" si="183"/>
        <v/>
      </c>
      <c r="AP373" s="143" t="str">
        <f t="shared" ca="1" si="184"/>
        <v/>
      </c>
    </row>
    <row r="374" spans="30:42" x14ac:dyDescent="0.55000000000000004">
      <c r="AD374" s="143" t="str">
        <f t="shared" ca="1" si="172"/>
        <v/>
      </c>
      <c r="AE374" s="143" t="str">
        <f t="shared" ca="1" si="173"/>
        <v/>
      </c>
      <c r="AF374" s="143" t="str">
        <f t="shared" ca="1" si="174"/>
        <v/>
      </c>
      <c r="AG374" s="143" t="str">
        <f t="shared" ca="1" si="175"/>
        <v/>
      </c>
      <c r="AH374" s="150" t="str">
        <f t="shared" ca="1" si="176"/>
        <v/>
      </c>
      <c r="AI374" s="143" t="str">
        <f t="shared" ca="1" si="177"/>
        <v/>
      </c>
      <c r="AJ374" s="143" t="str">
        <f t="shared" ca="1" si="178"/>
        <v/>
      </c>
      <c r="AK374" s="143" t="str">
        <f t="shared" ca="1" si="179"/>
        <v/>
      </c>
      <c r="AL374" s="143" t="str">
        <f t="shared" ca="1" si="180"/>
        <v/>
      </c>
      <c r="AM374" s="143" t="str">
        <f t="shared" ca="1" si="181"/>
        <v/>
      </c>
      <c r="AN374" s="143" t="str">
        <f t="shared" ca="1" si="182"/>
        <v/>
      </c>
      <c r="AO374" s="143" t="str">
        <f t="shared" ca="1" si="183"/>
        <v/>
      </c>
      <c r="AP374" s="143" t="str">
        <f t="shared" ca="1" si="184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55" zoomScaleNormal="55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E6" sqref="E6"/>
    </sheetView>
  </sheetViews>
  <sheetFormatPr defaultRowHeight="16.2" customHeight="1" x14ac:dyDescent="0.35"/>
  <cols>
    <col min="1" max="1" width="26.69921875" style="70" customWidth="1"/>
    <col min="2" max="2" width="10.59765625" style="132" customWidth="1"/>
    <col min="3" max="3" width="5.09765625" style="132" customWidth="1"/>
    <col min="4" max="4" width="10.59765625" style="132" customWidth="1"/>
    <col min="5" max="5" width="5.09765625" style="132" customWidth="1"/>
    <col min="6" max="6" width="10.8984375" style="132" customWidth="1"/>
    <col min="7" max="7" width="5.09765625" style="132" customWidth="1"/>
    <col min="8" max="8" width="10.59765625" style="132" customWidth="1"/>
    <col min="9" max="9" width="5.09765625" style="132" customWidth="1"/>
    <col min="10" max="10" width="10.59765625" style="132" customWidth="1"/>
    <col min="11" max="11" width="5.09765625" style="132" customWidth="1"/>
    <col min="12" max="12" width="10.59765625" style="132" customWidth="1"/>
    <col min="13" max="13" width="5.09765625" style="132" customWidth="1"/>
    <col min="14" max="14" width="10.59765625" style="132" customWidth="1"/>
    <col min="15" max="15" width="5.09765625" style="132" customWidth="1"/>
    <col min="16" max="16" width="10.59765625" style="132" customWidth="1"/>
    <col min="17" max="17" width="5.09765625" style="132" customWidth="1"/>
    <col min="18" max="18" width="10.59765625" style="132" customWidth="1"/>
    <col min="19" max="19" width="5.09765625" style="132" customWidth="1"/>
    <col min="20" max="20" width="10.59765625" style="132" customWidth="1"/>
    <col min="21" max="21" width="5.09765625" style="132" customWidth="1"/>
    <col min="22" max="22" width="10.59765625" style="133" customWidth="1"/>
    <col min="23" max="23" width="5.09765625" style="132" customWidth="1"/>
    <col min="24" max="24" width="10.59765625" style="133" customWidth="1"/>
    <col min="25" max="25" width="5.09765625" style="132" customWidth="1"/>
    <col min="26" max="26" width="10.59765625" style="133" customWidth="1"/>
    <col min="27" max="27" width="5.09765625" style="132" customWidth="1"/>
    <col min="28" max="28" width="10.59765625" style="133" customWidth="1"/>
    <col min="29" max="29" width="5.09765625" style="132" customWidth="1"/>
    <col min="30" max="30" width="10.59765625" style="133" customWidth="1"/>
    <col min="31" max="31" width="5.09765625" style="132" customWidth="1"/>
    <col min="32" max="32" width="10.59765625" style="133" customWidth="1"/>
    <col min="33" max="33" width="5.09765625" style="132" customWidth="1"/>
    <col min="34" max="34" width="10.59765625" style="133" customWidth="1"/>
    <col min="35" max="35" width="5.09765625" style="132" customWidth="1"/>
    <col min="36" max="36" width="10.59765625" style="133" customWidth="1"/>
    <col min="37" max="37" width="5.09765625" style="132" customWidth="1"/>
    <col min="38" max="38" width="11.3984375" style="133" customWidth="1"/>
    <col min="39" max="39" width="32.796875" style="70" customWidth="1"/>
    <col min="40" max="40" width="27.69921875" style="70" customWidth="1"/>
    <col min="41" max="81" width="8.796875" style="58" customWidth="1"/>
    <col min="82" max="16384" width="8.796875" style="58"/>
  </cols>
  <sheetData>
    <row r="1" spans="1:42" s="67" customFormat="1" ht="19.8" customHeight="1" thickTop="1" x14ac:dyDescent="0.45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163</v>
      </c>
      <c r="AN1" s="119"/>
      <c r="AP1" s="67" t="b">
        <v>0</v>
      </c>
    </row>
    <row r="2" spans="1:42" s="67" customFormat="1" ht="19.8" customHeight="1" thickBot="1" x14ac:dyDescent="0.5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45</v>
      </c>
      <c r="Q2" s="128"/>
      <c r="R2" s="128"/>
      <c r="S2" s="128"/>
      <c r="T2" s="128" t="s">
        <v>46</v>
      </c>
      <c r="U2" s="128"/>
      <c r="V2" s="128"/>
      <c r="W2" s="128"/>
      <c r="X2" s="128" t="s">
        <v>45</v>
      </c>
      <c r="Y2" s="128"/>
      <c r="Z2" s="128"/>
      <c r="AA2" s="128"/>
      <c r="AB2" s="128" t="s">
        <v>47</v>
      </c>
      <c r="AC2" s="128"/>
      <c r="AD2" s="128"/>
      <c r="AE2" s="128"/>
      <c r="AF2" s="128"/>
      <c r="AG2" s="128"/>
      <c r="AI2" s="128"/>
      <c r="AJ2" s="128"/>
      <c r="AK2" s="128"/>
      <c r="AL2" s="128" t="s">
        <v>48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 x14ac:dyDescent="0.45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9</v>
      </c>
      <c r="G3" s="113" t="s">
        <v>9</v>
      </c>
      <c r="H3" s="113" t="s">
        <v>9</v>
      </c>
      <c r="I3" s="113" t="s">
        <v>9</v>
      </c>
      <c r="J3" s="113" t="s">
        <v>9</v>
      </c>
      <c r="K3" s="116" t="s">
        <v>9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49</v>
      </c>
      <c r="AM3" s="72"/>
      <c r="AN3" s="118"/>
    </row>
    <row r="4" spans="1:42" s="67" customFormat="1" ht="16.2" customHeight="1" x14ac:dyDescent="0.45">
      <c r="A4" s="124" t="s">
        <v>50</v>
      </c>
      <c r="B4" s="115" t="s">
        <v>51</v>
      </c>
      <c r="C4" s="123" t="s">
        <v>51</v>
      </c>
      <c r="D4" s="115" t="s">
        <v>51</v>
      </c>
      <c r="E4" s="123" t="s">
        <v>51</v>
      </c>
      <c r="F4" s="115" t="s">
        <v>51</v>
      </c>
      <c r="G4" s="123" t="s">
        <v>51</v>
      </c>
      <c r="H4" s="115" t="s">
        <v>52</v>
      </c>
      <c r="I4" s="123" t="s">
        <v>52</v>
      </c>
      <c r="J4" s="115" t="s">
        <v>53</v>
      </c>
      <c r="K4" s="123" t="s">
        <v>53</v>
      </c>
      <c r="L4" s="115" t="s">
        <v>51</v>
      </c>
      <c r="M4" s="123" t="s">
        <v>51</v>
      </c>
      <c r="N4" s="115" t="s">
        <v>51</v>
      </c>
      <c r="O4" s="123" t="s">
        <v>51</v>
      </c>
      <c r="P4" s="115" t="s">
        <v>52</v>
      </c>
      <c r="Q4" s="123" t="s">
        <v>52</v>
      </c>
      <c r="R4" s="115" t="s">
        <v>52</v>
      </c>
      <c r="S4" s="123" t="s">
        <v>52</v>
      </c>
      <c r="T4" s="115" t="s">
        <v>53</v>
      </c>
      <c r="U4" s="137" t="s">
        <v>53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 x14ac:dyDescent="0.45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57</v>
      </c>
      <c r="I5" s="136" t="s">
        <v>57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57</v>
      </c>
      <c r="Q5" s="136" t="s">
        <v>57</v>
      </c>
      <c r="R5" s="61" t="s">
        <v>58</v>
      </c>
      <c r="S5" s="136" t="s">
        <v>58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 x14ac:dyDescent="0.45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9" t="str">
        <f ca="1">IFERROR(VALUE(IF(VLOOKUP($A6,数出表_Excel!$A$6:$T$150,COLUMN()/2+1,FALSE)=0,"",VLOOKUP($A6,数出表_Excel!$A$6:$T$150,COLUMN()/2+1,FALSE))),"")</f>
        <v/>
      </c>
      <c r="C6" s="63"/>
      <c r="D6" s="149" t="str">
        <f ca="1">IFERROR(VALUE(IF(VLOOKUP($A6,数出表_Excel!$A$6:$T$150,COLUMN()/2+1,FALSE)=0,"",VLOOKUP($A6,数出表_Excel!$A$6:$T$150,COLUMN()/2+1,FALSE))),"")</f>
        <v/>
      </c>
      <c r="E6" s="63"/>
      <c r="F6" s="149" t="str">
        <f ca="1">IFERROR(VALUE(IF(VLOOKUP($A6,数出表_Excel!$A$6:$T$150,COLUMN()/2+1,FALSE)=0,"",VLOOKUP($A6,数出表_Excel!$A$6:$T$150,COLUMN()/2+1,FALSE))),"")</f>
        <v/>
      </c>
      <c r="G6" s="63"/>
      <c r="H6" s="149" t="str">
        <f ca="1">IFERROR(VALUE(IF(VLOOKUP($A6,数出表_Excel!$A$6:$T$150,COLUMN()/2+1,FALSE)=0,"",VLOOKUP($A6,数出表_Excel!$A$6:$T$150,COLUMN()/2+1,FALSE))),"")</f>
        <v/>
      </c>
      <c r="I6" s="63"/>
      <c r="J6" s="149" t="str">
        <f ca="1">IFERROR(VALUE(IF(VLOOKUP($A6,数出表_Excel!$A$6:$T$150,COLUMN()/2+1,FALSE)=0,"",VLOOKUP($A6,数出表_Excel!$A$6:$T$150,COLUMN()/2+1,FALSE))),"")</f>
        <v/>
      </c>
      <c r="K6" s="63"/>
      <c r="L6" s="149" t="str">
        <f ca="1">IFERROR(VALUE(IF(VLOOKUP($A6,数出表_Excel!$A$6:$T$150,COLUMN()/2+1,FALSE)=0,"",VLOOKUP($A6,数出表_Excel!$A$6:$T$150,COLUMN()/2+1,FALSE))),"")</f>
        <v/>
      </c>
      <c r="M6" s="63"/>
      <c r="N6" s="149" t="str">
        <f ca="1">IFERROR(VALUE(IF(VLOOKUP($A6,数出表_Excel!$A$6:$T$150,COLUMN()/2+1,FALSE)=0,"",VLOOKUP($A6,数出表_Excel!$A$6:$T$150,COLUMN()/2+1,FALSE))),"")</f>
        <v/>
      </c>
      <c r="O6" s="63"/>
      <c r="P6" s="149" t="str">
        <f ca="1">IFERROR(VALUE(IF(VLOOKUP($A6,数出表_Excel!$A$6:$T$150,COLUMN()/2+1,FALSE)=0,"",VLOOKUP($A6,数出表_Excel!$A$6:$T$150,COLUMN()/2+1,FALSE))),"")</f>
        <v/>
      </c>
      <c r="Q6" s="63"/>
      <c r="R6" s="149" t="str">
        <f ca="1">IFERROR(VALUE(IF(VLOOKUP($A6,数出表_Excel!$A$6:$T$150,COLUMN()/2+1,FALSE)=0,"",VLOOKUP($A6,数出表_Excel!$A$6:$T$150,COLUMN()/2+1,FALSE))),"")</f>
        <v/>
      </c>
      <c r="S6" s="63"/>
      <c r="T6" s="149" t="str">
        <f ca="1">IFERROR(VALUE(IF(VLOOKUP($A6,数出表_Excel!$A$6:$T$150,COLUMN()/2+1,FALSE)=0,"",VLOOKUP($A6,数出表_Excel!$A$6:$T$150,COLUMN()/2+1,FALSE))),"")</f>
        <v/>
      </c>
      <c r="U6" s="63"/>
      <c r="V6" s="149" t="str">
        <f ca="1">IFERROR(VALUE(IF(VLOOKUP($A6,数出表_Excel!$A$6:$T$150,COLUMN()/2+1,FALSE)=0,"",VLOOKUP($A6,数出表_Excel!$A$6:$T$150,COLUMN()/2+1,FALSE))),"")</f>
        <v/>
      </c>
      <c r="W6" s="63"/>
      <c r="X6" s="149" t="str">
        <f ca="1">IFERROR(VALUE(IF(VLOOKUP($A6,数出表_Excel!$A$6:$T$150,COLUMN()/2+1,FALSE)=0,"",VLOOKUP($A6,数出表_Excel!$A$6:$T$150,COLUMN()/2+1,FALSE))),"")</f>
        <v/>
      </c>
      <c r="Y6" s="63"/>
      <c r="Z6" s="149" t="str">
        <f ca="1">IFERROR(VALUE(IF(VLOOKUP($A6,数出表_Excel!$A$6:$T$150,COLUMN()/2+1,FALSE)=0,"",VLOOKUP($A6,数出表_Excel!$A$6:$T$150,COLUMN()/2+1,FALSE))),"")</f>
        <v/>
      </c>
      <c r="AA6" s="63"/>
      <c r="AB6" s="149" t="str">
        <f ca="1">IFERROR(VALUE(IF(VLOOKUP($A6,数出表_Excel!$A$6:$T$150,COLUMN()/2+1,FALSE)=0,"",VLOOKUP($A6,数出表_Excel!$A$6:$T$150,COLUMN()/2+1,FALSE))),"")</f>
        <v/>
      </c>
      <c r="AC6" s="63"/>
      <c r="AD6" s="149" t="str">
        <f ca="1">IFERROR(VALUE(IF(VLOOKUP($A6,数出表_Excel!$A$6:$T$150,COLUMN()/2+1,FALSE)=0,"",VLOOKUP($A6,数出表_Excel!$A$6:$T$150,COLUMN()/2+1,FALSE))),"")</f>
        <v/>
      </c>
      <c r="AE6" s="63"/>
      <c r="AF6" s="149" t="str">
        <f ca="1">IFERROR(VALUE(IF(VLOOKUP($A6,数出表_Excel!$A$6:$T$150,COLUMN()/2+1,FALSE)=0,"",VLOOKUP($A6,数出表_Excel!$A$6:$T$150,COLUMN()/2+1,FALSE))),"")</f>
        <v/>
      </c>
      <c r="AG6" s="63"/>
      <c r="AH6" s="149" t="str">
        <f ca="1">IFERROR(VALUE(IF(VLOOKUP($A6,数出表_Excel!$A$6:$T$150,COLUMN()/2+1,FALSE)=0,"",VLOOKUP($A6,数出表_Excel!$A$6:$T$150,COLUMN()/2+1,FALSE))),"")</f>
        <v/>
      </c>
      <c r="AI6" s="63"/>
      <c r="AJ6" s="149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 x14ac:dyDescent="0.45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 x14ac:dyDescent="0.45">
      <c r="A8" s="68" t="str">
        <f t="array" aca="1" ref="A8" ca="1">IF(OR(COUNTIF(A6,"*10002*"),COUNTIF(A6,"")),"",
IFERROR(INDEX(貼り付け用!$A$1:$A$200,MATCH(A6,貼り付け用!$A$1:$A$200,0)+2,0),""))</f>
        <v/>
      </c>
      <c r="B8" s="149" t="str">
        <f ca="1">IFERROR(VALUE(IF(VLOOKUP($A8,数出表_Excel!$A$6:$T$150,COLUMN()/2+1,FALSE)=0,"",VLOOKUP($A8,数出表_Excel!$A$6:$T$150,COLUMN()/2+1,FALSE))),"")</f>
        <v/>
      </c>
      <c r="C8" s="63"/>
      <c r="D8" s="149" t="str">
        <f ca="1">IFERROR(VALUE(IF(VLOOKUP($A8,数出表_Excel!$A$6:$T$150,COLUMN()/2+1,FALSE)=0,"",VLOOKUP($A8,数出表_Excel!$A$6:$T$150,COLUMN()/2+1,FALSE))),"")</f>
        <v/>
      </c>
      <c r="E8" s="63"/>
      <c r="F8" s="149" t="str">
        <f ca="1">IFERROR(VALUE(IF(VLOOKUP($A8,数出表_Excel!$A$6:$T$150,COLUMN()/2+1,FALSE)=0,"",VLOOKUP($A8,数出表_Excel!$A$6:$T$150,COLUMN()/2+1,FALSE))),"")</f>
        <v/>
      </c>
      <c r="G8" s="63"/>
      <c r="H8" s="149" t="str">
        <f ca="1">IFERROR(VALUE(IF(VLOOKUP($A8,数出表_Excel!$A$6:$T$150,COLUMN()/2+1,FALSE)=0,"",VLOOKUP($A8,数出表_Excel!$A$6:$T$150,COLUMN()/2+1,FALSE))),"")</f>
        <v/>
      </c>
      <c r="I8" s="63"/>
      <c r="J8" s="149" t="str">
        <f ca="1">IFERROR(VALUE(IF(VLOOKUP($A8,数出表_Excel!$A$6:$T$150,COLUMN()/2+1,FALSE)=0,"",VLOOKUP($A8,数出表_Excel!$A$6:$T$150,COLUMN()/2+1,FALSE))),"")</f>
        <v/>
      </c>
      <c r="K8" s="63"/>
      <c r="L8" s="149" t="str">
        <f ca="1">IFERROR(VALUE(IF(VLOOKUP($A8,数出表_Excel!$A$6:$T$150,COLUMN()/2+1,FALSE)=0,"",VLOOKUP($A8,数出表_Excel!$A$6:$T$150,COLUMN()/2+1,FALSE))),"")</f>
        <v/>
      </c>
      <c r="M8" s="63"/>
      <c r="N8" s="149" t="str">
        <f ca="1">IFERROR(VALUE(IF(VLOOKUP($A8,数出表_Excel!$A$6:$T$150,COLUMN()/2+1,FALSE)=0,"",VLOOKUP($A8,数出表_Excel!$A$6:$T$150,COLUMN()/2+1,FALSE))),"")</f>
        <v/>
      </c>
      <c r="O8" s="63"/>
      <c r="P8" s="149" t="str">
        <f ca="1">IFERROR(VALUE(IF(VLOOKUP($A8,数出表_Excel!$A$6:$T$150,COLUMN()/2+1,FALSE)=0,"",VLOOKUP($A8,数出表_Excel!$A$6:$T$150,COLUMN()/2+1,FALSE))),"")</f>
        <v/>
      </c>
      <c r="Q8" s="63"/>
      <c r="R8" s="149" t="str">
        <f ca="1">IFERROR(VALUE(IF(VLOOKUP($A8,数出表_Excel!$A$6:$T$150,COLUMN()/2+1,FALSE)=0,"",VLOOKUP($A8,数出表_Excel!$A$6:$T$150,COLUMN()/2+1,FALSE))),"")</f>
        <v/>
      </c>
      <c r="S8" s="63"/>
      <c r="T8" s="149" t="str">
        <f ca="1">IFERROR(VALUE(IF(VLOOKUP($A8,数出表_Excel!$A$6:$T$150,COLUMN()/2+1,FALSE)=0,"",VLOOKUP($A8,数出表_Excel!$A$6:$T$150,COLUMN()/2+1,FALSE))),"")</f>
        <v/>
      </c>
      <c r="U8" s="63"/>
      <c r="V8" s="149" t="str">
        <f ca="1">IFERROR(VALUE(IF(VLOOKUP($A8,数出表_Excel!$A$6:$T$150,COLUMN()/2+1,FALSE)=0,"",VLOOKUP($A8,数出表_Excel!$A$6:$T$150,COLUMN()/2+1,FALSE))),"")</f>
        <v/>
      </c>
      <c r="W8" s="63"/>
      <c r="X8" s="149" t="str">
        <f ca="1">IFERROR(VALUE(IF(VLOOKUP($A8,数出表_Excel!$A$6:$T$150,COLUMN()/2+1,FALSE)=0,"",VLOOKUP($A8,数出表_Excel!$A$6:$T$150,COLUMN()/2+1,FALSE))),"")</f>
        <v/>
      </c>
      <c r="Y8" s="63"/>
      <c r="Z8" s="149" t="str">
        <f ca="1">IFERROR(VALUE(IF(VLOOKUP($A8,数出表_Excel!$A$6:$T$150,COLUMN()/2+1,FALSE)=0,"",VLOOKUP($A8,数出表_Excel!$A$6:$T$150,COLUMN()/2+1,FALSE))),"")</f>
        <v/>
      </c>
      <c r="AA8" s="63"/>
      <c r="AB8" s="149" t="str">
        <f ca="1">IFERROR(VALUE(IF(VLOOKUP($A8,数出表_Excel!$A$6:$T$150,COLUMN()/2+1,FALSE)=0,"",VLOOKUP($A8,数出表_Excel!$A$6:$T$150,COLUMN()/2+1,FALSE))),"")</f>
        <v/>
      </c>
      <c r="AC8" s="63"/>
      <c r="AD8" s="149" t="str">
        <f ca="1">IFERROR(VALUE(IF(VLOOKUP($A8,数出表_Excel!$A$6:$T$150,COLUMN()/2+1,FALSE)=0,"",VLOOKUP($A8,数出表_Excel!$A$6:$T$150,COLUMN()/2+1,FALSE))),"")</f>
        <v/>
      </c>
      <c r="AE8" s="63"/>
      <c r="AF8" s="149" t="str">
        <f ca="1">IFERROR(VALUE(IF(VLOOKUP($A8,数出表_Excel!$A$6:$T$150,COLUMN()/2+1,FALSE)=0,"",VLOOKUP($A8,数出表_Excel!$A$6:$T$150,COLUMN()/2+1,FALSE))),"")</f>
        <v/>
      </c>
      <c r="AG8" s="63"/>
      <c r="AH8" s="149" t="str">
        <f ca="1">IFERROR(VALUE(IF(VLOOKUP($A8,数出表_Excel!$A$6:$T$150,COLUMN()/2+1,FALSE)=0,"",VLOOKUP($A8,数出表_Excel!$A$6:$T$150,COLUMN()/2+1,FALSE))),"")</f>
        <v/>
      </c>
      <c r="AI8" s="63"/>
      <c r="AJ8" s="149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 x14ac:dyDescent="0.45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 x14ac:dyDescent="0.45">
      <c r="A10" s="68" t="str">
        <f t="array" aca="1" ref="A10" ca="1">IF(OR(COUNTIF(A8,"*10002*"),COUNTIF(A8,"")),"",
IFERROR(INDEX(貼り付け用!$A$1:$A$200,MATCH(A8,貼り付け用!$A$1:$A$200,0)+2,0),""))</f>
        <v/>
      </c>
      <c r="B10" s="149" t="str">
        <f ca="1">IFERROR(VALUE(IF(VLOOKUP($A10,数出表_Excel!$A$6:$T$150,COLUMN()/2+1,FALSE)=0,"",VLOOKUP($A10,数出表_Excel!$A$6:$T$150,COLUMN()/2+1,FALSE))),"")</f>
        <v/>
      </c>
      <c r="C10" s="63"/>
      <c r="D10" s="149" t="str">
        <f ca="1">IFERROR(VALUE(IF(VLOOKUP($A10,数出表_Excel!$A$6:$T$150,COLUMN()/2+1,FALSE)=0,"",VLOOKUP($A10,数出表_Excel!$A$6:$T$150,COLUMN()/2+1,FALSE))),"")</f>
        <v/>
      </c>
      <c r="E10" s="63"/>
      <c r="F10" s="149" t="str">
        <f ca="1">IFERROR(VALUE(IF(VLOOKUP($A10,数出表_Excel!$A$6:$T$150,COLUMN()/2+1,FALSE)=0,"",VLOOKUP($A10,数出表_Excel!$A$6:$T$150,COLUMN()/2+1,FALSE))),"")</f>
        <v/>
      </c>
      <c r="G10" s="63"/>
      <c r="H10" s="149" t="str">
        <f ca="1">IFERROR(VALUE(IF(VLOOKUP($A10,数出表_Excel!$A$6:$T$150,COLUMN()/2+1,FALSE)=0,"",VLOOKUP($A10,数出表_Excel!$A$6:$T$150,COLUMN()/2+1,FALSE))),"")</f>
        <v/>
      </c>
      <c r="I10" s="63"/>
      <c r="J10" s="149" t="str">
        <f ca="1">IFERROR(VALUE(IF(VLOOKUP($A10,数出表_Excel!$A$6:$T$150,COLUMN()/2+1,FALSE)=0,"",VLOOKUP($A10,数出表_Excel!$A$6:$T$150,COLUMN()/2+1,FALSE))),"")</f>
        <v/>
      </c>
      <c r="K10" s="63"/>
      <c r="L10" s="149" t="str">
        <f ca="1">IFERROR(VALUE(IF(VLOOKUP($A10,数出表_Excel!$A$6:$T$150,COLUMN()/2+1,FALSE)=0,"",VLOOKUP($A10,数出表_Excel!$A$6:$T$150,COLUMN()/2+1,FALSE))),"")</f>
        <v/>
      </c>
      <c r="M10" s="63"/>
      <c r="N10" s="149" t="str">
        <f ca="1">IFERROR(VALUE(IF(VLOOKUP($A10,数出表_Excel!$A$6:$T$150,COLUMN()/2+1,FALSE)=0,"",VLOOKUP($A10,数出表_Excel!$A$6:$T$150,COLUMN()/2+1,FALSE))),"")</f>
        <v/>
      </c>
      <c r="O10" s="63"/>
      <c r="P10" s="149" t="str">
        <f ca="1">IFERROR(VALUE(IF(VLOOKUP($A10,数出表_Excel!$A$6:$T$150,COLUMN()/2+1,FALSE)=0,"",VLOOKUP($A10,数出表_Excel!$A$6:$T$150,COLUMN()/2+1,FALSE))),"")</f>
        <v/>
      </c>
      <c r="Q10" s="63"/>
      <c r="R10" s="149" t="str">
        <f ca="1">IFERROR(VALUE(IF(VLOOKUP($A10,数出表_Excel!$A$6:$T$150,COLUMN()/2+1,FALSE)=0,"",VLOOKUP($A10,数出表_Excel!$A$6:$T$150,COLUMN()/2+1,FALSE))),"")</f>
        <v/>
      </c>
      <c r="S10" s="63"/>
      <c r="T10" s="149" t="str">
        <f ca="1">IFERROR(VALUE(IF(VLOOKUP($A10,数出表_Excel!$A$6:$T$150,COLUMN()/2+1,FALSE)=0,"",VLOOKUP($A10,数出表_Excel!$A$6:$T$150,COLUMN()/2+1,FALSE))),"")</f>
        <v/>
      </c>
      <c r="U10" s="63"/>
      <c r="V10" s="149" t="str">
        <f ca="1">IFERROR(VALUE(IF(VLOOKUP($A10,数出表_Excel!$A$6:$T$150,COLUMN()/2+1,FALSE)=0,"",VLOOKUP($A10,数出表_Excel!$A$6:$T$150,COLUMN()/2+1,FALSE))),"")</f>
        <v/>
      </c>
      <c r="W10" s="63"/>
      <c r="X10" s="149" t="str">
        <f ca="1">IFERROR(VALUE(IF(VLOOKUP($A10,数出表_Excel!$A$6:$T$150,COLUMN()/2+1,FALSE)=0,"",VLOOKUP($A10,数出表_Excel!$A$6:$T$150,COLUMN()/2+1,FALSE))),"")</f>
        <v/>
      </c>
      <c r="Y10" s="63"/>
      <c r="Z10" s="149" t="str">
        <f ca="1">IFERROR(VALUE(IF(VLOOKUP($A10,数出表_Excel!$A$6:$T$150,COLUMN()/2+1,FALSE)=0,"",VLOOKUP($A10,数出表_Excel!$A$6:$T$150,COLUMN()/2+1,FALSE))),"")</f>
        <v/>
      </c>
      <c r="AA10" s="63"/>
      <c r="AB10" s="149" t="str">
        <f ca="1">IFERROR(VALUE(IF(VLOOKUP($A10,数出表_Excel!$A$6:$T$150,COLUMN()/2+1,FALSE)=0,"",VLOOKUP($A10,数出表_Excel!$A$6:$T$150,COLUMN()/2+1,FALSE))),"")</f>
        <v/>
      </c>
      <c r="AC10" s="63"/>
      <c r="AD10" s="149" t="str">
        <f ca="1">IFERROR(VALUE(IF(VLOOKUP($A10,数出表_Excel!$A$6:$T$150,COLUMN()/2+1,FALSE)=0,"",VLOOKUP($A10,数出表_Excel!$A$6:$T$150,COLUMN()/2+1,FALSE))),"")</f>
        <v/>
      </c>
      <c r="AE10" s="63"/>
      <c r="AF10" s="149" t="str">
        <f ca="1">IFERROR(VALUE(IF(VLOOKUP($A10,数出表_Excel!$A$6:$T$150,COLUMN()/2+1,FALSE)=0,"",VLOOKUP($A10,数出表_Excel!$A$6:$T$150,COLUMN()/2+1,FALSE))),"")</f>
        <v/>
      </c>
      <c r="AG10" s="63"/>
      <c r="AH10" s="149" t="str">
        <f ca="1">IFERROR(VALUE(IF(VLOOKUP($A10,数出表_Excel!$A$6:$T$150,COLUMN()/2+1,FALSE)=0,"",VLOOKUP($A10,数出表_Excel!$A$6:$T$150,COLUMN()/2+1,FALSE))),"")</f>
        <v/>
      </c>
      <c r="AI10" s="63"/>
      <c r="AJ10" s="149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 x14ac:dyDescent="0.45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 x14ac:dyDescent="0.45">
      <c r="A12" s="68" t="str">
        <f t="array" aca="1" ref="A12" ca="1">IF(OR(COUNTIF(A10,"*10002*"),COUNTIF(A10,"")),"",
IFERROR(INDEX(貼り付け用!$A$1:$A$200,MATCH(A10,貼り付け用!$A$1:$A$200,0)+2,0),""))</f>
        <v/>
      </c>
      <c r="B12" s="149" t="str">
        <f ca="1">IFERROR(VALUE(IF(VLOOKUP($A12,数出表_Excel!$A$6:$T$150,COLUMN()/2+1,FALSE)=0,"",VLOOKUP($A12,数出表_Excel!$A$6:$T$150,COLUMN()/2+1,FALSE))),"")</f>
        <v/>
      </c>
      <c r="C12" s="63"/>
      <c r="D12" s="149" t="str">
        <f ca="1">IFERROR(VALUE(IF(VLOOKUP($A12,数出表_Excel!$A$6:$T$150,COLUMN()/2+1,FALSE)=0,"",VLOOKUP($A12,数出表_Excel!$A$6:$T$150,COLUMN()/2+1,FALSE))),"")</f>
        <v/>
      </c>
      <c r="E12" s="63"/>
      <c r="F12" s="149" t="str">
        <f ca="1">IFERROR(VALUE(IF(VLOOKUP($A12,数出表_Excel!$A$6:$T$150,COLUMN()/2+1,FALSE)=0,"",VLOOKUP($A12,数出表_Excel!$A$6:$T$150,COLUMN()/2+1,FALSE))),"")</f>
        <v/>
      </c>
      <c r="G12" s="63"/>
      <c r="H12" s="149" t="str">
        <f ca="1">IFERROR(VALUE(IF(VLOOKUP($A12,数出表_Excel!$A$6:$T$150,COLUMN()/2+1,FALSE)=0,"",VLOOKUP($A12,数出表_Excel!$A$6:$T$150,COLUMN()/2+1,FALSE))),"")</f>
        <v/>
      </c>
      <c r="I12" s="63"/>
      <c r="J12" s="149" t="str">
        <f ca="1">IFERROR(VALUE(IF(VLOOKUP($A12,数出表_Excel!$A$6:$T$150,COLUMN()/2+1,FALSE)=0,"",VLOOKUP($A12,数出表_Excel!$A$6:$T$150,COLUMN()/2+1,FALSE))),"")</f>
        <v/>
      </c>
      <c r="K12" s="63"/>
      <c r="L12" s="149" t="str">
        <f ca="1">IFERROR(VALUE(IF(VLOOKUP($A12,数出表_Excel!$A$6:$T$150,COLUMN()/2+1,FALSE)=0,"",VLOOKUP($A12,数出表_Excel!$A$6:$T$150,COLUMN()/2+1,FALSE))),"")</f>
        <v/>
      </c>
      <c r="M12" s="63"/>
      <c r="N12" s="149" t="str">
        <f ca="1">IFERROR(VALUE(IF(VLOOKUP($A12,数出表_Excel!$A$6:$T$150,COLUMN()/2+1,FALSE)=0,"",VLOOKUP($A12,数出表_Excel!$A$6:$T$150,COLUMN()/2+1,FALSE))),"")</f>
        <v/>
      </c>
      <c r="O12" s="63"/>
      <c r="P12" s="149" t="str">
        <f ca="1">IFERROR(VALUE(IF(VLOOKUP($A12,数出表_Excel!$A$6:$T$150,COLUMN()/2+1,FALSE)=0,"",VLOOKUP($A12,数出表_Excel!$A$6:$T$150,COLUMN()/2+1,FALSE))),"")</f>
        <v/>
      </c>
      <c r="Q12" s="63"/>
      <c r="R12" s="149" t="str">
        <f ca="1">IFERROR(VALUE(IF(VLOOKUP($A12,数出表_Excel!$A$6:$T$150,COLUMN()/2+1,FALSE)=0,"",VLOOKUP($A12,数出表_Excel!$A$6:$T$150,COLUMN()/2+1,FALSE))),"")</f>
        <v/>
      </c>
      <c r="S12" s="63"/>
      <c r="T12" s="149" t="str">
        <f ca="1">IFERROR(VALUE(IF(VLOOKUP($A12,数出表_Excel!$A$6:$T$150,COLUMN()/2+1,FALSE)=0,"",VLOOKUP($A12,数出表_Excel!$A$6:$T$150,COLUMN()/2+1,FALSE))),"")</f>
        <v/>
      </c>
      <c r="U12" s="63"/>
      <c r="V12" s="149" t="str">
        <f ca="1">IFERROR(VALUE(IF(VLOOKUP($A12,数出表_Excel!$A$6:$T$150,COLUMN()/2+1,FALSE)=0,"",VLOOKUP($A12,数出表_Excel!$A$6:$T$150,COLUMN()/2+1,FALSE))),"")</f>
        <v/>
      </c>
      <c r="W12" s="63"/>
      <c r="X12" s="149" t="str">
        <f ca="1">IFERROR(VALUE(IF(VLOOKUP($A12,数出表_Excel!$A$6:$T$150,COLUMN()/2+1,FALSE)=0,"",VLOOKUP($A12,数出表_Excel!$A$6:$T$150,COLUMN()/2+1,FALSE))),"")</f>
        <v/>
      </c>
      <c r="Y12" s="63"/>
      <c r="Z12" s="149" t="str">
        <f ca="1">IFERROR(VALUE(IF(VLOOKUP($A12,数出表_Excel!$A$6:$T$150,COLUMN()/2+1,FALSE)=0,"",VLOOKUP($A12,数出表_Excel!$A$6:$T$150,COLUMN()/2+1,FALSE))),"")</f>
        <v/>
      </c>
      <c r="AA12" s="63"/>
      <c r="AB12" s="149" t="str">
        <f ca="1">IFERROR(VALUE(IF(VLOOKUP($A12,数出表_Excel!$A$6:$T$150,COLUMN()/2+1,FALSE)=0,"",VLOOKUP($A12,数出表_Excel!$A$6:$T$150,COLUMN()/2+1,FALSE))),"")</f>
        <v/>
      </c>
      <c r="AC12" s="63"/>
      <c r="AD12" s="149" t="str">
        <f ca="1">IFERROR(VALUE(IF(VLOOKUP($A12,数出表_Excel!$A$6:$T$150,COLUMN()/2+1,FALSE)=0,"",VLOOKUP($A12,数出表_Excel!$A$6:$T$150,COLUMN()/2+1,FALSE))),"")</f>
        <v/>
      </c>
      <c r="AE12" s="63"/>
      <c r="AF12" s="149" t="str">
        <f ca="1">IFERROR(VALUE(IF(VLOOKUP($A12,数出表_Excel!$A$6:$T$150,COLUMN()/2+1,FALSE)=0,"",VLOOKUP($A12,数出表_Excel!$A$6:$T$150,COLUMN()/2+1,FALSE))),"")</f>
        <v/>
      </c>
      <c r="AG12" s="63"/>
      <c r="AH12" s="149" t="str">
        <f ca="1">IFERROR(VALUE(IF(VLOOKUP($A12,数出表_Excel!$A$6:$T$150,COLUMN()/2+1,FALSE)=0,"",VLOOKUP($A12,数出表_Excel!$A$6:$T$150,COLUMN()/2+1,FALSE))),"")</f>
        <v/>
      </c>
      <c r="AI12" s="63"/>
      <c r="AJ12" s="149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 x14ac:dyDescent="0.45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 x14ac:dyDescent="0.45">
      <c r="A14" s="68" t="str">
        <f t="array" aca="1" ref="A14" ca="1">IF(OR(COUNTIF(A12,"*10002*"),COUNTIF(A12,"")),"",
IFERROR(INDEX(貼り付け用!$A$1:$A$200,MATCH(A12,貼り付け用!$A$1:$A$200,0)+2,0),""))</f>
        <v/>
      </c>
      <c r="B14" s="149" t="str">
        <f ca="1">IFERROR(VALUE(IF(VLOOKUP($A14,数出表_Excel!$A$6:$T$150,COLUMN()/2+1,FALSE)=0,"",VLOOKUP($A14,数出表_Excel!$A$6:$T$150,COLUMN()/2+1,FALSE))),"")</f>
        <v/>
      </c>
      <c r="C14" s="63"/>
      <c r="D14" s="149" t="str">
        <f ca="1">IFERROR(VALUE(IF(VLOOKUP($A14,数出表_Excel!$A$6:$T$150,COLUMN()/2+1,FALSE)=0,"",VLOOKUP($A14,数出表_Excel!$A$6:$T$150,COLUMN()/2+1,FALSE))),"")</f>
        <v/>
      </c>
      <c r="E14" s="63"/>
      <c r="F14" s="149" t="str">
        <f ca="1">IFERROR(VALUE(IF(VLOOKUP($A14,数出表_Excel!$A$6:$T$150,COLUMN()/2+1,FALSE)=0,"",VLOOKUP($A14,数出表_Excel!$A$6:$T$150,COLUMN()/2+1,FALSE))),"")</f>
        <v/>
      </c>
      <c r="G14" s="63"/>
      <c r="H14" s="149" t="str">
        <f ca="1">IFERROR(VALUE(IF(VLOOKUP($A14,数出表_Excel!$A$6:$T$150,COLUMN()/2+1,FALSE)=0,"",VLOOKUP($A14,数出表_Excel!$A$6:$T$150,COLUMN()/2+1,FALSE))),"")</f>
        <v/>
      </c>
      <c r="I14" s="63"/>
      <c r="J14" s="149" t="str">
        <f ca="1">IFERROR(VALUE(IF(VLOOKUP($A14,数出表_Excel!$A$6:$T$150,COLUMN()/2+1,FALSE)=0,"",VLOOKUP($A14,数出表_Excel!$A$6:$T$150,COLUMN()/2+1,FALSE))),"")</f>
        <v/>
      </c>
      <c r="K14" s="63"/>
      <c r="L14" s="149" t="str">
        <f ca="1">IFERROR(VALUE(IF(VLOOKUP($A14,数出表_Excel!$A$6:$T$150,COLUMN()/2+1,FALSE)=0,"",VLOOKUP($A14,数出表_Excel!$A$6:$T$150,COLUMN()/2+1,FALSE))),"")</f>
        <v/>
      </c>
      <c r="M14" s="63"/>
      <c r="N14" s="149" t="str">
        <f ca="1">IFERROR(VALUE(IF(VLOOKUP($A14,数出表_Excel!$A$6:$T$150,COLUMN()/2+1,FALSE)=0,"",VLOOKUP($A14,数出表_Excel!$A$6:$T$150,COLUMN()/2+1,FALSE))),"")</f>
        <v/>
      </c>
      <c r="O14" s="63"/>
      <c r="P14" s="149" t="str">
        <f ca="1">IFERROR(VALUE(IF(VLOOKUP($A14,数出表_Excel!$A$6:$T$150,COLUMN()/2+1,FALSE)=0,"",VLOOKUP($A14,数出表_Excel!$A$6:$T$150,COLUMN()/2+1,FALSE))),"")</f>
        <v/>
      </c>
      <c r="Q14" s="63"/>
      <c r="R14" s="149" t="str">
        <f ca="1">IFERROR(VALUE(IF(VLOOKUP($A14,数出表_Excel!$A$6:$T$150,COLUMN()/2+1,FALSE)=0,"",VLOOKUP($A14,数出表_Excel!$A$6:$T$150,COLUMN()/2+1,FALSE))),"")</f>
        <v/>
      </c>
      <c r="S14" s="63"/>
      <c r="T14" s="149" t="str">
        <f ca="1">IFERROR(VALUE(IF(VLOOKUP($A14,数出表_Excel!$A$6:$T$150,COLUMN()/2+1,FALSE)=0,"",VLOOKUP($A14,数出表_Excel!$A$6:$T$150,COLUMN()/2+1,FALSE))),"")</f>
        <v/>
      </c>
      <c r="U14" s="63"/>
      <c r="V14" s="149" t="str">
        <f ca="1">IFERROR(VALUE(IF(VLOOKUP($A14,数出表_Excel!$A$6:$T$150,COLUMN()/2+1,FALSE)=0,"",VLOOKUP($A14,数出表_Excel!$A$6:$T$150,COLUMN()/2+1,FALSE))),"")</f>
        <v/>
      </c>
      <c r="W14" s="63"/>
      <c r="X14" s="149" t="str">
        <f ca="1">IFERROR(VALUE(IF(VLOOKUP($A14,数出表_Excel!$A$6:$T$150,COLUMN()/2+1,FALSE)=0,"",VLOOKUP($A14,数出表_Excel!$A$6:$T$150,COLUMN()/2+1,FALSE))),"")</f>
        <v/>
      </c>
      <c r="Y14" s="63"/>
      <c r="Z14" s="149" t="str">
        <f ca="1">IFERROR(VALUE(IF(VLOOKUP($A14,数出表_Excel!$A$6:$T$150,COLUMN()/2+1,FALSE)=0,"",VLOOKUP($A14,数出表_Excel!$A$6:$T$150,COLUMN()/2+1,FALSE))),"")</f>
        <v/>
      </c>
      <c r="AA14" s="63"/>
      <c r="AB14" s="149" t="str">
        <f ca="1">IFERROR(VALUE(IF(VLOOKUP($A14,数出表_Excel!$A$6:$T$150,COLUMN()/2+1,FALSE)=0,"",VLOOKUP($A14,数出表_Excel!$A$6:$T$150,COLUMN()/2+1,FALSE))),"")</f>
        <v/>
      </c>
      <c r="AC14" s="63"/>
      <c r="AD14" s="149" t="str">
        <f ca="1">IFERROR(VALUE(IF(VLOOKUP($A14,数出表_Excel!$A$6:$T$150,COLUMN()/2+1,FALSE)=0,"",VLOOKUP($A14,数出表_Excel!$A$6:$T$150,COLUMN()/2+1,FALSE))),"")</f>
        <v/>
      </c>
      <c r="AE14" s="63"/>
      <c r="AF14" s="149" t="str">
        <f ca="1">IFERROR(VALUE(IF(VLOOKUP($A14,数出表_Excel!$A$6:$T$150,COLUMN()/2+1,FALSE)=0,"",VLOOKUP($A14,数出表_Excel!$A$6:$T$150,COLUMN()/2+1,FALSE))),"")</f>
        <v/>
      </c>
      <c r="AG14" s="63"/>
      <c r="AH14" s="149" t="str">
        <f ca="1">IFERROR(VALUE(IF(VLOOKUP($A14,数出表_Excel!$A$6:$T$150,COLUMN()/2+1,FALSE)=0,"",VLOOKUP($A14,数出表_Excel!$A$6:$T$150,COLUMN()/2+1,FALSE))),"")</f>
        <v/>
      </c>
      <c r="AI14" s="63"/>
      <c r="AJ14" s="149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 x14ac:dyDescent="0.45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 x14ac:dyDescent="0.45">
      <c r="A16" s="68" t="str">
        <f t="array" aca="1" ref="A16" ca="1">IF(OR(COUNTIF(A14,"*10002*"),COUNTIF(A14,"")),"",
IFERROR(INDEX(貼り付け用!$A$1:$A$200,MATCH(A14,貼り付け用!$A$1:$A$200,0)+2,0),""))</f>
        <v/>
      </c>
      <c r="B16" s="149" t="str">
        <f ca="1">IFERROR(VALUE(IF(VLOOKUP($A16,数出表_Excel!$A$6:$T$150,COLUMN()/2+1,FALSE)=0,"",VLOOKUP($A16,数出表_Excel!$A$6:$T$150,COLUMN()/2+1,FALSE))),"")</f>
        <v/>
      </c>
      <c r="C16" s="63"/>
      <c r="D16" s="149" t="str">
        <f ca="1">IFERROR(VALUE(IF(VLOOKUP($A16,数出表_Excel!$A$6:$T$150,COLUMN()/2+1,FALSE)=0,"",VLOOKUP($A16,数出表_Excel!$A$6:$T$150,COLUMN()/2+1,FALSE))),"")</f>
        <v/>
      </c>
      <c r="E16" s="63"/>
      <c r="F16" s="149" t="str">
        <f ca="1">IFERROR(VALUE(IF(VLOOKUP($A16,数出表_Excel!$A$6:$T$150,COLUMN()/2+1,FALSE)=0,"",VLOOKUP($A16,数出表_Excel!$A$6:$T$150,COLUMN()/2+1,FALSE))),"")</f>
        <v/>
      </c>
      <c r="G16" s="63"/>
      <c r="H16" s="149" t="str">
        <f ca="1">IFERROR(VALUE(IF(VLOOKUP($A16,数出表_Excel!$A$6:$T$150,COLUMN()/2+1,FALSE)=0,"",VLOOKUP($A16,数出表_Excel!$A$6:$T$150,COLUMN()/2+1,FALSE))),"")</f>
        <v/>
      </c>
      <c r="I16" s="63"/>
      <c r="J16" s="149" t="str">
        <f ca="1">IFERROR(VALUE(IF(VLOOKUP($A16,数出表_Excel!$A$6:$T$150,COLUMN()/2+1,FALSE)=0,"",VLOOKUP($A16,数出表_Excel!$A$6:$T$150,COLUMN()/2+1,FALSE))),"")</f>
        <v/>
      </c>
      <c r="K16" s="63"/>
      <c r="L16" s="149" t="str">
        <f ca="1">IFERROR(VALUE(IF(VLOOKUP($A16,数出表_Excel!$A$6:$T$150,COLUMN()/2+1,FALSE)=0,"",VLOOKUP($A16,数出表_Excel!$A$6:$T$150,COLUMN()/2+1,FALSE))),"")</f>
        <v/>
      </c>
      <c r="M16" s="63"/>
      <c r="N16" s="149" t="str">
        <f ca="1">IFERROR(VALUE(IF(VLOOKUP($A16,数出表_Excel!$A$6:$T$150,COLUMN()/2+1,FALSE)=0,"",VLOOKUP($A16,数出表_Excel!$A$6:$T$150,COLUMN()/2+1,FALSE))),"")</f>
        <v/>
      </c>
      <c r="O16" s="63"/>
      <c r="P16" s="149" t="str">
        <f ca="1">IFERROR(VALUE(IF(VLOOKUP($A16,数出表_Excel!$A$6:$T$150,COLUMN()/2+1,FALSE)=0,"",VLOOKUP($A16,数出表_Excel!$A$6:$T$150,COLUMN()/2+1,FALSE))),"")</f>
        <v/>
      </c>
      <c r="Q16" s="63"/>
      <c r="R16" s="149" t="str">
        <f ca="1">IFERROR(VALUE(IF(VLOOKUP($A16,数出表_Excel!$A$6:$T$150,COLUMN()/2+1,FALSE)=0,"",VLOOKUP($A16,数出表_Excel!$A$6:$T$150,COLUMN()/2+1,FALSE))),"")</f>
        <v/>
      </c>
      <c r="S16" s="63"/>
      <c r="T16" s="149" t="str">
        <f ca="1">IFERROR(VALUE(IF(VLOOKUP($A16,数出表_Excel!$A$6:$T$150,COLUMN()/2+1,FALSE)=0,"",VLOOKUP($A16,数出表_Excel!$A$6:$T$150,COLUMN()/2+1,FALSE))),"")</f>
        <v/>
      </c>
      <c r="U16" s="63"/>
      <c r="V16" s="149" t="str">
        <f ca="1">IFERROR(VALUE(IF(VLOOKUP($A16,数出表_Excel!$A$6:$T$150,COLUMN()/2+1,FALSE)=0,"",VLOOKUP($A16,数出表_Excel!$A$6:$T$150,COLUMN()/2+1,FALSE))),"")</f>
        <v/>
      </c>
      <c r="W16" s="63"/>
      <c r="X16" s="149" t="str">
        <f ca="1">IFERROR(VALUE(IF(VLOOKUP($A16,数出表_Excel!$A$6:$T$150,COLUMN()/2+1,FALSE)=0,"",VLOOKUP($A16,数出表_Excel!$A$6:$T$150,COLUMN()/2+1,FALSE))),"")</f>
        <v/>
      </c>
      <c r="Y16" s="63"/>
      <c r="Z16" s="149" t="str">
        <f ca="1">IFERROR(VALUE(IF(VLOOKUP($A16,数出表_Excel!$A$6:$T$150,COLUMN()/2+1,FALSE)=0,"",VLOOKUP($A16,数出表_Excel!$A$6:$T$150,COLUMN()/2+1,FALSE))),"")</f>
        <v/>
      </c>
      <c r="AA16" s="63"/>
      <c r="AB16" s="149" t="str">
        <f ca="1">IFERROR(VALUE(IF(VLOOKUP($A16,数出表_Excel!$A$6:$T$150,COLUMN()/2+1,FALSE)=0,"",VLOOKUP($A16,数出表_Excel!$A$6:$T$150,COLUMN()/2+1,FALSE))),"")</f>
        <v/>
      </c>
      <c r="AC16" s="63"/>
      <c r="AD16" s="149" t="str">
        <f ca="1">IFERROR(VALUE(IF(VLOOKUP($A16,数出表_Excel!$A$6:$T$150,COLUMN()/2+1,FALSE)=0,"",VLOOKUP($A16,数出表_Excel!$A$6:$T$150,COLUMN()/2+1,FALSE))),"")</f>
        <v/>
      </c>
      <c r="AE16" s="63"/>
      <c r="AF16" s="149" t="str">
        <f ca="1">IFERROR(VALUE(IF(VLOOKUP($A16,数出表_Excel!$A$6:$T$150,COLUMN()/2+1,FALSE)=0,"",VLOOKUP($A16,数出表_Excel!$A$6:$T$150,COLUMN()/2+1,FALSE))),"")</f>
        <v/>
      </c>
      <c r="AG16" s="63"/>
      <c r="AH16" s="149" t="str">
        <f ca="1">IFERROR(VALUE(IF(VLOOKUP($A16,数出表_Excel!$A$6:$T$150,COLUMN()/2+1,FALSE)=0,"",VLOOKUP($A16,数出表_Excel!$A$6:$T$150,COLUMN()/2+1,FALSE))),"")</f>
        <v/>
      </c>
      <c r="AI16" s="63"/>
      <c r="AJ16" s="149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 x14ac:dyDescent="0.45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 x14ac:dyDescent="0.45">
      <c r="A18" s="68" t="str">
        <f t="array" aca="1" ref="A18" ca="1">IF(OR(COUNTIF(A16,"*10002*"),COUNTIF(A16,"")),"",
IFERROR(INDEX(貼り付け用!$A$1:$A$200,MATCH(A16,貼り付け用!$A$1:$A$200,0)+2,0),""))</f>
        <v/>
      </c>
      <c r="B18" s="149" t="str">
        <f ca="1">IFERROR(VALUE(IF(VLOOKUP($A18,数出表_Excel!$A$6:$T$150,COLUMN()/2+1,FALSE)=0,"",VLOOKUP($A18,数出表_Excel!$A$6:$T$150,COLUMN()/2+1,FALSE))),"")</f>
        <v/>
      </c>
      <c r="C18" s="63"/>
      <c r="D18" s="149" t="str">
        <f ca="1">IFERROR(VALUE(IF(VLOOKUP($A18,数出表_Excel!$A$6:$T$150,COLUMN()/2+1,FALSE)=0,"",VLOOKUP($A18,数出表_Excel!$A$6:$T$150,COLUMN()/2+1,FALSE))),"")</f>
        <v/>
      </c>
      <c r="E18" s="63"/>
      <c r="F18" s="149" t="str">
        <f ca="1">IFERROR(VALUE(IF(VLOOKUP($A18,数出表_Excel!$A$6:$T$150,COLUMN()/2+1,FALSE)=0,"",VLOOKUP($A18,数出表_Excel!$A$6:$T$150,COLUMN()/2+1,FALSE))),"")</f>
        <v/>
      </c>
      <c r="G18" s="63"/>
      <c r="H18" s="149" t="str">
        <f ca="1">IFERROR(VALUE(IF(VLOOKUP($A18,数出表_Excel!$A$6:$T$150,COLUMN()/2+1,FALSE)=0,"",VLOOKUP($A18,数出表_Excel!$A$6:$T$150,COLUMN()/2+1,FALSE))),"")</f>
        <v/>
      </c>
      <c r="I18" s="63"/>
      <c r="J18" s="149" t="str">
        <f ca="1">IFERROR(VALUE(IF(VLOOKUP($A18,数出表_Excel!$A$6:$T$150,COLUMN()/2+1,FALSE)=0,"",VLOOKUP($A18,数出表_Excel!$A$6:$T$150,COLUMN()/2+1,FALSE))),"")</f>
        <v/>
      </c>
      <c r="K18" s="63"/>
      <c r="L18" s="149" t="str">
        <f ca="1">IFERROR(VALUE(IF(VLOOKUP($A18,数出表_Excel!$A$6:$T$150,COLUMN()/2+1,FALSE)=0,"",VLOOKUP($A18,数出表_Excel!$A$6:$T$150,COLUMN()/2+1,FALSE))),"")</f>
        <v/>
      </c>
      <c r="M18" s="63"/>
      <c r="N18" s="149" t="str">
        <f ca="1">IFERROR(VALUE(IF(VLOOKUP($A18,数出表_Excel!$A$6:$T$150,COLUMN()/2+1,FALSE)=0,"",VLOOKUP($A18,数出表_Excel!$A$6:$T$150,COLUMN()/2+1,FALSE))),"")</f>
        <v/>
      </c>
      <c r="O18" s="63"/>
      <c r="P18" s="149" t="str">
        <f ca="1">IFERROR(VALUE(IF(VLOOKUP($A18,数出表_Excel!$A$6:$T$150,COLUMN()/2+1,FALSE)=0,"",VLOOKUP($A18,数出表_Excel!$A$6:$T$150,COLUMN()/2+1,FALSE))),"")</f>
        <v/>
      </c>
      <c r="Q18" s="63"/>
      <c r="R18" s="149" t="str">
        <f ca="1">IFERROR(VALUE(IF(VLOOKUP($A18,数出表_Excel!$A$6:$T$150,COLUMN()/2+1,FALSE)=0,"",VLOOKUP($A18,数出表_Excel!$A$6:$T$150,COLUMN()/2+1,FALSE))),"")</f>
        <v/>
      </c>
      <c r="S18" s="63"/>
      <c r="T18" s="149" t="str">
        <f ca="1">IFERROR(VALUE(IF(VLOOKUP($A18,数出表_Excel!$A$6:$T$150,COLUMN()/2+1,FALSE)=0,"",VLOOKUP($A18,数出表_Excel!$A$6:$T$150,COLUMN()/2+1,FALSE))),"")</f>
        <v/>
      </c>
      <c r="U18" s="63"/>
      <c r="V18" s="149" t="str">
        <f ca="1">IFERROR(VALUE(IF(VLOOKUP($A18,数出表_Excel!$A$6:$T$150,COLUMN()/2+1,FALSE)=0,"",VLOOKUP($A18,数出表_Excel!$A$6:$T$150,COLUMN()/2+1,FALSE))),"")</f>
        <v/>
      </c>
      <c r="W18" s="63"/>
      <c r="X18" s="149" t="str">
        <f ca="1">IFERROR(VALUE(IF(VLOOKUP($A18,数出表_Excel!$A$6:$T$150,COLUMN()/2+1,FALSE)=0,"",VLOOKUP($A18,数出表_Excel!$A$6:$T$150,COLUMN()/2+1,FALSE))),"")</f>
        <v/>
      </c>
      <c r="Y18" s="63"/>
      <c r="Z18" s="149" t="str">
        <f ca="1">IFERROR(VALUE(IF(VLOOKUP($A18,数出表_Excel!$A$6:$T$150,COLUMN()/2+1,FALSE)=0,"",VLOOKUP($A18,数出表_Excel!$A$6:$T$150,COLUMN()/2+1,FALSE))),"")</f>
        <v/>
      </c>
      <c r="AA18" s="63"/>
      <c r="AB18" s="149" t="str">
        <f ca="1">IFERROR(VALUE(IF(VLOOKUP($A18,数出表_Excel!$A$6:$T$150,COLUMN()/2+1,FALSE)=0,"",VLOOKUP($A18,数出表_Excel!$A$6:$T$150,COLUMN()/2+1,FALSE))),"")</f>
        <v/>
      </c>
      <c r="AC18" s="63"/>
      <c r="AD18" s="149" t="str">
        <f ca="1">IFERROR(VALUE(IF(VLOOKUP($A18,数出表_Excel!$A$6:$T$150,COLUMN()/2+1,FALSE)=0,"",VLOOKUP($A18,数出表_Excel!$A$6:$T$150,COLUMN()/2+1,FALSE))),"")</f>
        <v/>
      </c>
      <c r="AE18" s="63"/>
      <c r="AF18" s="149" t="str">
        <f ca="1">IFERROR(VALUE(IF(VLOOKUP($A18,数出表_Excel!$A$6:$T$150,COLUMN()/2+1,FALSE)=0,"",VLOOKUP($A18,数出表_Excel!$A$6:$T$150,COLUMN()/2+1,FALSE))),"")</f>
        <v/>
      </c>
      <c r="AG18" s="63"/>
      <c r="AH18" s="149" t="str">
        <f ca="1">IFERROR(VALUE(IF(VLOOKUP($A18,数出表_Excel!$A$6:$T$150,COLUMN()/2+1,FALSE)=0,"",VLOOKUP($A18,数出表_Excel!$A$6:$T$150,COLUMN()/2+1,FALSE))),"")</f>
        <v/>
      </c>
      <c r="AI18" s="63"/>
      <c r="AJ18" s="149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 x14ac:dyDescent="0.45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 x14ac:dyDescent="0.45">
      <c r="A20" s="68" t="str">
        <f t="array" aca="1" ref="A20" ca="1">IF(OR(COUNTIF(A18,"*10002*"),COUNTIF(A18,"")),"",
IFERROR(INDEX(貼り付け用!$A$1:$A$200,MATCH(A18,貼り付け用!$A$1:$A$200,0)+2,0),""))</f>
        <v/>
      </c>
      <c r="B20" s="149" t="str">
        <f ca="1">IFERROR(VALUE(IF(VLOOKUP($A20,数出表_Excel!$A$6:$T$150,COLUMN()/2+1,FALSE)=0,"",VLOOKUP($A20,数出表_Excel!$A$6:$T$150,COLUMN()/2+1,FALSE))),"")</f>
        <v/>
      </c>
      <c r="C20" s="63"/>
      <c r="D20" s="149" t="str">
        <f ca="1">IFERROR(VALUE(IF(VLOOKUP($A20,数出表_Excel!$A$6:$T$150,COLUMN()/2+1,FALSE)=0,"",VLOOKUP($A20,数出表_Excel!$A$6:$T$150,COLUMN()/2+1,FALSE))),"")</f>
        <v/>
      </c>
      <c r="E20" s="63"/>
      <c r="F20" s="149" t="str">
        <f ca="1">IFERROR(VALUE(IF(VLOOKUP($A20,数出表_Excel!$A$6:$T$150,COLUMN()/2+1,FALSE)=0,"",VLOOKUP($A20,数出表_Excel!$A$6:$T$150,COLUMN()/2+1,FALSE))),"")</f>
        <v/>
      </c>
      <c r="G20" s="63"/>
      <c r="H20" s="149" t="str">
        <f ca="1">IFERROR(VALUE(IF(VLOOKUP($A20,数出表_Excel!$A$6:$T$150,COLUMN()/2+1,FALSE)=0,"",VLOOKUP($A20,数出表_Excel!$A$6:$T$150,COLUMN()/2+1,FALSE))),"")</f>
        <v/>
      </c>
      <c r="I20" s="63"/>
      <c r="J20" s="149" t="str">
        <f ca="1">IFERROR(VALUE(IF(VLOOKUP($A20,数出表_Excel!$A$6:$T$150,COLUMN()/2+1,FALSE)=0,"",VLOOKUP($A20,数出表_Excel!$A$6:$T$150,COLUMN()/2+1,FALSE))),"")</f>
        <v/>
      </c>
      <c r="K20" s="63"/>
      <c r="L20" s="149" t="str">
        <f ca="1">IFERROR(VALUE(IF(VLOOKUP($A20,数出表_Excel!$A$6:$T$150,COLUMN()/2+1,FALSE)=0,"",VLOOKUP($A20,数出表_Excel!$A$6:$T$150,COLUMN()/2+1,FALSE))),"")</f>
        <v/>
      </c>
      <c r="M20" s="63"/>
      <c r="N20" s="149" t="str">
        <f ca="1">IFERROR(VALUE(IF(VLOOKUP($A20,数出表_Excel!$A$6:$T$150,COLUMN()/2+1,FALSE)=0,"",VLOOKUP($A20,数出表_Excel!$A$6:$T$150,COLUMN()/2+1,FALSE))),"")</f>
        <v/>
      </c>
      <c r="O20" s="63"/>
      <c r="P20" s="149" t="str">
        <f ca="1">IFERROR(VALUE(IF(VLOOKUP($A20,数出表_Excel!$A$6:$T$150,COLUMN()/2+1,FALSE)=0,"",VLOOKUP($A20,数出表_Excel!$A$6:$T$150,COLUMN()/2+1,FALSE))),"")</f>
        <v/>
      </c>
      <c r="Q20" s="63"/>
      <c r="R20" s="149" t="str">
        <f ca="1">IFERROR(VALUE(IF(VLOOKUP($A20,数出表_Excel!$A$6:$T$150,COLUMN()/2+1,FALSE)=0,"",VLOOKUP($A20,数出表_Excel!$A$6:$T$150,COLUMN()/2+1,FALSE))),"")</f>
        <v/>
      </c>
      <c r="S20" s="63"/>
      <c r="T20" s="149" t="str">
        <f ca="1">IFERROR(VALUE(IF(VLOOKUP($A20,数出表_Excel!$A$6:$T$150,COLUMN()/2+1,FALSE)=0,"",VLOOKUP($A20,数出表_Excel!$A$6:$T$150,COLUMN()/2+1,FALSE))),"")</f>
        <v/>
      </c>
      <c r="U20" s="63"/>
      <c r="V20" s="149" t="str">
        <f ca="1">IFERROR(VALUE(IF(VLOOKUP($A20,数出表_Excel!$A$6:$T$150,COLUMN()/2+1,FALSE)=0,"",VLOOKUP($A20,数出表_Excel!$A$6:$T$150,COLUMN()/2+1,FALSE))),"")</f>
        <v/>
      </c>
      <c r="W20" s="63"/>
      <c r="X20" s="149" t="str">
        <f ca="1">IFERROR(VALUE(IF(VLOOKUP($A20,数出表_Excel!$A$6:$T$150,COLUMN()/2+1,FALSE)=0,"",VLOOKUP($A20,数出表_Excel!$A$6:$T$150,COLUMN()/2+1,FALSE))),"")</f>
        <v/>
      </c>
      <c r="Y20" s="63"/>
      <c r="Z20" s="149" t="str">
        <f ca="1">IFERROR(VALUE(IF(VLOOKUP($A20,数出表_Excel!$A$6:$T$150,COLUMN()/2+1,FALSE)=0,"",VLOOKUP($A20,数出表_Excel!$A$6:$T$150,COLUMN()/2+1,FALSE))),"")</f>
        <v/>
      </c>
      <c r="AA20" s="63"/>
      <c r="AB20" s="149" t="str">
        <f ca="1">IFERROR(VALUE(IF(VLOOKUP($A20,数出表_Excel!$A$6:$T$150,COLUMN()/2+1,FALSE)=0,"",VLOOKUP($A20,数出表_Excel!$A$6:$T$150,COLUMN()/2+1,FALSE))),"")</f>
        <v/>
      </c>
      <c r="AC20" s="63"/>
      <c r="AD20" s="149" t="str">
        <f ca="1">IFERROR(VALUE(IF(VLOOKUP($A20,数出表_Excel!$A$6:$T$150,COLUMN()/2+1,FALSE)=0,"",VLOOKUP($A20,数出表_Excel!$A$6:$T$150,COLUMN()/2+1,FALSE))),"")</f>
        <v/>
      </c>
      <c r="AE20" s="63"/>
      <c r="AF20" s="149" t="str">
        <f ca="1">IFERROR(VALUE(IF(VLOOKUP($A20,数出表_Excel!$A$6:$T$150,COLUMN()/2+1,FALSE)=0,"",VLOOKUP($A20,数出表_Excel!$A$6:$T$150,COLUMN()/2+1,FALSE))),"")</f>
        <v/>
      </c>
      <c r="AG20" s="63"/>
      <c r="AH20" s="149" t="str">
        <f ca="1">IFERROR(VALUE(IF(VLOOKUP($A20,数出表_Excel!$A$6:$T$150,COLUMN()/2+1,FALSE)=0,"",VLOOKUP($A20,数出表_Excel!$A$6:$T$150,COLUMN()/2+1,FALSE))),"")</f>
        <v/>
      </c>
      <c r="AI20" s="63"/>
      <c r="AJ20" s="149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 x14ac:dyDescent="0.45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 x14ac:dyDescent="0.45">
      <c r="A22" s="68" t="str">
        <f t="array" aca="1" ref="A22" ca="1">IF(OR(COUNTIF(A20,"*10002*"),COUNTIF(A20,"")),"",
IFERROR(INDEX(貼り付け用!$A$1:$A$200,MATCH(A20,貼り付け用!$A$1:$A$200,0)+2,0),""))</f>
        <v/>
      </c>
      <c r="B22" s="149" t="str">
        <f ca="1">IFERROR(VALUE(IF(VLOOKUP($A22,数出表_Excel!$A$6:$T$150,COLUMN()/2+1,FALSE)=0,"",VLOOKUP($A22,数出表_Excel!$A$6:$T$150,COLUMN()/2+1,FALSE))),"")</f>
        <v/>
      </c>
      <c r="C22" s="63"/>
      <c r="D22" s="149" t="str">
        <f ca="1">IFERROR(VALUE(IF(VLOOKUP($A22,数出表_Excel!$A$6:$T$150,COLUMN()/2+1,FALSE)=0,"",VLOOKUP($A22,数出表_Excel!$A$6:$T$150,COLUMN()/2+1,FALSE))),"")</f>
        <v/>
      </c>
      <c r="E22" s="63"/>
      <c r="F22" s="149" t="str">
        <f ca="1">IFERROR(VALUE(IF(VLOOKUP($A22,数出表_Excel!$A$6:$T$150,COLUMN()/2+1,FALSE)=0,"",VLOOKUP($A22,数出表_Excel!$A$6:$T$150,COLUMN()/2+1,FALSE))),"")</f>
        <v/>
      </c>
      <c r="G22" s="63"/>
      <c r="H22" s="149" t="str">
        <f ca="1">IFERROR(VALUE(IF(VLOOKUP($A22,数出表_Excel!$A$6:$T$150,COLUMN()/2+1,FALSE)=0,"",VLOOKUP($A22,数出表_Excel!$A$6:$T$150,COLUMN()/2+1,FALSE))),"")</f>
        <v/>
      </c>
      <c r="I22" s="63"/>
      <c r="J22" s="149" t="str">
        <f ca="1">IFERROR(VALUE(IF(VLOOKUP($A22,数出表_Excel!$A$6:$T$150,COLUMN()/2+1,FALSE)=0,"",VLOOKUP($A22,数出表_Excel!$A$6:$T$150,COLUMN()/2+1,FALSE))),"")</f>
        <v/>
      </c>
      <c r="K22" s="63"/>
      <c r="L22" s="149" t="str">
        <f ca="1">IFERROR(VALUE(IF(VLOOKUP($A22,数出表_Excel!$A$6:$T$150,COLUMN()/2+1,FALSE)=0,"",VLOOKUP($A22,数出表_Excel!$A$6:$T$150,COLUMN()/2+1,FALSE))),"")</f>
        <v/>
      </c>
      <c r="M22" s="63"/>
      <c r="N22" s="149" t="str">
        <f ca="1">IFERROR(VALUE(IF(VLOOKUP($A22,数出表_Excel!$A$6:$T$150,COLUMN()/2+1,FALSE)=0,"",VLOOKUP($A22,数出表_Excel!$A$6:$T$150,COLUMN()/2+1,FALSE))),"")</f>
        <v/>
      </c>
      <c r="O22" s="63"/>
      <c r="P22" s="149" t="str">
        <f ca="1">IFERROR(VALUE(IF(VLOOKUP($A22,数出表_Excel!$A$6:$T$150,COLUMN()/2+1,FALSE)=0,"",VLOOKUP($A22,数出表_Excel!$A$6:$T$150,COLUMN()/2+1,FALSE))),"")</f>
        <v/>
      </c>
      <c r="Q22" s="63"/>
      <c r="R22" s="149" t="str">
        <f ca="1">IFERROR(VALUE(IF(VLOOKUP($A22,数出表_Excel!$A$6:$T$150,COLUMN()/2+1,FALSE)=0,"",VLOOKUP($A22,数出表_Excel!$A$6:$T$150,COLUMN()/2+1,FALSE))),"")</f>
        <v/>
      </c>
      <c r="S22" s="63"/>
      <c r="T22" s="149" t="str">
        <f ca="1">IFERROR(VALUE(IF(VLOOKUP($A22,数出表_Excel!$A$6:$T$150,COLUMN()/2+1,FALSE)=0,"",VLOOKUP($A22,数出表_Excel!$A$6:$T$150,COLUMN()/2+1,FALSE))),"")</f>
        <v/>
      </c>
      <c r="U22" s="63"/>
      <c r="V22" s="149" t="str">
        <f ca="1">IFERROR(VALUE(IF(VLOOKUP($A22,数出表_Excel!$A$6:$T$150,COLUMN()/2+1,FALSE)=0,"",VLOOKUP($A22,数出表_Excel!$A$6:$T$150,COLUMN()/2+1,FALSE))),"")</f>
        <v/>
      </c>
      <c r="W22" s="63"/>
      <c r="X22" s="149" t="str">
        <f ca="1">IFERROR(VALUE(IF(VLOOKUP($A22,数出表_Excel!$A$6:$T$150,COLUMN()/2+1,FALSE)=0,"",VLOOKUP($A22,数出表_Excel!$A$6:$T$150,COLUMN()/2+1,FALSE))),"")</f>
        <v/>
      </c>
      <c r="Y22" s="63"/>
      <c r="Z22" s="149" t="str">
        <f ca="1">IFERROR(VALUE(IF(VLOOKUP($A22,数出表_Excel!$A$6:$T$150,COLUMN()/2+1,FALSE)=0,"",VLOOKUP($A22,数出表_Excel!$A$6:$T$150,COLUMN()/2+1,FALSE))),"")</f>
        <v/>
      </c>
      <c r="AA22" s="63"/>
      <c r="AB22" s="149" t="str">
        <f ca="1">IFERROR(VALUE(IF(VLOOKUP($A22,数出表_Excel!$A$6:$T$150,COLUMN()/2+1,FALSE)=0,"",VLOOKUP($A22,数出表_Excel!$A$6:$T$150,COLUMN()/2+1,FALSE))),"")</f>
        <v/>
      </c>
      <c r="AC22" s="63"/>
      <c r="AD22" s="149" t="str">
        <f ca="1">IFERROR(VALUE(IF(VLOOKUP($A22,数出表_Excel!$A$6:$T$150,COLUMN()/2+1,FALSE)=0,"",VLOOKUP($A22,数出表_Excel!$A$6:$T$150,COLUMN()/2+1,FALSE))),"")</f>
        <v/>
      </c>
      <c r="AE22" s="63"/>
      <c r="AF22" s="149" t="str">
        <f ca="1">IFERROR(VALUE(IF(VLOOKUP($A22,数出表_Excel!$A$6:$T$150,COLUMN()/2+1,FALSE)=0,"",VLOOKUP($A22,数出表_Excel!$A$6:$T$150,COLUMN()/2+1,FALSE))),"")</f>
        <v/>
      </c>
      <c r="AG22" s="63"/>
      <c r="AH22" s="149" t="str">
        <f ca="1">IFERROR(VALUE(IF(VLOOKUP($A22,数出表_Excel!$A$6:$T$150,COLUMN()/2+1,FALSE)=0,"",VLOOKUP($A22,数出表_Excel!$A$6:$T$150,COLUMN()/2+1,FALSE))),"")</f>
        <v/>
      </c>
      <c r="AI22" s="63"/>
      <c r="AJ22" s="149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 x14ac:dyDescent="0.45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 x14ac:dyDescent="0.45">
      <c r="A24" s="68" t="str">
        <f t="array" aca="1" ref="A24" ca="1">IF(OR(COUNTIF(A22,"*10002*"),COUNTIF(A22,"")),"",
IFERROR(INDEX(貼り付け用!$A$1:$A$200,MATCH(A22,貼り付け用!$A$1:$A$200,0)+2,0),""))</f>
        <v/>
      </c>
      <c r="B24" s="149" t="str">
        <f ca="1">IFERROR(VALUE(IF(VLOOKUP($A24,数出表_Excel!$A$6:$T$150,COLUMN()/2+1,FALSE)=0,"",VLOOKUP($A24,数出表_Excel!$A$6:$T$150,COLUMN()/2+1,FALSE))),"")</f>
        <v/>
      </c>
      <c r="C24" s="63"/>
      <c r="D24" s="149" t="str">
        <f ca="1">IFERROR(VALUE(IF(VLOOKUP($A24,数出表_Excel!$A$6:$T$150,COLUMN()/2+1,FALSE)=0,"",VLOOKUP($A24,数出表_Excel!$A$6:$T$150,COLUMN()/2+1,FALSE))),"")</f>
        <v/>
      </c>
      <c r="E24" s="63"/>
      <c r="F24" s="149" t="str">
        <f ca="1">IFERROR(VALUE(IF(VLOOKUP($A24,数出表_Excel!$A$6:$T$150,COLUMN()/2+1,FALSE)=0,"",VLOOKUP($A24,数出表_Excel!$A$6:$T$150,COLUMN()/2+1,FALSE))),"")</f>
        <v/>
      </c>
      <c r="G24" s="63"/>
      <c r="H24" s="149" t="str">
        <f ca="1">IFERROR(VALUE(IF(VLOOKUP($A24,数出表_Excel!$A$6:$T$150,COLUMN()/2+1,FALSE)=0,"",VLOOKUP($A24,数出表_Excel!$A$6:$T$150,COLUMN()/2+1,FALSE))),"")</f>
        <v/>
      </c>
      <c r="I24" s="63"/>
      <c r="J24" s="149" t="str">
        <f ca="1">IFERROR(VALUE(IF(VLOOKUP($A24,数出表_Excel!$A$6:$T$150,COLUMN()/2+1,FALSE)=0,"",VLOOKUP($A24,数出表_Excel!$A$6:$T$150,COLUMN()/2+1,FALSE))),"")</f>
        <v/>
      </c>
      <c r="K24" s="63"/>
      <c r="L24" s="149" t="str">
        <f ca="1">IFERROR(VALUE(IF(VLOOKUP($A24,数出表_Excel!$A$6:$T$150,COLUMN()/2+1,FALSE)=0,"",VLOOKUP($A24,数出表_Excel!$A$6:$T$150,COLUMN()/2+1,FALSE))),"")</f>
        <v/>
      </c>
      <c r="M24" s="63"/>
      <c r="N24" s="149" t="str">
        <f ca="1">IFERROR(VALUE(IF(VLOOKUP($A24,数出表_Excel!$A$6:$T$150,COLUMN()/2+1,FALSE)=0,"",VLOOKUP($A24,数出表_Excel!$A$6:$T$150,COLUMN()/2+1,FALSE))),"")</f>
        <v/>
      </c>
      <c r="O24" s="63"/>
      <c r="P24" s="149" t="str">
        <f ca="1">IFERROR(VALUE(IF(VLOOKUP($A24,数出表_Excel!$A$6:$T$150,COLUMN()/2+1,FALSE)=0,"",VLOOKUP($A24,数出表_Excel!$A$6:$T$150,COLUMN()/2+1,FALSE))),"")</f>
        <v/>
      </c>
      <c r="Q24" s="63"/>
      <c r="R24" s="149" t="str">
        <f ca="1">IFERROR(VALUE(IF(VLOOKUP($A24,数出表_Excel!$A$6:$T$150,COLUMN()/2+1,FALSE)=0,"",VLOOKUP($A24,数出表_Excel!$A$6:$T$150,COLUMN()/2+1,FALSE))),"")</f>
        <v/>
      </c>
      <c r="S24" s="63"/>
      <c r="T24" s="149" t="str">
        <f ca="1">IFERROR(VALUE(IF(VLOOKUP($A24,数出表_Excel!$A$6:$T$150,COLUMN()/2+1,FALSE)=0,"",VLOOKUP($A24,数出表_Excel!$A$6:$T$150,COLUMN()/2+1,FALSE))),"")</f>
        <v/>
      </c>
      <c r="U24" s="63"/>
      <c r="V24" s="149" t="str">
        <f ca="1">IFERROR(VALUE(IF(VLOOKUP($A24,数出表_Excel!$A$6:$T$150,COLUMN()/2+1,FALSE)=0,"",VLOOKUP($A24,数出表_Excel!$A$6:$T$150,COLUMN()/2+1,FALSE))),"")</f>
        <v/>
      </c>
      <c r="W24" s="63"/>
      <c r="X24" s="149" t="str">
        <f ca="1">IFERROR(VALUE(IF(VLOOKUP($A24,数出表_Excel!$A$6:$T$150,COLUMN()/2+1,FALSE)=0,"",VLOOKUP($A24,数出表_Excel!$A$6:$T$150,COLUMN()/2+1,FALSE))),"")</f>
        <v/>
      </c>
      <c r="Y24" s="63"/>
      <c r="Z24" s="149" t="str">
        <f ca="1">IFERROR(VALUE(IF(VLOOKUP($A24,数出表_Excel!$A$6:$T$150,COLUMN()/2+1,FALSE)=0,"",VLOOKUP($A24,数出表_Excel!$A$6:$T$150,COLUMN()/2+1,FALSE))),"")</f>
        <v/>
      </c>
      <c r="AA24" s="63"/>
      <c r="AB24" s="149" t="str">
        <f ca="1">IFERROR(VALUE(IF(VLOOKUP($A24,数出表_Excel!$A$6:$T$150,COLUMN()/2+1,FALSE)=0,"",VLOOKUP($A24,数出表_Excel!$A$6:$T$150,COLUMN()/2+1,FALSE))),"")</f>
        <v/>
      </c>
      <c r="AC24" s="63"/>
      <c r="AD24" s="149" t="str">
        <f ca="1">IFERROR(VALUE(IF(VLOOKUP($A24,数出表_Excel!$A$6:$T$150,COLUMN()/2+1,FALSE)=0,"",VLOOKUP($A24,数出表_Excel!$A$6:$T$150,COLUMN()/2+1,FALSE))),"")</f>
        <v/>
      </c>
      <c r="AE24" s="63"/>
      <c r="AF24" s="149" t="str">
        <f ca="1">IFERROR(VALUE(IF(VLOOKUP($A24,数出表_Excel!$A$6:$T$150,COLUMN()/2+1,FALSE)=0,"",VLOOKUP($A24,数出表_Excel!$A$6:$T$150,COLUMN()/2+1,FALSE))),"")</f>
        <v/>
      </c>
      <c r="AG24" s="63"/>
      <c r="AH24" s="149" t="str">
        <f ca="1">IFERROR(VALUE(IF(VLOOKUP($A24,数出表_Excel!$A$6:$T$150,COLUMN()/2+1,FALSE)=0,"",VLOOKUP($A24,数出表_Excel!$A$6:$T$150,COLUMN()/2+1,FALSE))),"")</f>
        <v/>
      </c>
      <c r="AI24" s="63"/>
      <c r="AJ24" s="149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 x14ac:dyDescent="0.45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 x14ac:dyDescent="0.45">
      <c r="A26" s="68" t="str">
        <f t="array" aca="1" ref="A26" ca="1">IF(OR(COUNTIF(A24,"*10002*"),COUNTIF(A24,"")),"",
IFERROR(INDEX(貼り付け用!$A$1:$A$200,MATCH(A24,貼り付け用!$A$1:$A$200,0)+2,0),""))</f>
        <v/>
      </c>
      <c r="B26" s="149" t="str">
        <f ca="1">IFERROR(VALUE(IF(VLOOKUP($A26,数出表_Excel!$A$6:$T$150,COLUMN()/2+1,FALSE)=0,"",VLOOKUP($A26,数出表_Excel!$A$6:$T$150,COLUMN()/2+1,FALSE))),"")</f>
        <v/>
      </c>
      <c r="C26" s="63"/>
      <c r="D26" s="149" t="str">
        <f ca="1">IFERROR(VALUE(IF(VLOOKUP($A26,数出表_Excel!$A$6:$T$150,COLUMN()/2+1,FALSE)=0,"",VLOOKUP($A26,数出表_Excel!$A$6:$T$150,COLUMN()/2+1,FALSE))),"")</f>
        <v/>
      </c>
      <c r="E26" s="63"/>
      <c r="F26" s="149" t="str">
        <f ca="1">IFERROR(VALUE(IF(VLOOKUP($A26,数出表_Excel!$A$6:$T$150,COLUMN()/2+1,FALSE)=0,"",VLOOKUP($A26,数出表_Excel!$A$6:$T$150,COLUMN()/2+1,FALSE))),"")</f>
        <v/>
      </c>
      <c r="G26" s="63"/>
      <c r="H26" s="149" t="str">
        <f ca="1">IFERROR(VALUE(IF(VLOOKUP($A26,数出表_Excel!$A$6:$T$150,COLUMN()/2+1,FALSE)=0,"",VLOOKUP($A26,数出表_Excel!$A$6:$T$150,COLUMN()/2+1,FALSE))),"")</f>
        <v/>
      </c>
      <c r="I26" s="63"/>
      <c r="J26" s="149" t="str">
        <f ca="1">IFERROR(VALUE(IF(VLOOKUP($A26,数出表_Excel!$A$6:$T$150,COLUMN()/2+1,FALSE)=0,"",VLOOKUP($A26,数出表_Excel!$A$6:$T$150,COLUMN()/2+1,FALSE))),"")</f>
        <v/>
      </c>
      <c r="K26" s="63"/>
      <c r="L26" s="149" t="str">
        <f ca="1">IFERROR(VALUE(IF(VLOOKUP($A26,数出表_Excel!$A$6:$T$150,COLUMN()/2+1,FALSE)=0,"",VLOOKUP($A26,数出表_Excel!$A$6:$T$150,COLUMN()/2+1,FALSE))),"")</f>
        <v/>
      </c>
      <c r="M26" s="63"/>
      <c r="N26" s="149" t="str">
        <f ca="1">IFERROR(VALUE(IF(VLOOKUP($A26,数出表_Excel!$A$6:$T$150,COLUMN()/2+1,FALSE)=0,"",VLOOKUP($A26,数出表_Excel!$A$6:$T$150,COLUMN()/2+1,FALSE))),"")</f>
        <v/>
      </c>
      <c r="O26" s="63"/>
      <c r="P26" s="149" t="str">
        <f ca="1">IFERROR(VALUE(IF(VLOOKUP($A26,数出表_Excel!$A$6:$T$150,COLUMN()/2+1,FALSE)=0,"",VLOOKUP($A26,数出表_Excel!$A$6:$T$150,COLUMN()/2+1,FALSE))),"")</f>
        <v/>
      </c>
      <c r="Q26" s="63"/>
      <c r="R26" s="149" t="str">
        <f ca="1">IFERROR(VALUE(IF(VLOOKUP($A26,数出表_Excel!$A$6:$T$150,COLUMN()/2+1,FALSE)=0,"",VLOOKUP($A26,数出表_Excel!$A$6:$T$150,COLUMN()/2+1,FALSE))),"")</f>
        <v/>
      </c>
      <c r="S26" s="63"/>
      <c r="T26" s="149" t="str">
        <f ca="1">IFERROR(VALUE(IF(VLOOKUP($A26,数出表_Excel!$A$6:$T$150,COLUMN()/2+1,FALSE)=0,"",VLOOKUP($A26,数出表_Excel!$A$6:$T$150,COLUMN()/2+1,FALSE))),"")</f>
        <v/>
      </c>
      <c r="U26" s="63"/>
      <c r="V26" s="149" t="str">
        <f ca="1">IFERROR(VALUE(IF(VLOOKUP($A26,数出表_Excel!$A$6:$T$150,COLUMN()/2+1,FALSE)=0,"",VLOOKUP($A26,数出表_Excel!$A$6:$T$150,COLUMN()/2+1,FALSE))),"")</f>
        <v/>
      </c>
      <c r="W26" s="63"/>
      <c r="X26" s="149" t="str">
        <f ca="1">IFERROR(VALUE(IF(VLOOKUP($A26,数出表_Excel!$A$6:$T$150,COLUMN()/2+1,FALSE)=0,"",VLOOKUP($A26,数出表_Excel!$A$6:$T$150,COLUMN()/2+1,FALSE))),"")</f>
        <v/>
      </c>
      <c r="Y26" s="63"/>
      <c r="Z26" s="149" t="str">
        <f ca="1">IFERROR(VALUE(IF(VLOOKUP($A26,数出表_Excel!$A$6:$T$150,COLUMN()/2+1,FALSE)=0,"",VLOOKUP($A26,数出表_Excel!$A$6:$T$150,COLUMN()/2+1,FALSE))),"")</f>
        <v/>
      </c>
      <c r="AA26" s="63"/>
      <c r="AB26" s="149" t="str">
        <f ca="1">IFERROR(VALUE(IF(VLOOKUP($A26,数出表_Excel!$A$6:$T$150,COLUMN()/2+1,FALSE)=0,"",VLOOKUP($A26,数出表_Excel!$A$6:$T$150,COLUMN()/2+1,FALSE))),"")</f>
        <v/>
      </c>
      <c r="AC26" s="63"/>
      <c r="AD26" s="149" t="str">
        <f ca="1">IFERROR(VALUE(IF(VLOOKUP($A26,数出表_Excel!$A$6:$T$150,COLUMN()/2+1,FALSE)=0,"",VLOOKUP($A26,数出表_Excel!$A$6:$T$150,COLUMN()/2+1,FALSE))),"")</f>
        <v/>
      </c>
      <c r="AE26" s="63"/>
      <c r="AF26" s="149" t="str">
        <f ca="1">IFERROR(VALUE(IF(VLOOKUP($A26,数出表_Excel!$A$6:$T$150,COLUMN()/2+1,FALSE)=0,"",VLOOKUP($A26,数出表_Excel!$A$6:$T$150,COLUMN()/2+1,FALSE))),"")</f>
        <v/>
      </c>
      <c r="AG26" s="63"/>
      <c r="AH26" s="149" t="str">
        <f ca="1">IFERROR(VALUE(IF(VLOOKUP($A26,数出表_Excel!$A$6:$T$150,COLUMN()/2+1,FALSE)=0,"",VLOOKUP($A26,数出表_Excel!$A$6:$T$150,COLUMN()/2+1,FALSE))),"")</f>
        <v/>
      </c>
      <c r="AI26" s="63"/>
      <c r="AJ26" s="149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 x14ac:dyDescent="0.45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 x14ac:dyDescent="0.45">
      <c r="A28" s="68" t="str">
        <f t="array" aca="1" ref="A28" ca="1">IF(OR(COUNTIF(A26,"*10002*"),COUNTIF(A26,"")),"",
IFERROR(INDEX(貼り付け用!$A$1:$A$200,MATCH(A26,貼り付け用!$A$1:$A$200,0)+2,0),""))</f>
        <v/>
      </c>
      <c r="B28" s="149" t="str">
        <f ca="1">IFERROR(VALUE(IF(VLOOKUP($A28,数出表_Excel!$A$6:$T$150,COLUMN()/2+1,FALSE)=0,"",VLOOKUP($A28,数出表_Excel!$A$6:$T$150,COLUMN()/2+1,FALSE))),"")</f>
        <v/>
      </c>
      <c r="C28" s="63"/>
      <c r="D28" s="149" t="str">
        <f ca="1">IFERROR(VALUE(IF(VLOOKUP($A28,数出表_Excel!$A$6:$T$150,COLUMN()/2+1,FALSE)=0,"",VLOOKUP($A28,数出表_Excel!$A$6:$T$150,COLUMN()/2+1,FALSE))),"")</f>
        <v/>
      </c>
      <c r="E28" s="63"/>
      <c r="F28" s="149" t="str">
        <f ca="1">IFERROR(VALUE(IF(VLOOKUP($A28,数出表_Excel!$A$6:$T$150,COLUMN()/2+1,FALSE)=0,"",VLOOKUP($A28,数出表_Excel!$A$6:$T$150,COLUMN()/2+1,FALSE))),"")</f>
        <v/>
      </c>
      <c r="G28" s="63"/>
      <c r="H28" s="149" t="str">
        <f ca="1">IFERROR(VALUE(IF(VLOOKUP($A28,数出表_Excel!$A$6:$T$150,COLUMN()/2+1,FALSE)=0,"",VLOOKUP($A28,数出表_Excel!$A$6:$T$150,COLUMN()/2+1,FALSE))),"")</f>
        <v/>
      </c>
      <c r="I28" s="63"/>
      <c r="J28" s="149" t="str">
        <f ca="1">IFERROR(VALUE(IF(VLOOKUP($A28,数出表_Excel!$A$6:$T$150,COLUMN()/2+1,FALSE)=0,"",VLOOKUP($A28,数出表_Excel!$A$6:$T$150,COLUMN()/2+1,FALSE))),"")</f>
        <v/>
      </c>
      <c r="K28" s="63"/>
      <c r="L28" s="149" t="str">
        <f ca="1">IFERROR(VALUE(IF(VLOOKUP($A28,数出表_Excel!$A$6:$T$150,COLUMN()/2+1,FALSE)=0,"",VLOOKUP($A28,数出表_Excel!$A$6:$T$150,COLUMN()/2+1,FALSE))),"")</f>
        <v/>
      </c>
      <c r="M28" s="63"/>
      <c r="N28" s="149" t="str">
        <f ca="1">IFERROR(VALUE(IF(VLOOKUP($A28,数出表_Excel!$A$6:$T$150,COLUMN()/2+1,FALSE)=0,"",VLOOKUP($A28,数出表_Excel!$A$6:$T$150,COLUMN()/2+1,FALSE))),"")</f>
        <v/>
      </c>
      <c r="O28" s="63"/>
      <c r="P28" s="149" t="str">
        <f ca="1">IFERROR(VALUE(IF(VLOOKUP($A28,数出表_Excel!$A$6:$T$150,COLUMN()/2+1,FALSE)=0,"",VLOOKUP($A28,数出表_Excel!$A$6:$T$150,COLUMN()/2+1,FALSE))),"")</f>
        <v/>
      </c>
      <c r="Q28" s="63"/>
      <c r="R28" s="149" t="str">
        <f ca="1">IFERROR(VALUE(IF(VLOOKUP($A28,数出表_Excel!$A$6:$T$150,COLUMN()/2+1,FALSE)=0,"",VLOOKUP($A28,数出表_Excel!$A$6:$T$150,COLUMN()/2+1,FALSE))),"")</f>
        <v/>
      </c>
      <c r="S28" s="63"/>
      <c r="T28" s="149" t="str">
        <f ca="1">IFERROR(VALUE(IF(VLOOKUP($A28,数出表_Excel!$A$6:$T$150,COLUMN()/2+1,FALSE)=0,"",VLOOKUP($A28,数出表_Excel!$A$6:$T$150,COLUMN()/2+1,FALSE))),"")</f>
        <v/>
      </c>
      <c r="U28" s="63"/>
      <c r="V28" s="149" t="str">
        <f ca="1">IFERROR(VALUE(IF(VLOOKUP($A28,数出表_Excel!$A$6:$T$150,COLUMN()/2+1,FALSE)=0,"",VLOOKUP($A28,数出表_Excel!$A$6:$T$150,COLUMN()/2+1,FALSE))),"")</f>
        <v/>
      </c>
      <c r="W28" s="63"/>
      <c r="X28" s="149" t="str">
        <f ca="1">IFERROR(VALUE(IF(VLOOKUP($A28,数出表_Excel!$A$6:$T$150,COLUMN()/2+1,FALSE)=0,"",VLOOKUP($A28,数出表_Excel!$A$6:$T$150,COLUMN()/2+1,FALSE))),"")</f>
        <v/>
      </c>
      <c r="Y28" s="63"/>
      <c r="Z28" s="149" t="str">
        <f ca="1">IFERROR(VALUE(IF(VLOOKUP($A28,数出表_Excel!$A$6:$T$150,COLUMN()/2+1,FALSE)=0,"",VLOOKUP($A28,数出表_Excel!$A$6:$T$150,COLUMN()/2+1,FALSE))),"")</f>
        <v/>
      </c>
      <c r="AA28" s="63"/>
      <c r="AB28" s="149" t="str">
        <f ca="1">IFERROR(VALUE(IF(VLOOKUP($A28,数出表_Excel!$A$6:$T$150,COLUMN()/2+1,FALSE)=0,"",VLOOKUP($A28,数出表_Excel!$A$6:$T$150,COLUMN()/2+1,FALSE))),"")</f>
        <v/>
      </c>
      <c r="AC28" s="63"/>
      <c r="AD28" s="149" t="str">
        <f ca="1">IFERROR(VALUE(IF(VLOOKUP($A28,数出表_Excel!$A$6:$T$150,COLUMN()/2+1,FALSE)=0,"",VLOOKUP($A28,数出表_Excel!$A$6:$T$150,COLUMN()/2+1,FALSE))),"")</f>
        <v/>
      </c>
      <c r="AE28" s="63"/>
      <c r="AF28" s="149" t="str">
        <f ca="1">IFERROR(VALUE(IF(VLOOKUP($A28,数出表_Excel!$A$6:$T$150,COLUMN()/2+1,FALSE)=0,"",VLOOKUP($A28,数出表_Excel!$A$6:$T$150,COLUMN()/2+1,FALSE))),"")</f>
        <v/>
      </c>
      <c r="AG28" s="63"/>
      <c r="AH28" s="149" t="str">
        <f ca="1">IFERROR(VALUE(IF(VLOOKUP($A28,数出表_Excel!$A$6:$T$150,COLUMN()/2+1,FALSE)=0,"",VLOOKUP($A28,数出表_Excel!$A$6:$T$150,COLUMN()/2+1,FALSE))),"")</f>
        <v/>
      </c>
      <c r="AI28" s="63"/>
      <c r="AJ28" s="149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 x14ac:dyDescent="0.45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 x14ac:dyDescent="0.45">
      <c r="A30" s="68" t="str">
        <f t="array" aca="1" ref="A30" ca="1">IF(OR(COUNTIF(A28,"*10002*"),COUNTIF(A28,"")),"",
IFERROR(INDEX(貼り付け用!$A$1:$A$200,MATCH(A28,貼り付け用!$A$1:$A$200,0)+2,0),""))</f>
        <v/>
      </c>
      <c r="B30" s="149" t="str">
        <f ca="1">IFERROR(VALUE(IF(VLOOKUP($A30,数出表_Excel!$A$6:$T$150,COLUMN()/2+1,FALSE)=0,"",VLOOKUP($A30,数出表_Excel!$A$6:$T$150,COLUMN()/2+1,FALSE))),"")</f>
        <v/>
      </c>
      <c r="C30" s="63"/>
      <c r="D30" s="149" t="str">
        <f ca="1">IFERROR(VALUE(IF(VLOOKUP($A30,数出表_Excel!$A$6:$T$150,COLUMN()/2+1,FALSE)=0,"",VLOOKUP($A30,数出表_Excel!$A$6:$T$150,COLUMN()/2+1,FALSE))),"")</f>
        <v/>
      </c>
      <c r="E30" s="63"/>
      <c r="F30" s="149" t="str">
        <f ca="1">IFERROR(VALUE(IF(VLOOKUP($A30,数出表_Excel!$A$6:$T$150,COLUMN()/2+1,FALSE)=0,"",VLOOKUP($A30,数出表_Excel!$A$6:$T$150,COLUMN()/2+1,FALSE))),"")</f>
        <v/>
      </c>
      <c r="G30" s="63"/>
      <c r="H30" s="149" t="str">
        <f ca="1">IFERROR(VALUE(IF(VLOOKUP($A30,数出表_Excel!$A$6:$T$150,COLUMN()/2+1,FALSE)=0,"",VLOOKUP($A30,数出表_Excel!$A$6:$T$150,COLUMN()/2+1,FALSE))),"")</f>
        <v/>
      </c>
      <c r="I30" s="63"/>
      <c r="J30" s="149" t="str">
        <f ca="1">IFERROR(VALUE(IF(VLOOKUP($A30,数出表_Excel!$A$6:$T$150,COLUMN()/2+1,FALSE)=0,"",VLOOKUP($A30,数出表_Excel!$A$6:$T$150,COLUMN()/2+1,FALSE))),"")</f>
        <v/>
      </c>
      <c r="K30" s="63"/>
      <c r="L30" s="149" t="str">
        <f ca="1">IFERROR(VALUE(IF(VLOOKUP($A30,数出表_Excel!$A$6:$T$150,COLUMN()/2+1,FALSE)=0,"",VLOOKUP($A30,数出表_Excel!$A$6:$T$150,COLUMN()/2+1,FALSE))),"")</f>
        <v/>
      </c>
      <c r="M30" s="63"/>
      <c r="N30" s="149" t="str">
        <f ca="1">IFERROR(VALUE(IF(VLOOKUP($A30,数出表_Excel!$A$6:$T$150,COLUMN()/2+1,FALSE)=0,"",VLOOKUP($A30,数出表_Excel!$A$6:$T$150,COLUMN()/2+1,FALSE))),"")</f>
        <v/>
      </c>
      <c r="O30" s="63"/>
      <c r="P30" s="149" t="str">
        <f ca="1">IFERROR(VALUE(IF(VLOOKUP($A30,数出表_Excel!$A$6:$T$150,COLUMN()/2+1,FALSE)=0,"",VLOOKUP($A30,数出表_Excel!$A$6:$T$150,COLUMN()/2+1,FALSE))),"")</f>
        <v/>
      </c>
      <c r="Q30" s="63"/>
      <c r="R30" s="149" t="str">
        <f ca="1">IFERROR(VALUE(IF(VLOOKUP($A30,数出表_Excel!$A$6:$T$150,COLUMN()/2+1,FALSE)=0,"",VLOOKUP($A30,数出表_Excel!$A$6:$T$150,COLUMN()/2+1,FALSE))),"")</f>
        <v/>
      </c>
      <c r="S30" s="63"/>
      <c r="T30" s="149" t="str">
        <f ca="1">IFERROR(VALUE(IF(VLOOKUP($A30,数出表_Excel!$A$6:$T$150,COLUMN()/2+1,FALSE)=0,"",VLOOKUP($A30,数出表_Excel!$A$6:$T$150,COLUMN()/2+1,FALSE))),"")</f>
        <v/>
      </c>
      <c r="U30" s="63"/>
      <c r="V30" s="149" t="str">
        <f ca="1">IFERROR(VALUE(IF(VLOOKUP($A30,数出表_Excel!$A$6:$T$150,COLUMN()/2+1,FALSE)=0,"",VLOOKUP($A30,数出表_Excel!$A$6:$T$150,COLUMN()/2+1,FALSE))),"")</f>
        <v/>
      </c>
      <c r="W30" s="63"/>
      <c r="X30" s="149" t="str">
        <f ca="1">IFERROR(VALUE(IF(VLOOKUP($A30,数出表_Excel!$A$6:$T$150,COLUMN()/2+1,FALSE)=0,"",VLOOKUP($A30,数出表_Excel!$A$6:$T$150,COLUMN()/2+1,FALSE))),"")</f>
        <v/>
      </c>
      <c r="Y30" s="63"/>
      <c r="Z30" s="149" t="str">
        <f ca="1">IFERROR(VALUE(IF(VLOOKUP($A30,数出表_Excel!$A$6:$T$150,COLUMN()/2+1,FALSE)=0,"",VLOOKUP($A30,数出表_Excel!$A$6:$T$150,COLUMN()/2+1,FALSE))),"")</f>
        <v/>
      </c>
      <c r="AA30" s="63"/>
      <c r="AB30" s="149" t="str">
        <f ca="1">IFERROR(VALUE(IF(VLOOKUP($A30,数出表_Excel!$A$6:$T$150,COLUMN()/2+1,FALSE)=0,"",VLOOKUP($A30,数出表_Excel!$A$6:$T$150,COLUMN()/2+1,FALSE))),"")</f>
        <v/>
      </c>
      <c r="AC30" s="63"/>
      <c r="AD30" s="149" t="str">
        <f ca="1">IFERROR(VALUE(IF(VLOOKUP($A30,数出表_Excel!$A$6:$T$150,COLUMN()/2+1,FALSE)=0,"",VLOOKUP($A30,数出表_Excel!$A$6:$T$150,COLUMN()/2+1,FALSE))),"")</f>
        <v/>
      </c>
      <c r="AE30" s="63"/>
      <c r="AF30" s="149" t="str">
        <f ca="1">IFERROR(VALUE(IF(VLOOKUP($A30,数出表_Excel!$A$6:$T$150,COLUMN()/2+1,FALSE)=0,"",VLOOKUP($A30,数出表_Excel!$A$6:$T$150,COLUMN()/2+1,FALSE))),"")</f>
        <v/>
      </c>
      <c r="AG30" s="63"/>
      <c r="AH30" s="149" t="str">
        <f ca="1">IFERROR(VALUE(IF(VLOOKUP($A30,数出表_Excel!$A$6:$T$150,COLUMN()/2+1,FALSE)=0,"",VLOOKUP($A30,数出表_Excel!$A$6:$T$150,COLUMN()/2+1,FALSE))),"")</f>
        <v/>
      </c>
      <c r="AI30" s="63"/>
      <c r="AJ30" s="149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 x14ac:dyDescent="0.45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 x14ac:dyDescent="0.45">
      <c r="A32" s="68" t="str">
        <f t="array" aca="1" ref="A32" ca="1">IF(OR(COUNTIF(A30,"*10002*"),COUNTIF(A30,"")),"",
IFERROR(INDEX(貼り付け用!$A$1:$A$200,MATCH(A30,貼り付け用!$A$1:$A$200,0)+2,0),""))</f>
        <v/>
      </c>
      <c r="B32" s="149" t="str">
        <f ca="1">IFERROR(VALUE(IF(VLOOKUP($A32,数出表_Excel!$A$6:$T$150,COLUMN()/2+1,FALSE)=0,"",VLOOKUP($A32,数出表_Excel!$A$6:$T$150,COLUMN()/2+1,FALSE))),"")</f>
        <v/>
      </c>
      <c r="C32" s="63"/>
      <c r="D32" s="149" t="str">
        <f ca="1">IFERROR(VALUE(IF(VLOOKUP($A32,数出表_Excel!$A$6:$T$150,COLUMN()/2+1,FALSE)=0,"",VLOOKUP($A32,数出表_Excel!$A$6:$T$150,COLUMN()/2+1,FALSE))),"")</f>
        <v/>
      </c>
      <c r="E32" s="63"/>
      <c r="F32" s="149" t="str">
        <f ca="1">IFERROR(VALUE(IF(VLOOKUP($A32,数出表_Excel!$A$6:$T$150,COLUMN()/2+1,FALSE)=0,"",VLOOKUP($A32,数出表_Excel!$A$6:$T$150,COLUMN()/2+1,FALSE))),"")</f>
        <v/>
      </c>
      <c r="G32" s="63"/>
      <c r="H32" s="149" t="str">
        <f ca="1">IFERROR(VALUE(IF(VLOOKUP($A32,数出表_Excel!$A$6:$T$150,COLUMN()/2+1,FALSE)=0,"",VLOOKUP($A32,数出表_Excel!$A$6:$T$150,COLUMN()/2+1,FALSE))),"")</f>
        <v/>
      </c>
      <c r="I32" s="63"/>
      <c r="J32" s="149" t="str">
        <f ca="1">IFERROR(VALUE(IF(VLOOKUP($A32,数出表_Excel!$A$6:$T$150,COLUMN()/2+1,FALSE)=0,"",VLOOKUP($A32,数出表_Excel!$A$6:$T$150,COLUMN()/2+1,FALSE))),"")</f>
        <v/>
      </c>
      <c r="K32" s="63"/>
      <c r="L32" s="149" t="str">
        <f ca="1">IFERROR(VALUE(IF(VLOOKUP($A32,数出表_Excel!$A$6:$T$150,COLUMN()/2+1,FALSE)=0,"",VLOOKUP($A32,数出表_Excel!$A$6:$T$150,COLUMN()/2+1,FALSE))),"")</f>
        <v/>
      </c>
      <c r="M32" s="63"/>
      <c r="N32" s="149" t="str">
        <f ca="1">IFERROR(VALUE(IF(VLOOKUP($A32,数出表_Excel!$A$6:$T$150,COLUMN()/2+1,FALSE)=0,"",VLOOKUP($A32,数出表_Excel!$A$6:$T$150,COLUMN()/2+1,FALSE))),"")</f>
        <v/>
      </c>
      <c r="O32" s="63"/>
      <c r="P32" s="149" t="str">
        <f ca="1">IFERROR(VALUE(IF(VLOOKUP($A32,数出表_Excel!$A$6:$T$150,COLUMN()/2+1,FALSE)=0,"",VLOOKUP($A32,数出表_Excel!$A$6:$T$150,COLUMN()/2+1,FALSE))),"")</f>
        <v/>
      </c>
      <c r="Q32" s="63"/>
      <c r="R32" s="149" t="str">
        <f ca="1">IFERROR(VALUE(IF(VLOOKUP($A32,数出表_Excel!$A$6:$T$150,COLUMN()/2+1,FALSE)=0,"",VLOOKUP($A32,数出表_Excel!$A$6:$T$150,COLUMN()/2+1,FALSE))),"")</f>
        <v/>
      </c>
      <c r="S32" s="63"/>
      <c r="T32" s="149" t="str">
        <f ca="1">IFERROR(VALUE(IF(VLOOKUP($A32,数出表_Excel!$A$6:$T$150,COLUMN()/2+1,FALSE)=0,"",VLOOKUP($A32,数出表_Excel!$A$6:$T$150,COLUMN()/2+1,FALSE))),"")</f>
        <v/>
      </c>
      <c r="U32" s="63"/>
      <c r="V32" s="149" t="str">
        <f ca="1">IFERROR(VALUE(IF(VLOOKUP($A32,数出表_Excel!$A$6:$T$150,COLUMN()/2+1,FALSE)=0,"",VLOOKUP($A32,数出表_Excel!$A$6:$T$150,COLUMN()/2+1,FALSE))),"")</f>
        <v/>
      </c>
      <c r="W32" s="63"/>
      <c r="X32" s="149" t="str">
        <f ca="1">IFERROR(VALUE(IF(VLOOKUP($A32,数出表_Excel!$A$6:$T$150,COLUMN()/2+1,FALSE)=0,"",VLOOKUP($A32,数出表_Excel!$A$6:$T$150,COLUMN()/2+1,FALSE))),"")</f>
        <v/>
      </c>
      <c r="Y32" s="63"/>
      <c r="Z32" s="149" t="str">
        <f ca="1">IFERROR(VALUE(IF(VLOOKUP($A32,数出表_Excel!$A$6:$T$150,COLUMN()/2+1,FALSE)=0,"",VLOOKUP($A32,数出表_Excel!$A$6:$T$150,COLUMN()/2+1,FALSE))),"")</f>
        <v/>
      </c>
      <c r="AA32" s="63"/>
      <c r="AB32" s="149" t="str">
        <f ca="1">IFERROR(VALUE(IF(VLOOKUP($A32,数出表_Excel!$A$6:$T$150,COLUMN()/2+1,FALSE)=0,"",VLOOKUP($A32,数出表_Excel!$A$6:$T$150,COLUMN()/2+1,FALSE))),"")</f>
        <v/>
      </c>
      <c r="AC32" s="63"/>
      <c r="AD32" s="149" t="str">
        <f ca="1">IFERROR(VALUE(IF(VLOOKUP($A32,数出表_Excel!$A$6:$T$150,COLUMN()/2+1,FALSE)=0,"",VLOOKUP($A32,数出表_Excel!$A$6:$T$150,COLUMN()/2+1,FALSE))),"")</f>
        <v/>
      </c>
      <c r="AE32" s="63"/>
      <c r="AF32" s="149" t="str">
        <f ca="1">IFERROR(VALUE(IF(VLOOKUP($A32,数出表_Excel!$A$6:$T$150,COLUMN()/2+1,FALSE)=0,"",VLOOKUP($A32,数出表_Excel!$A$6:$T$150,COLUMN()/2+1,FALSE))),"")</f>
        <v/>
      </c>
      <c r="AG32" s="63"/>
      <c r="AH32" s="149" t="str">
        <f ca="1">IFERROR(VALUE(IF(VLOOKUP($A32,数出表_Excel!$A$6:$T$150,COLUMN()/2+1,FALSE)=0,"",VLOOKUP($A32,数出表_Excel!$A$6:$T$150,COLUMN()/2+1,FALSE))),"")</f>
        <v/>
      </c>
      <c r="AI32" s="63"/>
      <c r="AJ32" s="149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 x14ac:dyDescent="0.45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 x14ac:dyDescent="0.45">
      <c r="A34" s="68" t="str">
        <f t="array" aca="1" ref="A34" ca="1">IF(OR(COUNTIF(A32,"*10002*"),COUNTIF(A32,"")),"",
IFERROR(INDEX(貼り付け用!$A$1:$A$200,MATCH(A32,貼り付け用!$A$1:$A$200,0)+2,0),""))</f>
        <v/>
      </c>
      <c r="B34" s="149" t="str">
        <f ca="1">IFERROR(VALUE(IF(VLOOKUP($A34,数出表_Excel!$A$6:$T$150,COLUMN()/2+1,FALSE)=0,"",VLOOKUP($A34,数出表_Excel!$A$6:$T$150,COLUMN()/2+1,FALSE))),"")</f>
        <v/>
      </c>
      <c r="C34" s="63"/>
      <c r="D34" s="149" t="str">
        <f ca="1">IFERROR(VALUE(IF(VLOOKUP($A34,数出表_Excel!$A$6:$T$150,COLUMN()/2+1,FALSE)=0,"",VLOOKUP($A34,数出表_Excel!$A$6:$T$150,COLUMN()/2+1,FALSE))),"")</f>
        <v/>
      </c>
      <c r="E34" s="63"/>
      <c r="F34" s="149" t="str">
        <f ca="1">IFERROR(VALUE(IF(VLOOKUP($A34,数出表_Excel!$A$6:$T$150,COLUMN()/2+1,FALSE)=0,"",VLOOKUP($A34,数出表_Excel!$A$6:$T$150,COLUMN()/2+1,FALSE))),"")</f>
        <v/>
      </c>
      <c r="G34" s="63"/>
      <c r="H34" s="149" t="str">
        <f ca="1">IFERROR(VALUE(IF(VLOOKUP($A34,数出表_Excel!$A$6:$T$150,COLUMN()/2+1,FALSE)=0,"",VLOOKUP($A34,数出表_Excel!$A$6:$T$150,COLUMN()/2+1,FALSE))),"")</f>
        <v/>
      </c>
      <c r="I34" s="63"/>
      <c r="J34" s="149" t="str">
        <f ca="1">IFERROR(VALUE(IF(VLOOKUP($A34,数出表_Excel!$A$6:$T$150,COLUMN()/2+1,FALSE)=0,"",VLOOKUP($A34,数出表_Excel!$A$6:$T$150,COLUMN()/2+1,FALSE))),"")</f>
        <v/>
      </c>
      <c r="K34" s="63"/>
      <c r="L34" s="149" t="str">
        <f ca="1">IFERROR(VALUE(IF(VLOOKUP($A34,数出表_Excel!$A$6:$T$150,COLUMN()/2+1,FALSE)=0,"",VLOOKUP($A34,数出表_Excel!$A$6:$T$150,COLUMN()/2+1,FALSE))),"")</f>
        <v/>
      </c>
      <c r="M34" s="63"/>
      <c r="N34" s="149" t="str">
        <f ca="1">IFERROR(VALUE(IF(VLOOKUP($A34,数出表_Excel!$A$6:$T$150,COLUMN()/2+1,FALSE)=0,"",VLOOKUP($A34,数出表_Excel!$A$6:$T$150,COLUMN()/2+1,FALSE))),"")</f>
        <v/>
      </c>
      <c r="O34" s="63"/>
      <c r="P34" s="149" t="str">
        <f ca="1">IFERROR(VALUE(IF(VLOOKUP($A34,数出表_Excel!$A$6:$T$150,COLUMN()/2+1,FALSE)=0,"",VLOOKUP($A34,数出表_Excel!$A$6:$T$150,COLUMN()/2+1,FALSE))),"")</f>
        <v/>
      </c>
      <c r="Q34" s="63"/>
      <c r="R34" s="149" t="str">
        <f ca="1">IFERROR(VALUE(IF(VLOOKUP($A34,数出表_Excel!$A$6:$T$150,COLUMN()/2+1,FALSE)=0,"",VLOOKUP($A34,数出表_Excel!$A$6:$T$150,COLUMN()/2+1,FALSE))),"")</f>
        <v/>
      </c>
      <c r="S34" s="63"/>
      <c r="T34" s="149" t="str">
        <f ca="1">IFERROR(VALUE(IF(VLOOKUP($A34,数出表_Excel!$A$6:$T$150,COLUMN()/2+1,FALSE)=0,"",VLOOKUP($A34,数出表_Excel!$A$6:$T$150,COLUMN()/2+1,FALSE))),"")</f>
        <v/>
      </c>
      <c r="U34" s="63"/>
      <c r="V34" s="149" t="str">
        <f ca="1">IFERROR(VALUE(IF(VLOOKUP($A34,数出表_Excel!$A$6:$T$150,COLUMN()/2+1,FALSE)=0,"",VLOOKUP($A34,数出表_Excel!$A$6:$T$150,COLUMN()/2+1,FALSE))),"")</f>
        <v/>
      </c>
      <c r="W34" s="63"/>
      <c r="X34" s="149" t="str">
        <f ca="1">IFERROR(VALUE(IF(VLOOKUP($A34,数出表_Excel!$A$6:$T$150,COLUMN()/2+1,FALSE)=0,"",VLOOKUP($A34,数出表_Excel!$A$6:$T$150,COLUMN()/2+1,FALSE))),"")</f>
        <v/>
      </c>
      <c r="Y34" s="63"/>
      <c r="Z34" s="149" t="str">
        <f ca="1">IFERROR(VALUE(IF(VLOOKUP($A34,数出表_Excel!$A$6:$T$150,COLUMN()/2+1,FALSE)=0,"",VLOOKUP($A34,数出表_Excel!$A$6:$T$150,COLUMN()/2+1,FALSE))),"")</f>
        <v/>
      </c>
      <c r="AA34" s="63"/>
      <c r="AB34" s="149" t="str">
        <f ca="1">IFERROR(VALUE(IF(VLOOKUP($A34,数出表_Excel!$A$6:$T$150,COLUMN()/2+1,FALSE)=0,"",VLOOKUP($A34,数出表_Excel!$A$6:$T$150,COLUMN()/2+1,FALSE))),"")</f>
        <v/>
      </c>
      <c r="AC34" s="63"/>
      <c r="AD34" s="149" t="str">
        <f ca="1">IFERROR(VALUE(IF(VLOOKUP($A34,数出表_Excel!$A$6:$T$150,COLUMN()/2+1,FALSE)=0,"",VLOOKUP($A34,数出表_Excel!$A$6:$T$150,COLUMN()/2+1,FALSE))),"")</f>
        <v/>
      </c>
      <c r="AE34" s="63"/>
      <c r="AF34" s="149" t="str">
        <f ca="1">IFERROR(VALUE(IF(VLOOKUP($A34,数出表_Excel!$A$6:$T$150,COLUMN()/2+1,FALSE)=0,"",VLOOKUP($A34,数出表_Excel!$A$6:$T$150,COLUMN()/2+1,FALSE))),"")</f>
        <v/>
      </c>
      <c r="AG34" s="63"/>
      <c r="AH34" s="149" t="str">
        <f ca="1">IFERROR(VALUE(IF(VLOOKUP($A34,数出表_Excel!$A$6:$T$150,COLUMN()/2+1,FALSE)=0,"",VLOOKUP($A34,数出表_Excel!$A$6:$T$150,COLUMN()/2+1,FALSE))),"")</f>
        <v/>
      </c>
      <c r="AI34" s="63"/>
      <c r="AJ34" s="149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 x14ac:dyDescent="0.45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 x14ac:dyDescent="0.45">
      <c r="A36" s="68" t="str">
        <f t="array" aca="1" ref="A36" ca="1">IF(OR(COUNTIF(A34,"*10002*"),COUNTIF(A34,"")),"",
IFERROR(INDEX(貼り付け用!$A$1:$A$200,MATCH(A34,貼り付け用!$A$1:$A$200,0)+2,0),""))</f>
        <v/>
      </c>
      <c r="B36" s="149" t="str">
        <f ca="1">IFERROR(VALUE(IF(VLOOKUP($A36,数出表_Excel!$A$6:$T$150,COLUMN()/2+1,FALSE)=0,"",VLOOKUP($A36,数出表_Excel!$A$6:$T$150,COLUMN()/2+1,FALSE))),"")</f>
        <v/>
      </c>
      <c r="C36" s="63"/>
      <c r="D36" s="149" t="str">
        <f ca="1">IFERROR(VALUE(IF(VLOOKUP($A36,数出表_Excel!$A$6:$T$150,COLUMN()/2+1,FALSE)=0,"",VLOOKUP($A36,数出表_Excel!$A$6:$T$150,COLUMN()/2+1,FALSE))),"")</f>
        <v/>
      </c>
      <c r="E36" s="63"/>
      <c r="F36" s="149" t="str">
        <f ca="1">IFERROR(VALUE(IF(VLOOKUP($A36,数出表_Excel!$A$6:$T$150,COLUMN()/2+1,FALSE)=0,"",VLOOKUP($A36,数出表_Excel!$A$6:$T$150,COLUMN()/2+1,FALSE))),"")</f>
        <v/>
      </c>
      <c r="G36" s="63"/>
      <c r="H36" s="149" t="str">
        <f ca="1">IFERROR(VALUE(IF(VLOOKUP($A36,数出表_Excel!$A$6:$T$150,COLUMN()/2+1,FALSE)=0,"",VLOOKUP($A36,数出表_Excel!$A$6:$T$150,COLUMN()/2+1,FALSE))),"")</f>
        <v/>
      </c>
      <c r="I36" s="63"/>
      <c r="J36" s="149" t="str">
        <f ca="1">IFERROR(VALUE(IF(VLOOKUP($A36,数出表_Excel!$A$6:$T$150,COLUMN()/2+1,FALSE)=0,"",VLOOKUP($A36,数出表_Excel!$A$6:$T$150,COLUMN()/2+1,FALSE))),"")</f>
        <v/>
      </c>
      <c r="K36" s="63"/>
      <c r="L36" s="149" t="str">
        <f ca="1">IFERROR(VALUE(IF(VLOOKUP($A36,数出表_Excel!$A$6:$T$150,COLUMN()/2+1,FALSE)=0,"",VLOOKUP($A36,数出表_Excel!$A$6:$T$150,COLUMN()/2+1,FALSE))),"")</f>
        <v/>
      </c>
      <c r="M36" s="63"/>
      <c r="N36" s="149" t="str">
        <f ca="1">IFERROR(VALUE(IF(VLOOKUP($A36,数出表_Excel!$A$6:$T$150,COLUMN()/2+1,FALSE)=0,"",VLOOKUP($A36,数出表_Excel!$A$6:$T$150,COLUMN()/2+1,FALSE))),"")</f>
        <v/>
      </c>
      <c r="O36" s="63"/>
      <c r="P36" s="149" t="str">
        <f ca="1">IFERROR(VALUE(IF(VLOOKUP($A36,数出表_Excel!$A$6:$T$150,COLUMN()/2+1,FALSE)=0,"",VLOOKUP($A36,数出表_Excel!$A$6:$T$150,COLUMN()/2+1,FALSE))),"")</f>
        <v/>
      </c>
      <c r="Q36" s="63"/>
      <c r="R36" s="149" t="str">
        <f ca="1">IFERROR(VALUE(IF(VLOOKUP($A36,数出表_Excel!$A$6:$T$150,COLUMN()/2+1,FALSE)=0,"",VLOOKUP($A36,数出表_Excel!$A$6:$T$150,COLUMN()/2+1,FALSE))),"")</f>
        <v/>
      </c>
      <c r="S36" s="63"/>
      <c r="T36" s="149" t="str">
        <f ca="1">IFERROR(VALUE(IF(VLOOKUP($A36,数出表_Excel!$A$6:$T$150,COLUMN()/2+1,FALSE)=0,"",VLOOKUP($A36,数出表_Excel!$A$6:$T$150,COLUMN()/2+1,FALSE))),"")</f>
        <v/>
      </c>
      <c r="U36" s="63"/>
      <c r="V36" s="149" t="str">
        <f ca="1">IFERROR(VALUE(IF(VLOOKUP($A36,数出表_Excel!$A$6:$T$150,COLUMN()/2+1,FALSE)=0,"",VLOOKUP($A36,数出表_Excel!$A$6:$T$150,COLUMN()/2+1,FALSE))),"")</f>
        <v/>
      </c>
      <c r="W36" s="63"/>
      <c r="X36" s="149" t="str">
        <f ca="1">IFERROR(VALUE(IF(VLOOKUP($A36,数出表_Excel!$A$6:$T$150,COLUMN()/2+1,FALSE)=0,"",VLOOKUP($A36,数出表_Excel!$A$6:$T$150,COLUMN()/2+1,FALSE))),"")</f>
        <v/>
      </c>
      <c r="Y36" s="63"/>
      <c r="Z36" s="149" t="str">
        <f ca="1">IFERROR(VALUE(IF(VLOOKUP($A36,数出表_Excel!$A$6:$T$150,COLUMN()/2+1,FALSE)=0,"",VLOOKUP($A36,数出表_Excel!$A$6:$T$150,COLUMN()/2+1,FALSE))),"")</f>
        <v/>
      </c>
      <c r="AA36" s="63"/>
      <c r="AB36" s="149" t="str">
        <f ca="1">IFERROR(VALUE(IF(VLOOKUP($A36,数出表_Excel!$A$6:$T$150,COLUMN()/2+1,FALSE)=0,"",VLOOKUP($A36,数出表_Excel!$A$6:$T$150,COLUMN()/2+1,FALSE))),"")</f>
        <v/>
      </c>
      <c r="AC36" s="63"/>
      <c r="AD36" s="149" t="str">
        <f ca="1">IFERROR(VALUE(IF(VLOOKUP($A36,数出表_Excel!$A$6:$T$150,COLUMN()/2+1,FALSE)=0,"",VLOOKUP($A36,数出表_Excel!$A$6:$T$150,COLUMN()/2+1,FALSE))),"")</f>
        <v/>
      </c>
      <c r="AE36" s="63"/>
      <c r="AF36" s="149" t="str">
        <f ca="1">IFERROR(VALUE(IF(VLOOKUP($A36,数出表_Excel!$A$6:$T$150,COLUMN()/2+1,FALSE)=0,"",VLOOKUP($A36,数出表_Excel!$A$6:$T$150,COLUMN()/2+1,FALSE))),"")</f>
        <v/>
      </c>
      <c r="AG36" s="63"/>
      <c r="AH36" s="149" t="str">
        <f ca="1">IFERROR(VALUE(IF(VLOOKUP($A36,数出表_Excel!$A$6:$T$150,COLUMN()/2+1,FALSE)=0,"",VLOOKUP($A36,数出表_Excel!$A$6:$T$150,COLUMN()/2+1,FALSE))),"")</f>
        <v/>
      </c>
      <c r="AI36" s="63"/>
      <c r="AJ36" s="149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 x14ac:dyDescent="0.45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 x14ac:dyDescent="0.45">
      <c r="A38" s="68" t="str">
        <f t="array" aca="1" ref="A38" ca="1">IF(OR(COUNTIF(A36,"*10002*"),COUNTIF(A36,"")),"",
IFERROR(INDEX(貼り付け用!$A$1:$A$200,MATCH(A36,貼り付け用!$A$1:$A$200,0)+2,0),""))</f>
        <v/>
      </c>
      <c r="B38" s="149" t="str">
        <f ca="1">IFERROR(VALUE(IF(VLOOKUP($A38,数出表_Excel!$A$6:$T$150,COLUMN()/2+1,FALSE)=0,"",VLOOKUP($A38,数出表_Excel!$A$6:$T$150,COLUMN()/2+1,FALSE))),"")</f>
        <v/>
      </c>
      <c r="C38" s="63"/>
      <c r="D38" s="149" t="str">
        <f ca="1">IFERROR(VALUE(IF(VLOOKUP($A38,数出表_Excel!$A$6:$T$150,COLUMN()/2+1,FALSE)=0,"",VLOOKUP($A38,数出表_Excel!$A$6:$T$150,COLUMN()/2+1,FALSE))),"")</f>
        <v/>
      </c>
      <c r="E38" s="63"/>
      <c r="F38" s="149" t="str">
        <f ca="1">IFERROR(VALUE(IF(VLOOKUP($A38,数出表_Excel!$A$6:$T$150,COLUMN()/2+1,FALSE)=0,"",VLOOKUP($A38,数出表_Excel!$A$6:$T$150,COLUMN()/2+1,FALSE))),"")</f>
        <v/>
      </c>
      <c r="G38" s="63"/>
      <c r="H38" s="149" t="str">
        <f ca="1">IFERROR(VALUE(IF(VLOOKUP($A38,数出表_Excel!$A$6:$T$150,COLUMN()/2+1,FALSE)=0,"",VLOOKUP($A38,数出表_Excel!$A$6:$T$150,COLUMN()/2+1,FALSE))),"")</f>
        <v/>
      </c>
      <c r="I38" s="63"/>
      <c r="J38" s="149" t="str">
        <f ca="1">IFERROR(VALUE(IF(VLOOKUP($A38,数出表_Excel!$A$6:$T$150,COLUMN()/2+1,FALSE)=0,"",VLOOKUP($A38,数出表_Excel!$A$6:$T$150,COLUMN()/2+1,FALSE))),"")</f>
        <v/>
      </c>
      <c r="K38" s="63"/>
      <c r="L38" s="149" t="str">
        <f ca="1">IFERROR(VALUE(IF(VLOOKUP($A38,数出表_Excel!$A$6:$T$150,COLUMN()/2+1,FALSE)=0,"",VLOOKUP($A38,数出表_Excel!$A$6:$T$150,COLUMN()/2+1,FALSE))),"")</f>
        <v/>
      </c>
      <c r="M38" s="63"/>
      <c r="N38" s="149" t="str">
        <f ca="1">IFERROR(VALUE(IF(VLOOKUP($A38,数出表_Excel!$A$6:$T$150,COLUMN()/2+1,FALSE)=0,"",VLOOKUP($A38,数出表_Excel!$A$6:$T$150,COLUMN()/2+1,FALSE))),"")</f>
        <v/>
      </c>
      <c r="O38" s="63"/>
      <c r="P38" s="149" t="str">
        <f ca="1">IFERROR(VALUE(IF(VLOOKUP($A38,数出表_Excel!$A$6:$T$150,COLUMN()/2+1,FALSE)=0,"",VLOOKUP($A38,数出表_Excel!$A$6:$T$150,COLUMN()/2+1,FALSE))),"")</f>
        <v/>
      </c>
      <c r="Q38" s="63"/>
      <c r="R38" s="149" t="str">
        <f ca="1">IFERROR(VALUE(IF(VLOOKUP($A38,数出表_Excel!$A$6:$T$150,COLUMN()/2+1,FALSE)=0,"",VLOOKUP($A38,数出表_Excel!$A$6:$T$150,COLUMN()/2+1,FALSE))),"")</f>
        <v/>
      </c>
      <c r="S38" s="63"/>
      <c r="T38" s="149" t="str">
        <f ca="1">IFERROR(VALUE(IF(VLOOKUP($A38,数出表_Excel!$A$6:$T$150,COLUMN()/2+1,FALSE)=0,"",VLOOKUP($A38,数出表_Excel!$A$6:$T$150,COLUMN()/2+1,FALSE))),"")</f>
        <v/>
      </c>
      <c r="U38" s="63"/>
      <c r="V38" s="149" t="str">
        <f ca="1">IFERROR(VALUE(IF(VLOOKUP($A38,数出表_Excel!$A$6:$T$150,COLUMN()/2+1,FALSE)=0,"",VLOOKUP($A38,数出表_Excel!$A$6:$T$150,COLUMN()/2+1,FALSE))),"")</f>
        <v/>
      </c>
      <c r="W38" s="63"/>
      <c r="X38" s="149" t="str">
        <f ca="1">IFERROR(VALUE(IF(VLOOKUP($A38,数出表_Excel!$A$6:$T$150,COLUMN()/2+1,FALSE)=0,"",VLOOKUP($A38,数出表_Excel!$A$6:$T$150,COLUMN()/2+1,FALSE))),"")</f>
        <v/>
      </c>
      <c r="Y38" s="63"/>
      <c r="Z38" s="149" t="str">
        <f ca="1">IFERROR(VALUE(IF(VLOOKUP($A38,数出表_Excel!$A$6:$T$150,COLUMN()/2+1,FALSE)=0,"",VLOOKUP($A38,数出表_Excel!$A$6:$T$150,COLUMN()/2+1,FALSE))),"")</f>
        <v/>
      </c>
      <c r="AA38" s="63"/>
      <c r="AB38" s="149" t="str">
        <f ca="1">IFERROR(VALUE(IF(VLOOKUP($A38,数出表_Excel!$A$6:$T$150,COLUMN()/2+1,FALSE)=0,"",VLOOKUP($A38,数出表_Excel!$A$6:$T$150,COLUMN()/2+1,FALSE))),"")</f>
        <v/>
      </c>
      <c r="AC38" s="63"/>
      <c r="AD38" s="149" t="str">
        <f ca="1">IFERROR(VALUE(IF(VLOOKUP($A38,数出表_Excel!$A$6:$T$150,COLUMN()/2+1,FALSE)=0,"",VLOOKUP($A38,数出表_Excel!$A$6:$T$150,COLUMN()/2+1,FALSE))),"")</f>
        <v/>
      </c>
      <c r="AE38" s="63"/>
      <c r="AF38" s="149" t="str">
        <f ca="1">IFERROR(VALUE(IF(VLOOKUP($A38,数出表_Excel!$A$6:$T$150,COLUMN()/2+1,FALSE)=0,"",VLOOKUP($A38,数出表_Excel!$A$6:$T$150,COLUMN()/2+1,FALSE))),"")</f>
        <v/>
      </c>
      <c r="AG38" s="63"/>
      <c r="AH38" s="149" t="str">
        <f ca="1">IFERROR(VALUE(IF(VLOOKUP($A38,数出表_Excel!$A$6:$T$150,COLUMN()/2+1,FALSE)=0,"",VLOOKUP($A38,数出表_Excel!$A$6:$T$150,COLUMN()/2+1,FALSE))),"")</f>
        <v/>
      </c>
      <c r="AI38" s="63"/>
      <c r="AJ38" s="149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 x14ac:dyDescent="0.45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 x14ac:dyDescent="0.45">
      <c r="A40" s="68" t="str">
        <f t="array" aca="1" ref="A40" ca="1">IF(OR(COUNTIF(A38,"*10002*"),COUNTIF(A38,"")),"",
IFERROR(INDEX(貼り付け用!$A$1:$A$200,MATCH(A38,貼り付け用!$A$1:$A$200,0)+2,0),""))</f>
        <v/>
      </c>
      <c r="B40" s="149" t="str">
        <f ca="1">IFERROR(VALUE(IF(VLOOKUP($A40,数出表_Excel!$A$6:$T$150,COLUMN()/2+1,FALSE)=0,"",VLOOKUP($A40,数出表_Excel!$A$6:$T$150,COLUMN()/2+1,FALSE))),"")</f>
        <v/>
      </c>
      <c r="C40" s="63"/>
      <c r="D40" s="149" t="str">
        <f ca="1">IFERROR(VALUE(IF(VLOOKUP($A40,数出表_Excel!$A$6:$T$150,COLUMN()/2+1,FALSE)=0,"",VLOOKUP($A40,数出表_Excel!$A$6:$T$150,COLUMN()/2+1,FALSE))),"")</f>
        <v/>
      </c>
      <c r="E40" s="63"/>
      <c r="F40" s="149" t="str">
        <f ca="1">IFERROR(VALUE(IF(VLOOKUP($A40,数出表_Excel!$A$6:$T$150,COLUMN()/2+1,FALSE)=0,"",VLOOKUP($A40,数出表_Excel!$A$6:$T$150,COLUMN()/2+1,FALSE))),"")</f>
        <v/>
      </c>
      <c r="G40" s="63"/>
      <c r="H40" s="149" t="str">
        <f ca="1">IFERROR(VALUE(IF(VLOOKUP($A40,数出表_Excel!$A$6:$T$150,COLUMN()/2+1,FALSE)=0,"",VLOOKUP($A40,数出表_Excel!$A$6:$T$150,COLUMN()/2+1,FALSE))),"")</f>
        <v/>
      </c>
      <c r="I40" s="63"/>
      <c r="J40" s="149" t="str">
        <f ca="1">IFERROR(VALUE(IF(VLOOKUP($A40,数出表_Excel!$A$6:$T$150,COLUMN()/2+1,FALSE)=0,"",VLOOKUP($A40,数出表_Excel!$A$6:$T$150,COLUMN()/2+1,FALSE))),"")</f>
        <v/>
      </c>
      <c r="K40" s="63"/>
      <c r="L40" s="149" t="str">
        <f ca="1">IFERROR(VALUE(IF(VLOOKUP($A40,数出表_Excel!$A$6:$T$150,COLUMN()/2+1,FALSE)=0,"",VLOOKUP($A40,数出表_Excel!$A$6:$T$150,COLUMN()/2+1,FALSE))),"")</f>
        <v/>
      </c>
      <c r="M40" s="63"/>
      <c r="N40" s="149" t="str">
        <f ca="1">IFERROR(VALUE(IF(VLOOKUP($A40,数出表_Excel!$A$6:$T$150,COLUMN()/2+1,FALSE)=0,"",VLOOKUP($A40,数出表_Excel!$A$6:$T$150,COLUMN()/2+1,FALSE))),"")</f>
        <v/>
      </c>
      <c r="O40" s="63"/>
      <c r="P40" s="149" t="str">
        <f ca="1">IFERROR(VALUE(IF(VLOOKUP($A40,数出表_Excel!$A$6:$T$150,COLUMN()/2+1,FALSE)=0,"",VLOOKUP($A40,数出表_Excel!$A$6:$T$150,COLUMN()/2+1,FALSE))),"")</f>
        <v/>
      </c>
      <c r="Q40" s="63"/>
      <c r="R40" s="149" t="str">
        <f ca="1">IFERROR(VALUE(IF(VLOOKUP($A40,数出表_Excel!$A$6:$T$150,COLUMN()/2+1,FALSE)=0,"",VLOOKUP($A40,数出表_Excel!$A$6:$T$150,COLUMN()/2+1,FALSE))),"")</f>
        <v/>
      </c>
      <c r="S40" s="63"/>
      <c r="T40" s="149" t="str">
        <f ca="1">IFERROR(VALUE(IF(VLOOKUP($A40,数出表_Excel!$A$6:$T$150,COLUMN()/2+1,FALSE)=0,"",VLOOKUP($A40,数出表_Excel!$A$6:$T$150,COLUMN()/2+1,FALSE))),"")</f>
        <v/>
      </c>
      <c r="U40" s="63"/>
      <c r="V40" s="149" t="str">
        <f ca="1">IFERROR(VALUE(IF(VLOOKUP($A40,数出表_Excel!$A$6:$T$150,COLUMN()/2+1,FALSE)=0,"",VLOOKUP($A40,数出表_Excel!$A$6:$T$150,COLUMN()/2+1,FALSE))),"")</f>
        <v/>
      </c>
      <c r="W40" s="63"/>
      <c r="X40" s="149" t="str">
        <f ca="1">IFERROR(VALUE(IF(VLOOKUP($A40,数出表_Excel!$A$6:$T$150,COLUMN()/2+1,FALSE)=0,"",VLOOKUP($A40,数出表_Excel!$A$6:$T$150,COLUMN()/2+1,FALSE))),"")</f>
        <v/>
      </c>
      <c r="Y40" s="63"/>
      <c r="Z40" s="149" t="str">
        <f ca="1">IFERROR(VALUE(IF(VLOOKUP($A40,数出表_Excel!$A$6:$T$150,COLUMN()/2+1,FALSE)=0,"",VLOOKUP($A40,数出表_Excel!$A$6:$T$150,COLUMN()/2+1,FALSE))),"")</f>
        <v/>
      </c>
      <c r="AA40" s="63"/>
      <c r="AB40" s="149" t="str">
        <f ca="1">IFERROR(VALUE(IF(VLOOKUP($A40,数出表_Excel!$A$6:$T$150,COLUMN()/2+1,FALSE)=0,"",VLOOKUP($A40,数出表_Excel!$A$6:$T$150,COLUMN()/2+1,FALSE))),"")</f>
        <v/>
      </c>
      <c r="AC40" s="63"/>
      <c r="AD40" s="149" t="str">
        <f ca="1">IFERROR(VALUE(IF(VLOOKUP($A40,数出表_Excel!$A$6:$T$150,COLUMN()/2+1,FALSE)=0,"",VLOOKUP($A40,数出表_Excel!$A$6:$T$150,COLUMN()/2+1,FALSE))),"")</f>
        <v/>
      </c>
      <c r="AE40" s="63"/>
      <c r="AF40" s="149" t="str">
        <f ca="1">IFERROR(VALUE(IF(VLOOKUP($A40,数出表_Excel!$A$6:$T$150,COLUMN()/2+1,FALSE)=0,"",VLOOKUP($A40,数出表_Excel!$A$6:$T$150,COLUMN()/2+1,FALSE))),"")</f>
        <v/>
      </c>
      <c r="AG40" s="63"/>
      <c r="AH40" s="149" t="str">
        <f ca="1">IFERROR(VALUE(IF(VLOOKUP($A40,数出表_Excel!$A$6:$T$150,COLUMN()/2+1,FALSE)=0,"",VLOOKUP($A40,数出表_Excel!$A$6:$T$150,COLUMN()/2+1,FALSE))),"")</f>
        <v/>
      </c>
      <c r="AI40" s="63"/>
      <c r="AJ40" s="149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 x14ac:dyDescent="0.45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 x14ac:dyDescent="0.45">
      <c r="A42" s="68" t="str">
        <f t="array" aca="1" ref="A42" ca="1">IF(OR(COUNTIF(A40,"*10002*"),COUNTIF(A40,"")),"",
IFERROR(INDEX(貼り付け用!$A$1:$A$200,MATCH(A40,貼り付け用!$A$1:$A$200,0)+2,0),""))</f>
        <v/>
      </c>
      <c r="B42" s="149" t="str">
        <f ca="1">IFERROR(VALUE(IF(VLOOKUP($A42,数出表_Excel!$A$6:$T$150,COLUMN()/2+1,FALSE)=0,"",VLOOKUP($A42,数出表_Excel!$A$6:$T$150,COLUMN()/2+1,FALSE))),"")</f>
        <v/>
      </c>
      <c r="C42" s="63"/>
      <c r="D42" s="149" t="str">
        <f ca="1">IFERROR(VALUE(IF(VLOOKUP($A42,数出表_Excel!$A$6:$T$150,COLUMN()/2+1,FALSE)=0,"",VLOOKUP($A42,数出表_Excel!$A$6:$T$150,COLUMN()/2+1,FALSE))),"")</f>
        <v/>
      </c>
      <c r="E42" s="63"/>
      <c r="F42" s="149" t="str">
        <f ca="1">IFERROR(VALUE(IF(VLOOKUP($A42,数出表_Excel!$A$6:$T$150,COLUMN()/2+1,FALSE)=0,"",VLOOKUP($A42,数出表_Excel!$A$6:$T$150,COLUMN()/2+1,FALSE))),"")</f>
        <v/>
      </c>
      <c r="G42" s="63"/>
      <c r="H42" s="149" t="str">
        <f ca="1">IFERROR(VALUE(IF(VLOOKUP($A42,数出表_Excel!$A$6:$T$150,COLUMN()/2+1,FALSE)=0,"",VLOOKUP($A42,数出表_Excel!$A$6:$T$150,COLUMN()/2+1,FALSE))),"")</f>
        <v/>
      </c>
      <c r="I42" s="63"/>
      <c r="J42" s="149" t="str">
        <f ca="1">IFERROR(VALUE(IF(VLOOKUP($A42,数出表_Excel!$A$6:$T$150,COLUMN()/2+1,FALSE)=0,"",VLOOKUP($A42,数出表_Excel!$A$6:$T$150,COLUMN()/2+1,FALSE))),"")</f>
        <v/>
      </c>
      <c r="K42" s="63"/>
      <c r="L42" s="149" t="str">
        <f ca="1">IFERROR(VALUE(IF(VLOOKUP($A42,数出表_Excel!$A$6:$T$150,COLUMN()/2+1,FALSE)=0,"",VLOOKUP($A42,数出表_Excel!$A$6:$T$150,COLUMN()/2+1,FALSE))),"")</f>
        <v/>
      </c>
      <c r="M42" s="63"/>
      <c r="N42" s="149" t="str">
        <f ca="1">IFERROR(VALUE(IF(VLOOKUP($A42,数出表_Excel!$A$6:$T$150,COLUMN()/2+1,FALSE)=0,"",VLOOKUP($A42,数出表_Excel!$A$6:$T$150,COLUMN()/2+1,FALSE))),"")</f>
        <v/>
      </c>
      <c r="O42" s="63"/>
      <c r="P42" s="149" t="str">
        <f ca="1">IFERROR(VALUE(IF(VLOOKUP($A42,数出表_Excel!$A$6:$T$150,COLUMN()/2+1,FALSE)=0,"",VLOOKUP($A42,数出表_Excel!$A$6:$T$150,COLUMN()/2+1,FALSE))),"")</f>
        <v/>
      </c>
      <c r="Q42" s="63"/>
      <c r="R42" s="149" t="str">
        <f ca="1">IFERROR(VALUE(IF(VLOOKUP($A42,数出表_Excel!$A$6:$T$150,COLUMN()/2+1,FALSE)=0,"",VLOOKUP($A42,数出表_Excel!$A$6:$T$150,COLUMN()/2+1,FALSE))),"")</f>
        <v/>
      </c>
      <c r="S42" s="63"/>
      <c r="T42" s="149" t="str">
        <f ca="1">IFERROR(VALUE(IF(VLOOKUP($A42,数出表_Excel!$A$6:$T$150,COLUMN()/2+1,FALSE)=0,"",VLOOKUP($A42,数出表_Excel!$A$6:$T$150,COLUMN()/2+1,FALSE))),"")</f>
        <v/>
      </c>
      <c r="U42" s="63"/>
      <c r="V42" s="149" t="str">
        <f ca="1">IFERROR(VALUE(IF(VLOOKUP($A42,数出表_Excel!$A$6:$T$150,COLUMN()/2+1,FALSE)=0,"",VLOOKUP($A42,数出表_Excel!$A$6:$T$150,COLUMN()/2+1,FALSE))),"")</f>
        <v/>
      </c>
      <c r="W42" s="63"/>
      <c r="X42" s="149" t="str">
        <f ca="1">IFERROR(VALUE(IF(VLOOKUP($A42,数出表_Excel!$A$6:$T$150,COLUMN()/2+1,FALSE)=0,"",VLOOKUP($A42,数出表_Excel!$A$6:$T$150,COLUMN()/2+1,FALSE))),"")</f>
        <v/>
      </c>
      <c r="Y42" s="63"/>
      <c r="Z42" s="149" t="str">
        <f ca="1">IFERROR(VALUE(IF(VLOOKUP($A42,数出表_Excel!$A$6:$T$150,COLUMN()/2+1,FALSE)=0,"",VLOOKUP($A42,数出表_Excel!$A$6:$T$150,COLUMN()/2+1,FALSE))),"")</f>
        <v/>
      </c>
      <c r="AA42" s="63"/>
      <c r="AB42" s="149" t="str">
        <f ca="1">IFERROR(VALUE(IF(VLOOKUP($A42,数出表_Excel!$A$6:$T$150,COLUMN()/2+1,FALSE)=0,"",VLOOKUP($A42,数出表_Excel!$A$6:$T$150,COLUMN()/2+1,FALSE))),"")</f>
        <v/>
      </c>
      <c r="AC42" s="63"/>
      <c r="AD42" s="149" t="str">
        <f ca="1">IFERROR(VALUE(IF(VLOOKUP($A42,数出表_Excel!$A$6:$T$150,COLUMN()/2+1,FALSE)=0,"",VLOOKUP($A42,数出表_Excel!$A$6:$T$150,COLUMN()/2+1,FALSE))),"")</f>
        <v/>
      </c>
      <c r="AE42" s="63"/>
      <c r="AF42" s="149" t="str">
        <f ca="1">IFERROR(VALUE(IF(VLOOKUP($A42,数出表_Excel!$A$6:$T$150,COLUMN()/2+1,FALSE)=0,"",VLOOKUP($A42,数出表_Excel!$A$6:$T$150,COLUMN()/2+1,FALSE))),"")</f>
        <v/>
      </c>
      <c r="AG42" s="63"/>
      <c r="AH42" s="149" t="str">
        <f ca="1">IFERROR(VALUE(IF(VLOOKUP($A42,数出表_Excel!$A$6:$T$150,COLUMN()/2+1,FALSE)=0,"",VLOOKUP($A42,数出表_Excel!$A$6:$T$150,COLUMN()/2+1,FALSE))),"")</f>
        <v/>
      </c>
      <c r="AI42" s="63"/>
      <c r="AJ42" s="149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 x14ac:dyDescent="0.45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 x14ac:dyDescent="0.45">
      <c r="A44" s="68" t="str">
        <f t="array" aca="1" ref="A44" ca="1">IF(OR(COUNTIF(A42,"*10002*"),COUNTIF(A42,"")),"",
IFERROR(INDEX(貼り付け用!$A$1:$A$200,MATCH(A42,貼り付け用!$A$1:$A$200,0)+2,0),""))</f>
        <v/>
      </c>
      <c r="B44" s="149" t="str">
        <f ca="1">IFERROR(VALUE(IF(VLOOKUP($A44,数出表_Excel!$A$6:$T$150,COLUMN()/2+1,FALSE)=0,"",VLOOKUP($A44,数出表_Excel!$A$6:$T$150,COLUMN()/2+1,FALSE))),"")</f>
        <v/>
      </c>
      <c r="C44" s="63"/>
      <c r="D44" s="149" t="str">
        <f ca="1">IFERROR(VALUE(IF(VLOOKUP($A44,数出表_Excel!$A$6:$T$150,COLUMN()/2+1,FALSE)=0,"",VLOOKUP($A44,数出表_Excel!$A$6:$T$150,COLUMN()/2+1,FALSE))),"")</f>
        <v/>
      </c>
      <c r="E44" s="63"/>
      <c r="F44" s="149" t="str">
        <f ca="1">IFERROR(VALUE(IF(VLOOKUP($A44,数出表_Excel!$A$6:$T$150,COLUMN()/2+1,FALSE)=0,"",VLOOKUP($A44,数出表_Excel!$A$6:$T$150,COLUMN()/2+1,FALSE))),"")</f>
        <v/>
      </c>
      <c r="G44" s="63"/>
      <c r="H44" s="149" t="str">
        <f ca="1">IFERROR(VALUE(IF(VLOOKUP($A44,数出表_Excel!$A$6:$T$150,COLUMN()/2+1,FALSE)=0,"",VLOOKUP($A44,数出表_Excel!$A$6:$T$150,COLUMN()/2+1,FALSE))),"")</f>
        <v/>
      </c>
      <c r="I44" s="63"/>
      <c r="J44" s="149" t="str">
        <f ca="1">IFERROR(VALUE(IF(VLOOKUP($A44,数出表_Excel!$A$6:$T$150,COLUMN()/2+1,FALSE)=0,"",VLOOKUP($A44,数出表_Excel!$A$6:$T$150,COLUMN()/2+1,FALSE))),"")</f>
        <v/>
      </c>
      <c r="K44" s="63"/>
      <c r="L44" s="149" t="str">
        <f ca="1">IFERROR(VALUE(IF(VLOOKUP($A44,数出表_Excel!$A$6:$T$150,COLUMN()/2+1,FALSE)=0,"",VLOOKUP($A44,数出表_Excel!$A$6:$T$150,COLUMN()/2+1,FALSE))),"")</f>
        <v/>
      </c>
      <c r="M44" s="63"/>
      <c r="N44" s="149" t="str">
        <f ca="1">IFERROR(VALUE(IF(VLOOKUP($A44,数出表_Excel!$A$6:$T$150,COLUMN()/2+1,FALSE)=0,"",VLOOKUP($A44,数出表_Excel!$A$6:$T$150,COLUMN()/2+1,FALSE))),"")</f>
        <v/>
      </c>
      <c r="O44" s="63"/>
      <c r="P44" s="149" t="str">
        <f ca="1">IFERROR(VALUE(IF(VLOOKUP($A44,数出表_Excel!$A$6:$T$150,COLUMN()/2+1,FALSE)=0,"",VLOOKUP($A44,数出表_Excel!$A$6:$T$150,COLUMN()/2+1,FALSE))),"")</f>
        <v/>
      </c>
      <c r="Q44" s="63"/>
      <c r="R44" s="149" t="str">
        <f ca="1">IFERROR(VALUE(IF(VLOOKUP($A44,数出表_Excel!$A$6:$T$150,COLUMN()/2+1,FALSE)=0,"",VLOOKUP($A44,数出表_Excel!$A$6:$T$150,COLUMN()/2+1,FALSE))),"")</f>
        <v/>
      </c>
      <c r="S44" s="63"/>
      <c r="T44" s="149" t="str">
        <f ca="1">IFERROR(VALUE(IF(VLOOKUP($A44,数出表_Excel!$A$6:$T$150,COLUMN()/2+1,FALSE)=0,"",VLOOKUP($A44,数出表_Excel!$A$6:$T$150,COLUMN()/2+1,FALSE))),"")</f>
        <v/>
      </c>
      <c r="U44" s="63"/>
      <c r="V44" s="149" t="str">
        <f ca="1">IFERROR(VALUE(IF(VLOOKUP($A44,数出表_Excel!$A$6:$T$150,COLUMN()/2+1,FALSE)=0,"",VLOOKUP($A44,数出表_Excel!$A$6:$T$150,COLUMN()/2+1,FALSE))),"")</f>
        <v/>
      </c>
      <c r="W44" s="63"/>
      <c r="X44" s="149" t="str">
        <f ca="1">IFERROR(VALUE(IF(VLOOKUP($A44,数出表_Excel!$A$6:$T$150,COLUMN()/2+1,FALSE)=0,"",VLOOKUP($A44,数出表_Excel!$A$6:$T$150,COLUMN()/2+1,FALSE))),"")</f>
        <v/>
      </c>
      <c r="Y44" s="63"/>
      <c r="Z44" s="149" t="str">
        <f ca="1">IFERROR(VALUE(IF(VLOOKUP($A44,数出表_Excel!$A$6:$T$150,COLUMN()/2+1,FALSE)=0,"",VLOOKUP($A44,数出表_Excel!$A$6:$T$150,COLUMN()/2+1,FALSE))),"")</f>
        <v/>
      </c>
      <c r="AA44" s="63"/>
      <c r="AB44" s="149" t="str">
        <f ca="1">IFERROR(VALUE(IF(VLOOKUP($A44,数出表_Excel!$A$6:$T$150,COLUMN()/2+1,FALSE)=0,"",VLOOKUP($A44,数出表_Excel!$A$6:$T$150,COLUMN()/2+1,FALSE))),"")</f>
        <v/>
      </c>
      <c r="AC44" s="63"/>
      <c r="AD44" s="149" t="str">
        <f ca="1">IFERROR(VALUE(IF(VLOOKUP($A44,数出表_Excel!$A$6:$T$150,COLUMN()/2+1,FALSE)=0,"",VLOOKUP($A44,数出表_Excel!$A$6:$T$150,COLUMN()/2+1,FALSE))),"")</f>
        <v/>
      </c>
      <c r="AE44" s="63"/>
      <c r="AF44" s="149" t="str">
        <f ca="1">IFERROR(VALUE(IF(VLOOKUP($A44,数出表_Excel!$A$6:$T$150,COLUMN()/2+1,FALSE)=0,"",VLOOKUP($A44,数出表_Excel!$A$6:$T$150,COLUMN()/2+1,FALSE))),"")</f>
        <v/>
      </c>
      <c r="AG44" s="63"/>
      <c r="AH44" s="149" t="str">
        <f ca="1">IFERROR(VALUE(IF(VLOOKUP($A44,数出表_Excel!$A$6:$T$150,COLUMN()/2+1,FALSE)=0,"",VLOOKUP($A44,数出表_Excel!$A$6:$T$150,COLUMN()/2+1,FALSE))),"")</f>
        <v/>
      </c>
      <c r="AI44" s="63"/>
      <c r="AJ44" s="149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 x14ac:dyDescent="0.45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 x14ac:dyDescent="0.45">
      <c r="A46" s="68" t="str">
        <f t="array" aca="1" ref="A46" ca="1">IF(OR(COUNTIF(A44,"*10002*"),COUNTIF(A44,"")),"",
IFERROR(INDEX(貼り付け用!$A$1:$A$200,MATCH(A44,貼り付け用!$A$1:$A$200,0)+2,0),""))</f>
        <v/>
      </c>
      <c r="B46" s="149" t="str">
        <f ca="1">IFERROR(VALUE(IF(VLOOKUP($A46,数出表_Excel!$A$6:$T$150,COLUMN()/2+1,FALSE)=0,"",VLOOKUP($A46,数出表_Excel!$A$6:$T$150,COLUMN()/2+1,FALSE))),"")</f>
        <v/>
      </c>
      <c r="C46" s="63"/>
      <c r="D46" s="149" t="str">
        <f ca="1">IFERROR(VALUE(IF(VLOOKUP($A46,数出表_Excel!$A$6:$T$150,COLUMN()/2+1,FALSE)=0,"",VLOOKUP($A46,数出表_Excel!$A$6:$T$150,COLUMN()/2+1,FALSE))),"")</f>
        <v/>
      </c>
      <c r="E46" s="63"/>
      <c r="F46" s="149" t="str">
        <f ca="1">IFERROR(VALUE(IF(VLOOKUP($A46,数出表_Excel!$A$6:$T$150,COLUMN()/2+1,FALSE)=0,"",VLOOKUP($A46,数出表_Excel!$A$6:$T$150,COLUMN()/2+1,FALSE))),"")</f>
        <v/>
      </c>
      <c r="G46" s="63"/>
      <c r="H46" s="149" t="str">
        <f ca="1">IFERROR(VALUE(IF(VLOOKUP($A46,数出表_Excel!$A$6:$T$150,COLUMN()/2+1,FALSE)=0,"",VLOOKUP($A46,数出表_Excel!$A$6:$T$150,COLUMN()/2+1,FALSE))),"")</f>
        <v/>
      </c>
      <c r="I46" s="63"/>
      <c r="J46" s="149" t="str">
        <f ca="1">IFERROR(VALUE(IF(VLOOKUP($A46,数出表_Excel!$A$6:$T$150,COLUMN()/2+1,FALSE)=0,"",VLOOKUP($A46,数出表_Excel!$A$6:$T$150,COLUMN()/2+1,FALSE))),"")</f>
        <v/>
      </c>
      <c r="K46" s="63"/>
      <c r="L46" s="149" t="str">
        <f ca="1">IFERROR(VALUE(IF(VLOOKUP($A46,数出表_Excel!$A$6:$T$150,COLUMN()/2+1,FALSE)=0,"",VLOOKUP($A46,数出表_Excel!$A$6:$T$150,COLUMN()/2+1,FALSE))),"")</f>
        <v/>
      </c>
      <c r="M46" s="63"/>
      <c r="N46" s="149" t="str">
        <f ca="1">IFERROR(VALUE(IF(VLOOKUP($A46,数出表_Excel!$A$6:$T$150,COLUMN()/2+1,FALSE)=0,"",VLOOKUP($A46,数出表_Excel!$A$6:$T$150,COLUMN()/2+1,FALSE))),"")</f>
        <v/>
      </c>
      <c r="O46" s="63"/>
      <c r="P46" s="149" t="str">
        <f ca="1">IFERROR(VALUE(IF(VLOOKUP($A46,数出表_Excel!$A$6:$T$150,COLUMN()/2+1,FALSE)=0,"",VLOOKUP($A46,数出表_Excel!$A$6:$T$150,COLUMN()/2+1,FALSE))),"")</f>
        <v/>
      </c>
      <c r="Q46" s="63"/>
      <c r="R46" s="149" t="str">
        <f ca="1">IFERROR(VALUE(IF(VLOOKUP($A46,数出表_Excel!$A$6:$T$150,COLUMN()/2+1,FALSE)=0,"",VLOOKUP($A46,数出表_Excel!$A$6:$T$150,COLUMN()/2+1,FALSE))),"")</f>
        <v/>
      </c>
      <c r="S46" s="63"/>
      <c r="T46" s="149" t="str">
        <f ca="1">IFERROR(VALUE(IF(VLOOKUP($A46,数出表_Excel!$A$6:$T$150,COLUMN()/2+1,FALSE)=0,"",VLOOKUP($A46,数出表_Excel!$A$6:$T$150,COLUMN()/2+1,FALSE))),"")</f>
        <v/>
      </c>
      <c r="U46" s="63"/>
      <c r="V46" s="149" t="str">
        <f ca="1">IFERROR(VALUE(IF(VLOOKUP($A46,数出表_Excel!$A$6:$T$150,COLUMN()/2+1,FALSE)=0,"",VLOOKUP($A46,数出表_Excel!$A$6:$T$150,COLUMN()/2+1,FALSE))),"")</f>
        <v/>
      </c>
      <c r="W46" s="63"/>
      <c r="X46" s="149" t="str">
        <f ca="1">IFERROR(VALUE(IF(VLOOKUP($A46,数出表_Excel!$A$6:$T$150,COLUMN()/2+1,FALSE)=0,"",VLOOKUP($A46,数出表_Excel!$A$6:$T$150,COLUMN()/2+1,FALSE))),"")</f>
        <v/>
      </c>
      <c r="Y46" s="63"/>
      <c r="Z46" s="149" t="str">
        <f ca="1">IFERROR(VALUE(IF(VLOOKUP($A46,数出表_Excel!$A$6:$T$150,COLUMN()/2+1,FALSE)=0,"",VLOOKUP($A46,数出表_Excel!$A$6:$T$150,COLUMN()/2+1,FALSE))),"")</f>
        <v/>
      </c>
      <c r="AA46" s="63"/>
      <c r="AB46" s="149" t="str">
        <f ca="1">IFERROR(VALUE(IF(VLOOKUP($A46,数出表_Excel!$A$6:$T$150,COLUMN()/2+1,FALSE)=0,"",VLOOKUP($A46,数出表_Excel!$A$6:$T$150,COLUMN()/2+1,FALSE))),"")</f>
        <v/>
      </c>
      <c r="AC46" s="63"/>
      <c r="AD46" s="149" t="str">
        <f ca="1">IFERROR(VALUE(IF(VLOOKUP($A46,数出表_Excel!$A$6:$T$150,COLUMN()/2+1,FALSE)=0,"",VLOOKUP($A46,数出表_Excel!$A$6:$T$150,COLUMN()/2+1,FALSE))),"")</f>
        <v/>
      </c>
      <c r="AE46" s="63"/>
      <c r="AF46" s="149" t="str">
        <f ca="1">IFERROR(VALUE(IF(VLOOKUP($A46,数出表_Excel!$A$6:$T$150,COLUMN()/2+1,FALSE)=0,"",VLOOKUP($A46,数出表_Excel!$A$6:$T$150,COLUMN()/2+1,FALSE))),"")</f>
        <v/>
      </c>
      <c r="AG46" s="63"/>
      <c r="AH46" s="149" t="str">
        <f ca="1">IFERROR(VALUE(IF(VLOOKUP($A46,数出表_Excel!$A$6:$T$150,COLUMN()/2+1,FALSE)=0,"",VLOOKUP($A46,数出表_Excel!$A$6:$T$150,COLUMN()/2+1,FALSE))),"")</f>
        <v/>
      </c>
      <c r="AI46" s="63"/>
      <c r="AJ46" s="149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 x14ac:dyDescent="0.45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 x14ac:dyDescent="0.45">
      <c r="A48" s="68" t="str">
        <f t="array" aca="1" ref="A48" ca="1">IF(OR(COUNTIF(A46,"*10002*"),COUNTIF(A46,"")),"",
IFERROR(INDEX(貼り付け用!$A$1:$A$200,MATCH(A46,貼り付け用!$A$1:$A$200,0)+2,0),""))</f>
        <v/>
      </c>
      <c r="B48" s="149" t="str">
        <f ca="1">IFERROR(VALUE(IF(VLOOKUP($A48,数出表_Excel!$A$6:$T$150,COLUMN()/2+1,FALSE)=0,"",VLOOKUP($A48,数出表_Excel!$A$6:$T$150,COLUMN()/2+1,FALSE))),"")</f>
        <v/>
      </c>
      <c r="C48" s="63"/>
      <c r="D48" s="149" t="str">
        <f ca="1">IFERROR(VALUE(IF(VLOOKUP($A48,数出表_Excel!$A$6:$T$150,COLUMN()/2+1,FALSE)=0,"",VLOOKUP($A48,数出表_Excel!$A$6:$T$150,COLUMN()/2+1,FALSE))),"")</f>
        <v/>
      </c>
      <c r="E48" s="63"/>
      <c r="F48" s="149" t="str">
        <f ca="1">IFERROR(VALUE(IF(VLOOKUP($A48,数出表_Excel!$A$6:$T$150,COLUMN()/2+1,FALSE)=0,"",VLOOKUP($A48,数出表_Excel!$A$6:$T$150,COLUMN()/2+1,FALSE))),"")</f>
        <v/>
      </c>
      <c r="G48" s="63"/>
      <c r="H48" s="149" t="str">
        <f ca="1">IFERROR(VALUE(IF(VLOOKUP($A48,数出表_Excel!$A$6:$T$150,COLUMN()/2+1,FALSE)=0,"",VLOOKUP($A48,数出表_Excel!$A$6:$T$150,COLUMN()/2+1,FALSE))),"")</f>
        <v/>
      </c>
      <c r="I48" s="63"/>
      <c r="J48" s="149" t="str">
        <f ca="1">IFERROR(VALUE(IF(VLOOKUP($A48,数出表_Excel!$A$6:$T$150,COLUMN()/2+1,FALSE)=0,"",VLOOKUP($A48,数出表_Excel!$A$6:$T$150,COLUMN()/2+1,FALSE))),"")</f>
        <v/>
      </c>
      <c r="K48" s="63"/>
      <c r="L48" s="149" t="str">
        <f ca="1">IFERROR(VALUE(IF(VLOOKUP($A48,数出表_Excel!$A$6:$T$150,COLUMN()/2+1,FALSE)=0,"",VLOOKUP($A48,数出表_Excel!$A$6:$T$150,COLUMN()/2+1,FALSE))),"")</f>
        <v/>
      </c>
      <c r="M48" s="63"/>
      <c r="N48" s="149" t="str">
        <f ca="1">IFERROR(VALUE(IF(VLOOKUP($A48,数出表_Excel!$A$6:$T$150,COLUMN()/2+1,FALSE)=0,"",VLOOKUP($A48,数出表_Excel!$A$6:$T$150,COLUMN()/2+1,FALSE))),"")</f>
        <v/>
      </c>
      <c r="O48" s="63"/>
      <c r="P48" s="149" t="str">
        <f ca="1">IFERROR(VALUE(IF(VLOOKUP($A48,数出表_Excel!$A$6:$T$150,COLUMN()/2+1,FALSE)=0,"",VLOOKUP($A48,数出表_Excel!$A$6:$T$150,COLUMN()/2+1,FALSE))),"")</f>
        <v/>
      </c>
      <c r="Q48" s="63"/>
      <c r="R48" s="149" t="str">
        <f ca="1">IFERROR(VALUE(IF(VLOOKUP($A48,数出表_Excel!$A$6:$T$150,COLUMN()/2+1,FALSE)=0,"",VLOOKUP($A48,数出表_Excel!$A$6:$T$150,COLUMN()/2+1,FALSE))),"")</f>
        <v/>
      </c>
      <c r="S48" s="63"/>
      <c r="T48" s="149" t="str">
        <f ca="1">IFERROR(VALUE(IF(VLOOKUP($A48,数出表_Excel!$A$6:$T$150,COLUMN()/2+1,FALSE)=0,"",VLOOKUP($A48,数出表_Excel!$A$6:$T$150,COLUMN()/2+1,FALSE))),"")</f>
        <v/>
      </c>
      <c r="U48" s="63"/>
      <c r="V48" s="149" t="str">
        <f ca="1">IFERROR(VALUE(IF(VLOOKUP($A48,数出表_Excel!$A$6:$T$150,COLUMN()/2+1,FALSE)=0,"",VLOOKUP($A48,数出表_Excel!$A$6:$T$150,COLUMN()/2+1,FALSE))),"")</f>
        <v/>
      </c>
      <c r="W48" s="63"/>
      <c r="X48" s="149" t="str">
        <f ca="1">IFERROR(VALUE(IF(VLOOKUP($A48,数出表_Excel!$A$6:$T$150,COLUMN()/2+1,FALSE)=0,"",VLOOKUP($A48,数出表_Excel!$A$6:$T$150,COLUMN()/2+1,FALSE))),"")</f>
        <v/>
      </c>
      <c r="Y48" s="63"/>
      <c r="Z48" s="149" t="str">
        <f ca="1">IFERROR(VALUE(IF(VLOOKUP($A48,数出表_Excel!$A$6:$T$150,COLUMN()/2+1,FALSE)=0,"",VLOOKUP($A48,数出表_Excel!$A$6:$T$150,COLUMN()/2+1,FALSE))),"")</f>
        <v/>
      </c>
      <c r="AA48" s="63"/>
      <c r="AB48" s="149" t="str">
        <f ca="1">IFERROR(VALUE(IF(VLOOKUP($A48,数出表_Excel!$A$6:$T$150,COLUMN()/2+1,FALSE)=0,"",VLOOKUP($A48,数出表_Excel!$A$6:$T$150,COLUMN()/2+1,FALSE))),"")</f>
        <v/>
      </c>
      <c r="AC48" s="63"/>
      <c r="AD48" s="149" t="str">
        <f ca="1">IFERROR(VALUE(IF(VLOOKUP($A48,数出表_Excel!$A$6:$T$150,COLUMN()/2+1,FALSE)=0,"",VLOOKUP($A48,数出表_Excel!$A$6:$T$150,COLUMN()/2+1,FALSE))),"")</f>
        <v/>
      </c>
      <c r="AE48" s="63"/>
      <c r="AF48" s="149" t="str">
        <f ca="1">IFERROR(VALUE(IF(VLOOKUP($A48,数出表_Excel!$A$6:$T$150,COLUMN()/2+1,FALSE)=0,"",VLOOKUP($A48,数出表_Excel!$A$6:$T$150,COLUMN()/2+1,FALSE))),"")</f>
        <v/>
      </c>
      <c r="AG48" s="63"/>
      <c r="AH48" s="149" t="str">
        <f ca="1">IFERROR(VALUE(IF(VLOOKUP($A48,数出表_Excel!$A$6:$T$150,COLUMN()/2+1,FALSE)=0,"",VLOOKUP($A48,数出表_Excel!$A$6:$T$150,COLUMN()/2+1,FALSE))),"")</f>
        <v/>
      </c>
      <c r="AI48" s="63"/>
      <c r="AJ48" s="149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 x14ac:dyDescent="0.45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 x14ac:dyDescent="0.45">
      <c r="A50" s="68" t="str">
        <f t="array" aca="1" ref="A50" ca="1">IF(OR(COUNTIF(A48,"*10002*"),COUNTIF(A48,"")),"",
IFERROR(INDEX(貼り付け用!$A$1:$A$200,MATCH(A48,貼り付け用!$A$1:$A$200,0)+2,0),""))</f>
        <v/>
      </c>
      <c r="B50" s="149" t="str">
        <f ca="1">IFERROR(VALUE(IF(VLOOKUP($A50,数出表_Excel!$A$6:$T$150,COLUMN()/2+1,FALSE)=0,"",VLOOKUP($A50,数出表_Excel!$A$6:$T$150,COLUMN()/2+1,FALSE))),"")</f>
        <v/>
      </c>
      <c r="C50" s="63"/>
      <c r="D50" s="149" t="str">
        <f ca="1">IFERROR(VALUE(IF(VLOOKUP($A50,数出表_Excel!$A$6:$T$150,COLUMN()/2+1,FALSE)=0,"",VLOOKUP($A50,数出表_Excel!$A$6:$T$150,COLUMN()/2+1,FALSE))),"")</f>
        <v/>
      </c>
      <c r="E50" s="63"/>
      <c r="F50" s="149" t="str">
        <f ca="1">IFERROR(VALUE(IF(VLOOKUP($A50,数出表_Excel!$A$6:$T$150,COLUMN()/2+1,FALSE)=0,"",VLOOKUP($A50,数出表_Excel!$A$6:$T$150,COLUMN()/2+1,FALSE))),"")</f>
        <v/>
      </c>
      <c r="G50" s="63"/>
      <c r="H50" s="149" t="str">
        <f ca="1">IFERROR(VALUE(IF(VLOOKUP($A50,数出表_Excel!$A$6:$T$150,COLUMN()/2+1,FALSE)=0,"",VLOOKUP($A50,数出表_Excel!$A$6:$T$150,COLUMN()/2+1,FALSE))),"")</f>
        <v/>
      </c>
      <c r="I50" s="63"/>
      <c r="J50" s="149" t="str">
        <f ca="1">IFERROR(VALUE(IF(VLOOKUP($A50,数出表_Excel!$A$6:$T$150,COLUMN()/2+1,FALSE)=0,"",VLOOKUP($A50,数出表_Excel!$A$6:$T$150,COLUMN()/2+1,FALSE))),"")</f>
        <v/>
      </c>
      <c r="K50" s="63"/>
      <c r="L50" s="149" t="str">
        <f ca="1">IFERROR(VALUE(IF(VLOOKUP($A50,数出表_Excel!$A$6:$T$150,COLUMN()/2+1,FALSE)=0,"",VLOOKUP($A50,数出表_Excel!$A$6:$T$150,COLUMN()/2+1,FALSE))),"")</f>
        <v/>
      </c>
      <c r="M50" s="63"/>
      <c r="N50" s="149" t="str">
        <f ca="1">IFERROR(VALUE(IF(VLOOKUP($A50,数出表_Excel!$A$6:$T$150,COLUMN()/2+1,FALSE)=0,"",VLOOKUP($A50,数出表_Excel!$A$6:$T$150,COLUMN()/2+1,FALSE))),"")</f>
        <v/>
      </c>
      <c r="O50" s="63"/>
      <c r="P50" s="149" t="str">
        <f ca="1">IFERROR(VALUE(IF(VLOOKUP($A50,数出表_Excel!$A$6:$T$150,COLUMN()/2+1,FALSE)=0,"",VLOOKUP($A50,数出表_Excel!$A$6:$T$150,COLUMN()/2+1,FALSE))),"")</f>
        <v/>
      </c>
      <c r="Q50" s="63"/>
      <c r="R50" s="149" t="str">
        <f ca="1">IFERROR(VALUE(IF(VLOOKUP($A50,数出表_Excel!$A$6:$T$150,COLUMN()/2+1,FALSE)=0,"",VLOOKUP($A50,数出表_Excel!$A$6:$T$150,COLUMN()/2+1,FALSE))),"")</f>
        <v/>
      </c>
      <c r="S50" s="63"/>
      <c r="T50" s="149" t="str">
        <f ca="1">IFERROR(VALUE(IF(VLOOKUP($A50,数出表_Excel!$A$6:$T$150,COLUMN()/2+1,FALSE)=0,"",VLOOKUP($A50,数出表_Excel!$A$6:$T$150,COLUMN()/2+1,FALSE))),"")</f>
        <v/>
      </c>
      <c r="U50" s="63"/>
      <c r="V50" s="149" t="str">
        <f ca="1">IFERROR(VALUE(IF(VLOOKUP($A50,数出表_Excel!$A$6:$T$150,COLUMN()/2+1,FALSE)=0,"",VLOOKUP($A50,数出表_Excel!$A$6:$T$150,COLUMN()/2+1,FALSE))),"")</f>
        <v/>
      </c>
      <c r="W50" s="63"/>
      <c r="X50" s="149" t="str">
        <f ca="1">IFERROR(VALUE(IF(VLOOKUP($A50,数出表_Excel!$A$6:$T$150,COLUMN()/2+1,FALSE)=0,"",VLOOKUP($A50,数出表_Excel!$A$6:$T$150,COLUMN()/2+1,FALSE))),"")</f>
        <v/>
      </c>
      <c r="Y50" s="63"/>
      <c r="Z50" s="149" t="str">
        <f ca="1">IFERROR(VALUE(IF(VLOOKUP($A50,数出表_Excel!$A$6:$T$150,COLUMN()/2+1,FALSE)=0,"",VLOOKUP($A50,数出表_Excel!$A$6:$T$150,COLUMN()/2+1,FALSE))),"")</f>
        <v/>
      </c>
      <c r="AA50" s="63"/>
      <c r="AB50" s="149" t="str">
        <f ca="1">IFERROR(VALUE(IF(VLOOKUP($A50,数出表_Excel!$A$6:$T$150,COLUMN()/2+1,FALSE)=0,"",VLOOKUP($A50,数出表_Excel!$A$6:$T$150,COLUMN()/2+1,FALSE))),"")</f>
        <v/>
      </c>
      <c r="AC50" s="63"/>
      <c r="AD50" s="149" t="str">
        <f ca="1">IFERROR(VALUE(IF(VLOOKUP($A50,数出表_Excel!$A$6:$T$150,COLUMN()/2+1,FALSE)=0,"",VLOOKUP($A50,数出表_Excel!$A$6:$T$150,COLUMN()/2+1,FALSE))),"")</f>
        <v/>
      </c>
      <c r="AE50" s="63"/>
      <c r="AF50" s="149" t="str">
        <f ca="1">IFERROR(VALUE(IF(VLOOKUP($A50,数出表_Excel!$A$6:$T$150,COLUMN()/2+1,FALSE)=0,"",VLOOKUP($A50,数出表_Excel!$A$6:$T$150,COLUMN()/2+1,FALSE))),"")</f>
        <v/>
      </c>
      <c r="AG50" s="63"/>
      <c r="AH50" s="149" t="str">
        <f ca="1">IFERROR(VALUE(IF(VLOOKUP($A50,数出表_Excel!$A$6:$T$150,COLUMN()/2+1,FALSE)=0,"",VLOOKUP($A50,数出表_Excel!$A$6:$T$150,COLUMN()/2+1,FALSE))),"")</f>
        <v/>
      </c>
      <c r="AI50" s="63"/>
      <c r="AJ50" s="149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 x14ac:dyDescent="0.45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 x14ac:dyDescent="0.45">
      <c r="A52" s="68" t="str">
        <f t="array" aca="1" ref="A52" ca="1">IF(OR(COUNTIF(A50,"*10002*"),COUNTIF(A50,"")),"",
IFERROR(INDEX(貼り付け用!$A$1:$A$200,MATCH(A50,貼り付け用!$A$1:$A$200,0)+2,0),""))</f>
        <v/>
      </c>
      <c r="B52" s="149" t="str">
        <f ca="1">IFERROR(VALUE(IF(VLOOKUP($A52,数出表_Excel!$A$6:$T$150,COLUMN()/2+1,FALSE)=0,"",VLOOKUP($A52,数出表_Excel!$A$6:$T$150,COLUMN()/2+1,FALSE))),"")</f>
        <v/>
      </c>
      <c r="C52" s="63"/>
      <c r="D52" s="149" t="str">
        <f ca="1">IFERROR(VALUE(IF(VLOOKUP($A52,数出表_Excel!$A$6:$T$150,COLUMN()/2+1,FALSE)=0,"",VLOOKUP($A52,数出表_Excel!$A$6:$T$150,COLUMN()/2+1,FALSE))),"")</f>
        <v/>
      </c>
      <c r="E52" s="63"/>
      <c r="F52" s="149" t="str">
        <f ca="1">IFERROR(VALUE(IF(VLOOKUP($A52,数出表_Excel!$A$6:$T$150,COLUMN()/2+1,FALSE)=0,"",VLOOKUP($A52,数出表_Excel!$A$6:$T$150,COLUMN()/2+1,FALSE))),"")</f>
        <v/>
      </c>
      <c r="G52" s="63"/>
      <c r="H52" s="149" t="str">
        <f ca="1">IFERROR(VALUE(IF(VLOOKUP($A52,数出表_Excel!$A$6:$T$150,COLUMN()/2+1,FALSE)=0,"",VLOOKUP($A52,数出表_Excel!$A$6:$T$150,COLUMN()/2+1,FALSE))),"")</f>
        <v/>
      </c>
      <c r="I52" s="63"/>
      <c r="J52" s="149" t="str">
        <f ca="1">IFERROR(VALUE(IF(VLOOKUP($A52,数出表_Excel!$A$6:$T$150,COLUMN()/2+1,FALSE)=0,"",VLOOKUP($A52,数出表_Excel!$A$6:$T$150,COLUMN()/2+1,FALSE))),"")</f>
        <v/>
      </c>
      <c r="K52" s="63"/>
      <c r="L52" s="149" t="str">
        <f ca="1">IFERROR(VALUE(IF(VLOOKUP($A52,数出表_Excel!$A$6:$T$150,COLUMN()/2+1,FALSE)=0,"",VLOOKUP($A52,数出表_Excel!$A$6:$T$150,COLUMN()/2+1,FALSE))),"")</f>
        <v/>
      </c>
      <c r="M52" s="63"/>
      <c r="N52" s="149" t="str">
        <f ca="1">IFERROR(VALUE(IF(VLOOKUP($A52,数出表_Excel!$A$6:$T$150,COLUMN()/2+1,FALSE)=0,"",VLOOKUP($A52,数出表_Excel!$A$6:$T$150,COLUMN()/2+1,FALSE))),"")</f>
        <v/>
      </c>
      <c r="O52" s="63"/>
      <c r="P52" s="149" t="str">
        <f ca="1">IFERROR(VALUE(IF(VLOOKUP($A52,数出表_Excel!$A$6:$T$150,COLUMN()/2+1,FALSE)=0,"",VLOOKUP($A52,数出表_Excel!$A$6:$T$150,COLUMN()/2+1,FALSE))),"")</f>
        <v/>
      </c>
      <c r="Q52" s="63"/>
      <c r="R52" s="149" t="str">
        <f ca="1">IFERROR(VALUE(IF(VLOOKUP($A52,数出表_Excel!$A$6:$T$150,COLUMN()/2+1,FALSE)=0,"",VLOOKUP($A52,数出表_Excel!$A$6:$T$150,COLUMN()/2+1,FALSE))),"")</f>
        <v/>
      </c>
      <c r="S52" s="63"/>
      <c r="T52" s="149" t="str">
        <f ca="1">IFERROR(VALUE(IF(VLOOKUP($A52,数出表_Excel!$A$6:$T$150,COLUMN()/2+1,FALSE)=0,"",VLOOKUP($A52,数出表_Excel!$A$6:$T$150,COLUMN()/2+1,FALSE))),"")</f>
        <v/>
      </c>
      <c r="U52" s="63"/>
      <c r="V52" s="149" t="str">
        <f ca="1">IFERROR(VALUE(IF(VLOOKUP($A52,数出表_Excel!$A$6:$T$150,COLUMN()/2+1,FALSE)=0,"",VLOOKUP($A52,数出表_Excel!$A$6:$T$150,COLUMN()/2+1,FALSE))),"")</f>
        <v/>
      </c>
      <c r="W52" s="63"/>
      <c r="X52" s="149" t="str">
        <f ca="1">IFERROR(VALUE(IF(VLOOKUP($A52,数出表_Excel!$A$6:$T$150,COLUMN()/2+1,FALSE)=0,"",VLOOKUP($A52,数出表_Excel!$A$6:$T$150,COLUMN()/2+1,FALSE))),"")</f>
        <v/>
      </c>
      <c r="Y52" s="63"/>
      <c r="Z52" s="149" t="str">
        <f ca="1">IFERROR(VALUE(IF(VLOOKUP($A52,数出表_Excel!$A$6:$T$150,COLUMN()/2+1,FALSE)=0,"",VLOOKUP($A52,数出表_Excel!$A$6:$T$150,COLUMN()/2+1,FALSE))),"")</f>
        <v/>
      </c>
      <c r="AA52" s="63"/>
      <c r="AB52" s="149" t="str">
        <f ca="1">IFERROR(VALUE(IF(VLOOKUP($A52,数出表_Excel!$A$6:$T$150,COLUMN()/2+1,FALSE)=0,"",VLOOKUP($A52,数出表_Excel!$A$6:$T$150,COLUMN()/2+1,FALSE))),"")</f>
        <v/>
      </c>
      <c r="AC52" s="63"/>
      <c r="AD52" s="149" t="str">
        <f ca="1">IFERROR(VALUE(IF(VLOOKUP($A52,数出表_Excel!$A$6:$T$150,COLUMN()/2+1,FALSE)=0,"",VLOOKUP($A52,数出表_Excel!$A$6:$T$150,COLUMN()/2+1,FALSE))),"")</f>
        <v/>
      </c>
      <c r="AE52" s="63"/>
      <c r="AF52" s="149" t="str">
        <f ca="1">IFERROR(VALUE(IF(VLOOKUP($A52,数出表_Excel!$A$6:$T$150,COLUMN()/2+1,FALSE)=0,"",VLOOKUP($A52,数出表_Excel!$A$6:$T$150,COLUMN()/2+1,FALSE))),"")</f>
        <v/>
      </c>
      <c r="AG52" s="63"/>
      <c r="AH52" s="149" t="str">
        <f ca="1">IFERROR(VALUE(IF(VLOOKUP($A52,数出表_Excel!$A$6:$T$150,COLUMN()/2+1,FALSE)=0,"",VLOOKUP($A52,数出表_Excel!$A$6:$T$150,COLUMN()/2+1,FALSE))),"")</f>
        <v/>
      </c>
      <c r="AI52" s="63"/>
      <c r="AJ52" s="149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 x14ac:dyDescent="0.45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 x14ac:dyDescent="0.45">
      <c r="A54" s="68" t="str">
        <f t="array" aca="1" ref="A54" ca="1">IF(OR(COUNTIF(A52,"*10002*"),COUNTIF(A52,"")),"",
IFERROR(INDEX(貼り付け用!$A$1:$A$200,MATCH(A52,貼り付け用!$A$1:$A$200,0)+2,0),""))</f>
        <v/>
      </c>
      <c r="B54" s="149" t="str">
        <f ca="1">IFERROR(VALUE(IF(VLOOKUP($A54,数出表_Excel!$A$6:$T$150,COLUMN()/2+1,FALSE)=0,"",VLOOKUP($A54,数出表_Excel!$A$6:$T$150,COLUMN()/2+1,FALSE))),"")</f>
        <v/>
      </c>
      <c r="C54" s="63"/>
      <c r="D54" s="149" t="str">
        <f ca="1">IFERROR(VALUE(IF(VLOOKUP($A54,数出表_Excel!$A$6:$T$150,COLUMN()/2+1,FALSE)=0,"",VLOOKUP($A54,数出表_Excel!$A$6:$T$150,COLUMN()/2+1,FALSE))),"")</f>
        <v/>
      </c>
      <c r="E54" s="63"/>
      <c r="F54" s="149" t="str">
        <f ca="1">IFERROR(VALUE(IF(VLOOKUP($A54,数出表_Excel!$A$6:$T$150,COLUMN()/2+1,FALSE)=0,"",VLOOKUP($A54,数出表_Excel!$A$6:$T$150,COLUMN()/2+1,FALSE))),"")</f>
        <v/>
      </c>
      <c r="G54" s="63"/>
      <c r="H54" s="149" t="str">
        <f ca="1">IFERROR(VALUE(IF(VLOOKUP($A54,数出表_Excel!$A$6:$T$150,COLUMN()/2+1,FALSE)=0,"",VLOOKUP($A54,数出表_Excel!$A$6:$T$150,COLUMN()/2+1,FALSE))),"")</f>
        <v/>
      </c>
      <c r="I54" s="63"/>
      <c r="J54" s="149" t="str">
        <f ca="1">IFERROR(VALUE(IF(VLOOKUP($A54,数出表_Excel!$A$6:$T$150,COLUMN()/2+1,FALSE)=0,"",VLOOKUP($A54,数出表_Excel!$A$6:$T$150,COLUMN()/2+1,FALSE))),"")</f>
        <v/>
      </c>
      <c r="K54" s="63"/>
      <c r="L54" s="149" t="str">
        <f ca="1">IFERROR(VALUE(IF(VLOOKUP($A54,数出表_Excel!$A$6:$T$150,COLUMN()/2+1,FALSE)=0,"",VLOOKUP($A54,数出表_Excel!$A$6:$T$150,COLUMN()/2+1,FALSE))),"")</f>
        <v/>
      </c>
      <c r="M54" s="63"/>
      <c r="N54" s="149" t="str">
        <f ca="1">IFERROR(VALUE(IF(VLOOKUP($A54,数出表_Excel!$A$6:$T$150,COLUMN()/2+1,FALSE)=0,"",VLOOKUP($A54,数出表_Excel!$A$6:$T$150,COLUMN()/2+1,FALSE))),"")</f>
        <v/>
      </c>
      <c r="O54" s="63"/>
      <c r="P54" s="149" t="str">
        <f ca="1">IFERROR(VALUE(IF(VLOOKUP($A54,数出表_Excel!$A$6:$T$150,COLUMN()/2+1,FALSE)=0,"",VLOOKUP($A54,数出表_Excel!$A$6:$T$150,COLUMN()/2+1,FALSE))),"")</f>
        <v/>
      </c>
      <c r="Q54" s="63"/>
      <c r="R54" s="149" t="str">
        <f ca="1">IFERROR(VALUE(IF(VLOOKUP($A54,数出表_Excel!$A$6:$T$150,COLUMN()/2+1,FALSE)=0,"",VLOOKUP($A54,数出表_Excel!$A$6:$T$150,COLUMN()/2+1,FALSE))),"")</f>
        <v/>
      </c>
      <c r="S54" s="63"/>
      <c r="T54" s="149" t="str">
        <f ca="1">IFERROR(VALUE(IF(VLOOKUP($A54,数出表_Excel!$A$6:$T$150,COLUMN()/2+1,FALSE)=0,"",VLOOKUP($A54,数出表_Excel!$A$6:$T$150,COLUMN()/2+1,FALSE))),"")</f>
        <v/>
      </c>
      <c r="U54" s="63"/>
      <c r="V54" s="149" t="str">
        <f ca="1">IFERROR(VALUE(IF(VLOOKUP($A54,数出表_Excel!$A$6:$T$150,COLUMN()/2+1,FALSE)=0,"",VLOOKUP($A54,数出表_Excel!$A$6:$T$150,COLUMN()/2+1,FALSE))),"")</f>
        <v/>
      </c>
      <c r="W54" s="63"/>
      <c r="X54" s="149" t="str">
        <f ca="1">IFERROR(VALUE(IF(VLOOKUP($A54,数出表_Excel!$A$6:$T$150,COLUMN()/2+1,FALSE)=0,"",VLOOKUP($A54,数出表_Excel!$A$6:$T$150,COLUMN()/2+1,FALSE))),"")</f>
        <v/>
      </c>
      <c r="Y54" s="63"/>
      <c r="Z54" s="149" t="str">
        <f ca="1">IFERROR(VALUE(IF(VLOOKUP($A54,数出表_Excel!$A$6:$T$150,COLUMN()/2+1,FALSE)=0,"",VLOOKUP($A54,数出表_Excel!$A$6:$T$150,COLUMN()/2+1,FALSE))),"")</f>
        <v/>
      </c>
      <c r="AA54" s="63"/>
      <c r="AB54" s="149" t="str">
        <f ca="1">IFERROR(VALUE(IF(VLOOKUP($A54,数出表_Excel!$A$6:$T$150,COLUMN()/2+1,FALSE)=0,"",VLOOKUP($A54,数出表_Excel!$A$6:$T$150,COLUMN()/2+1,FALSE))),"")</f>
        <v/>
      </c>
      <c r="AC54" s="63"/>
      <c r="AD54" s="149" t="str">
        <f ca="1">IFERROR(VALUE(IF(VLOOKUP($A54,数出表_Excel!$A$6:$T$150,COLUMN()/2+1,FALSE)=0,"",VLOOKUP($A54,数出表_Excel!$A$6:$T$150,COLUMN()/2+1,FALSE))),"")</f>
        <v/>
      </c>
      <c r="AE54" s="63"/>
      <c r="AF54" s="149" t="str">
        <f ca="1">IFERROR(VALUE(IF(VLOOKUP($A54,数出表_Excel!$A$6:$T$150,COLUMN()/2+1,FALSE)=0,"",VLOOKUP($A54,数出表_Excel!$A$6:$T$150,COLUMN()/2+1,FALSE))),"")</f>
        <v/>
      </c>
      <c r="AG54" s="63"/>
      <c r="AH54" s="149" t="str">
        <f ca="1">IFERROR(VALUE(IF(VLOOKUP($A54,数出表_Excel!$A$6:$T$150,COLUMN()/2+1,FALSE)=0,"",VLOOKUP($A54,数出表_Excel!$A$6:$T$150,COLUMN()/2+1,FALSE))),"")</f>
        <v/>
      </c>
      <c r="AI54" s="63"/>
      <c r="AJ54" s="149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 x14ac:dyDescent="0.45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 x14ac:dyDescent="0.45">
      <c r="A56" s="68" t="str">
        <f t="array" aca="1" ref="A56" ca="1">IF(OR(COUNTIF(A54,"*10002*"),COUNTIF(A54,"")),"",
IFERROR(INDEX(貼り付け用!$A$1:$A$200,MATCH(A54,貼り付け用!$A$1:$A$200,0)+2,0),""))</f>
        <v/>
      </c>
      <c r="B56" s="149" t="str">
        <f ca="1">IFERROR(VALUE(IF(VLOOKUP($A56,数出表_Excel!$A$6:$T$150,COLUMN()/2+1,FALSE)=0,"",VLOOKUP($A56,数出表_Excel!$A$6:$T$150,COLUMN()/2+1,FALSE))),"")</f>
        <v/>
      </c>
      <c r="C56" s="63"/>
      <c r="D56" s="149" t="str">
        <f ca="1">IFERROR(VALUE(IF(VLOOKUP($A56,数出表_Excel!$A$6:$T$150,COLUMN()/2+1,FALSE)=0,"",VLOOKUP($A56,数出表_Excel!$A$6:$T$150,COLUMN()/2+1,FALSE))),"")</f>
        <v/>
      </c>
      <c r="E56" s="63"/>
      <c r="F56" s="149" t="str">
        <f ca="1">IFERROR(VALUE(IF(VLOOKUP($A56,数出表_Excel!$A$6:$T$150,COLUMN()/2+1,FALSE)=0,"",VLOOKUP($A56,数出表_Excel!$A$6:$T$150,COLUMN()/2+1,FALSE))),"")</f>
        <v/>
      </c>
      <c r="G56" s="63"/>
      <c r="H56" s="149" t="str">
        <f ca="1">IFERROR(VALUE(IF(VLOOKUP($A56,数出表_Excel!$A$6:$T$150,COLUMN()/2+1,FALSE)=0,"",VLOOKUP($A56,数出表_Excel!$A$6:$T$150,COLUMN()/2+1,FALSE))),"")</f>
        <v/>
      </c>
      <c r="I56" s="63"/>
      <c r="J56" s="149" t="str">
        <f ca="1">IFERROR(VALUE(IF(VLOOKUP($A56,数出表_Excel!$A$6:$T$150,COLUMN()/2+1,FALSE)=0,"",VLOOKUP($A56,数出表_Excel!$A$6:$T$150,COLUMN()/2+1,FALSE))),"")</f>
        <v/>
      </c>
      <c r="K56" s="63"/>
      <c r="L56" s="149" t="str">
        <f ca="1">IFERROR(VALUE(IF(VLOOKUP($A56,数出表_Excel!$A$6:$T$150,COLUMN()/2+1,FALSE)=0,"",VLOOKUP($A56,数出表_Excel!$A$6:$T$150,COLUMN()/2+1,FALSE))),"")</f>
        <v/>
      </c>
      <c r="M56" s="63"/>
      <c r="N56" s="149" t="str">
        <f ca="1">IFERROR(VALUE(IF(VLOOKUP($A56,数出表_Excel!$A$6:$T$150,COLUMN()/2+1,FALSE)=0,"",VLOOKUP($A56,数出表_Excel!$A$6:$T$150,COLUMN()/2+1,FALSE))),"")</f>
        <v/>
      </c>
      <c r="O56" s="63"/>
      <c r="P56" s="149" t="str">
        <f ca="1">IFERROR(VALUE(IF(VLOOKUP($A56,数出表_Excel!$A$6:$T$150,COLUMN()/2+1,FALSE)=0,"",VLOOKUP($A56,数出表_Excel!$A$6:$T$150,COLUMN()/2+1,FALSE))),"")</f>
        <v/>
      </c>
      <c r="Q56" s="63"/>
      <c r="R56" s="149" t="str">
        <f ca="1">IFERROR(VALUE(IF(VLOOKUP($A56,数出表_Excel!$A$6:$T$150,COLUMN()/2+1,FALSE)=0,"",VLOOKUP($A56,数出表_Excel!$A$6:$T$150,COLUMN()/2+1,FALSE))),"")</f>
        <v/>
      </c>
      <c r="S56" s="63"/>
      <c r="T56" s="149" t="str">
        <f ca="1">IFERROR(VALUE(IF(VLOOKUP($A56,数出表_Excel!$A$6:$T$150,COLUMN()/2+1,FALSE)=0,"",VLOOKUP($A56,数出表_Excel!$A$6:$T$150,COLUMN()/2+1,FALSE))),"")</f>
        <v/>
      </c>
      <c r="U56" s="63"/>
      <c r="V56" s="149" t="str">
        <f ca="1">IFERROR(VALUE(IF(VLOOKUP($A56,数出表_Excel!$A$6:$T$150,COLUMN()/2+1,FALSE)=0,"",VLOOKUP($A56,数出表_Excel!$A$6:$T$150,COLUMN()/2+1,FALSE))),"")</f>
        <v/>
      </c>
      <c r="W56" s="63"/>
      <c r="X56" s="149" t="str">
        <f ca="1">IFERROR(VALUE(IF(VLOOKUP($A56,数出表_Excel!$A$6:$T$150,COLUMN()/2+1,FALSE)=0,"",VLOOKUP($A56,数出表_Excel!$A$6:$T$150,COLUMN()/2+1,FALSE))),"")</f>
        <v/>
      </c>
      <c r="Y56" s="63"/>
      <c r="Z56" s="149" t="str">
        <f ca="1">IFERROR(VALUE(IF(VLOOKUP($A56,数出表_Excel!$A$6:$T$150,COLUMN()/2+1,FALSE)=0,"",VLOOKUP($A56,数出表_Excel!$A$6:$T$150,COLUMN()/2+1,FALSE))),"")</f>
        <v/>
      </c>
      <c r="AA56" s="63"/>
      <c r="AB56" s="149" t="str">
        <f ca="1">IFERROR(VALUE(IF(VLOOKUP($A56,数出表_Excel!$A$6:$T$150,COLUMN()/2+1,FALSE)=0,"",VLOOKUP($A56,数出表_Excel!$A$6:$T$150,COLUMN()/2+1,FALSE))),"")</f>
        <v/>
      </c>
      <c r="AC56" s="63"/>
      <c r="AD56" s="149" t="str">
        <f ca="1">IFERROR(VALUE(IF(VLOOKUP($A56,数出表_Excel!$A$6:$T$150,COLUMN()/2+1,FALSE)=0,"",VLOOKUP($A56,数出表_Excel!$A$6:$T$150,COLUMN()/2+1,FALSE))),"")</f>
        <v/>
      </c>
      <c r="AE56" s="63"/>
      <c r="AF56" s="149" t="str">
        <f ca="1">IFERROR(VALUE(IF(VLOOKUP($A56,数出表_Excel!$A$6:$T$150,COLUMN()/2+1,FALSE)=0,"",VLOOKUP($A56,数出表_Excel!$A$6:$T$150,COLUMN()/2+1,FALSE))),"")</f>
        <v/>
      </c>
      <c r="AG56" s="63"/>
      <c r="AH56" s="149" t="str">
        <f ca="1">IFERROR(VALUE(IF(VLOOKUP($A56,数出表_Excel!$A$6:$T$150,COLUMN()/2+1,FALSE)=0,"",VLOOKUP($A56,数出表_Excel!$A$6:$T$150,COLUMN()/2+1,FALSE))),"")</f>
        <v/>
      </c>
      <c r="AI56" s="63"/>
      <c r="AJ56" s="149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 x14ac:dyDescent="0.45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 x14ac:dyDescent="0.45">
      <c r="A58" s="68" t="str">
        <f t="array" aca="1" ref="A58" ca="1">IF(OR(COUNTIF(A56,"*10002*"),COUNTIF(A56,"")),"",
IFERROR(INDEX(貼り付け用!$A$1:$A$200,MATCH(A56,貼り付け用!$A$1:$A$200,0)+2,0),""))</f>
        <v/>
      </c>
      <c r="B58" s="149" t="str">
        <f ca="1">IFERROR(VALUE(IF(VLOOKUP($A58,数出表_Excel!$A$6:$T$150,COLUMN()/2+1,FALSE)=0,"",VLOOKUP($A58,数出表_Excel!$A$6:$T$150,COLUMN()/2+1,FALSE))),"")</f>
        <v/>
      </c>
      <c r="C58" s="63"/>
      <c r="D58" s="149" t="str">
        <f ca="1">IFERROR(VALUE(IF(VLOOKUP($A58,数出表_Excel!$A$6:$T$150,COLUMN()/2+1,FALSE)=0,"",VLOOKUP($A58,数出表_Excel!$A$6:$T$150,COLUMN()/2+1,FALSE))),"")</f>
        <v/>
      </c>
      <c r="E58" s="63"/>
      <c r="F58" s="149" t="str">
        <f ca="1">IFERROR(VALUE(IF(VLOOKUP($A58,数出表_Excel!$A$6:$T$150,COLUMN()/2+1,FALSE)=0,"",VLOOKUP($A58,数出表_Excel!$A$6:$T$150,COLUMN()/2+1,FALSE))),"")</f>
        <v/>
      </c>
      <c r="G58" s="63"/>
      <c r="H58" s="149" t="str">
        <f ca="1">IFERROR(VALUE(IF(VLOOKUP($A58,数出表_Excel!$A$6:$T$150,COLUMN()/2+1,FALSE)=0,"",VLOOKUP($A58,数出表_Excel!$A$6:$T$150,COLUMN()/2+1,FALSE))),"")</f>
        <v/>
      </c>
      <c r="I58" s="63"/>
      <c r="J58" s="149" t="str">
        <f ca="1">IFERROR(VALUE(IF(VLOOKUP($A58,数出表_Excel!$A$6:$T$150,COLUMN()/2+1,FALSE)=0,"",VLOOKUP($A58,数出表_Excel!$A$6:$T$150,COLUMN()/2+1,FALSE))),"")</f>
        <v/>
      </c>
      <c r="K58" s="63"/>
      <c r="L58" s="149" t="str">
        <f ca="1">IFERROR(VALUE(IF(VLOOKUP($A58,数出表_Excel!$A$6:$T$150,COLUMN()/2+1,FALSE)=0,"",VLOOKUP($A58,数出表_Excel!$A$6:$T$150,COLUMN()/2+1,FALSE))),"")</f>
        <v/>
      </c>
      <c r="M58" s="63"/>
      <c r="N58" s="149" t="str">
        <f ca="1">IFERROR(VALUE(IF(VLOOKUP($A58,数出表_Excel!$A$6:$T$150,COLUMN()/2+1,FALSE)=0,"",VLOOKUP($A58,数出表_Excel!$A$6:$T$150,COLUMN()/2+1,FALSE))),"")</f>
        <v/>
      </c>
      <c r="O58" s="63"/>
      <c r="P58" s="149" t="str">
        <f ca="1">IFERROR(VALUE(IF(VLOOKUP($A58,数出表_Excel!$A$6:$T$150,COLUMN()/2+1,FALSE)=0,"",VLOOKUP($A58,数出表_Excel!$A$6:$T$150,COLUMN()/2+1,FALSE))),"")</f>
        <v/>
      </c>
      <c r="Q58" s="63"/>
      <c r="R58" s="149" t="str">
        <f ca="1">IFERROR(VALUE(IF(VLOOKUP($A58,数出表_Excel!$A$6:$T$150,COLUMN()/2+1,FALSE)=0,"",VLOOKUP($A58,数出表_Excel!$A$6:$T$150,COLUMN()/2+1,FALSE))),"")</f>
        <v/>
      </c>
      <c r="S58" s="63"/>
      <c r="T58" s="149" t="str">
        <f ca="1">IFERROR(VALUE(IF(VLOOKUP($A58,数出表_Excel!$A$6:$T$150,COLUMN()/2+1,FALSE)=0,"",VLOOKUP($A58,数出表_Excel!$A$6:$T$150,COLUMN()/2+1,FALSE))),"")</f>
        <v/>
      </c>
      <c r="U58" s="63"/>
      <c r="V58" s="149" t="str">
        <f ca="1">IFERROR(VALUE(IF(VLOOKUP($A58,数出表_Excel!$A$6:$T$150,COLUMN()/2+1,FALSE)=0,"",VLOOKUP($A58,数出表_Excel!$A$6:$T$150,COLUMN()/2+1,FALSE))),"")</f>
        <v/>
      </c>
      <c r="W58" s="63"/>
      <c r="X58" s="149" t="str">
        <f ca="1">IFERROR(VALUE(IF(VLOOKUP($A58,数出表_Excel!$A$6:$T$150,COLUMN()/2+1,FALSE)=0,"",VLOOKUP($A58,数出表_Excel!$A$6:$T$150,COLUMN()/2+1,FALSE))),"")</f>
        <v/>
      </c>
      <c r="Y58" s="63"/>
      <c r="Z58" s="149" t="str">
        <f ca="1">IFERROR(VALUE(IF(VLOOKUP($A58,数出表_Excel!$A$6:$T$150,COLUMN()/2+1,FALSE)=0,"",VLOOKUP($A58,数出表_Excel!$A$6:$T$150,COLUMN()/2+1,FALSE))),"")</f>
        <v/>
      </c>
      <c r="AA58" s="63"/>
      <c r="AB58" s="149" t="str">
        <f ca="1">IFERROR(VALUE(IF(VLOOKUP($A58,数出表_Excel!$A$6:$T$150,COLUMN()/2+1,FALSE)=0,"",VLOOKUP($A58,数出表_Excel!$A$6:$T$150,COLUMN()/2+1,FALSE))),"")</f>
        <v/>
      </c>
      <c r="AC58" s="63"/>
      <c r="AD58" s="149" t="str">
        <f ca="1">IFERROR(VALUE(IF(VLOOKUP($A58,数出表_Excel!$A$6:$T$150,COLUMN()/2+1,FALSE)=0,"",VLOOKUP($A58,数出表_Excel!$A$6:$T$150,COLUMN()/2+1,FALSE))),"")</f>
        <v/>
      </c>
      <c r="AE58" s="63"/>
      <c r="AF58" s="149" t="str">
        <f ca="1">IFERROR(VALUE(IF(VLOOKUP($A58,数出表_Excel!$A$6:$T$150,COLUMN()/2+1,FALSE)=0,"",VLOOKUP($A58,数出表_Excel!$A$6:$T$150,COLUMN()/2+1,FALSE))),"")</f>
        <v/>
      </c>
      <c r="AG58" s="63"/>
      <c r="AH58" s="149" t="str">
        <f ca="1">IFERROR(VALUE(IF(VLOOKUP($A58,数出表_Excel!$A$6:$T$150,COLUMN()/2+1,FALSE)=0,"",VLOOKUP($A58,数出表_Excel!$A$6:$T$150,COLUMN()/2+1,FALSE))),"")</f>
        <v/>
      </c>
      <c r="AI58" s="63"/>
      <c r="AJ58" s="149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 x14ac:dyDescent="0.45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 x14ac:dyDescent="0.45">
      <c r="A60" s="68" t="str">
        <f t="array" aca="1" ref="A60" ca="1">IF(OR(COUNTIF(A58,"*10002*"),COUNTIF(A58,"")),"",
IFERROR(INDEX(貼り付け用!$A$1:$A$200,MATCH(A58,貼り付け用!$A$1:$A$200,0)+2,0),""))</f>
        <v/>
      </c>
      <c r="B60" s="149" t="str">
        <f ca="1">IFERROR(VALUE(IF(VLOOKUP($A60,数出表_Excel!$A$6:$T$150,COLUMN()/2+1,FALSE)=0,"",VLOOKUP($A60,数出表_Excel!$A$6:$T$150,COLUMN()/2+1,FALSE))),"")</f>
        <v/>
      </c>
      <c r="C60" s="63"/>
      <c r="D60" s="149" t="str">
        <f ca="1">IFERROR(VALUE(IF(VLOOKUP($A60,数出表_Excel!$A$6:$T$150,COLUMN()/2+1,FALSE)=0,"",VLOOKUP($A60,数出表_Excel!$A$6:$T$150,COLUMN()/2+1,FALSE))),"")</f>
        <v/>
      </c>
      <c r="E60" s="63"/>
      <c r="F60" s="149" t="str">
        <f ca="1">IFERROR(VALUE(IF(VLOOKUP($A60,数出表_Excel!$A$6:$T$150,COLUMN()/2+1,FALSE)=0,"",VLOOKUP($A60,数出表_Excel!$A$6:$T$150,COLUMN()/2+1,FALSE))),"")</f>
        <v/>
      </c>
      <c r="G60" s="63"/>
      <c r="H60" s="149" t="str">
        <f ca="1">IFERROR(VALUE(IF(VLOOKUP($A60,数出表_Excel!$A$6:$T$150,COLUMN()/2+1,FALSE)=0,"",VLOOKUP($A60,数出表_Excel!$A$6:$T$150,COLUMN()/2+1,FALSE))),"")</f>
        <v/>
      </c>
      <c r="I60" s="63"/>
      <c r="J60" s="149" t="str">
        <f ca="1">IFERROR(VALUE(IF(VLOOKUP($A60,数出表_Excel!$A$6:$T$150,COLUMN()/2+1,FALSE)=0,"",VLOOKUP($A60,数出表_Excel!$A$6:$T$150,COLUMN()/2+1,FALSE))),"")</f>
        <v/>
      </c>
      <c r="K60" s="63"/>
      <c r="L60" s="149" t="str">
        <f ca="1">IFERROR(VALUE(IF(VLOOKUP($A60,数出表_Excel!$A$6:$T$150,COLUMN()/2+1,FALSE)=0,"",VLOOKUP($A60,数出表_Excel!$A$6:$T$150,COLUMN()/2+1,FALSE))),"")</f>
        <v/>
      </c>
      <c r="M60" s="63"/>
      <c r="N60" s="149" t="str">
        <f ca="1">IFERROR(VALUE(IF(VLOOKUP($A60,数出表_Excel!$A$6:$T$150,COLUMN()/2+1,FALSE)=0,"",VLOOKUP($A60,数出表_Excel!$A$6:$T$150,COLUMN()/2+1,FALSE))),"")</f>
        <v/>
      </c>
      <c r="O60" s="63"/>
      <c r="P60" s="149" t="str">
        <f ca="1">IFERROR(VALUE(IF(VLOOKUP($A60,数出表_Excel!$A$6:$T$150,COLUMN()/2+1,FALSE)=0,"",VLOOKUP($A60,数出表_Excel!$A$6:$T$150,COLUMN()/2+1,FALSE))),"")</f>
        <v/>
      </c>
      <c r="Q60" s="63"/>
      <c r="R60" s="149" t="str">
        <f ca="1">IFERROR(VALUE(IF(VLOOKUP($A60,数出表_Excel!$A$6:$T$150,COLUMN()/2+1,FALSE)=0,"",VLOOKUP($A60,数出表_Excel!$A$6:$T$150,COLUMN()/2+1,FALSE))),"")</f>
        <v/>
      </c>
      <c r="S60" s="63"/>
      <c r="T60" s="149" t="str">
        <f ca="1">IFERROR(VALUE(IF(VLOOKUP($A60,数出表_Excel!$A$6:$T$150,COLUMN()/2+1,FALSE)=0,"",VLOOKUP($A60,数出表_Excel!$A$6:$T$150,COLUMN()/2+1,FALSE))),"")</f>
        <v/>
      </c>
      <c r="U60" s="63"/>
      <c r="V60" s="149" t="str">
        <f ca="1">IFERROR(VALUE(IF(VLOOKUP($A60,数出表_Excel!$A$6:$T$150,COLUMN()/2+1,FALSE)=0,"",VLOOKUP($A60,数出表_Excel!$A$6:$T$150,COLUMN()/2+1,FALSE))),"")</f>
        <v/>
      </c>
      <c r="W60" s="63"/>
      <c r="X60" s="149" t="str">
        <f ca="1">IFERROR(VALUE(IF(VLOOKUP($A60,数出表_Excel!$A$6:$T$150,COLUMN()/2+1,FALSE)=0,"",VLOOKUP($A60,数出表_Excel!$A$6:$T$150,COLUMN()/2+1,FALSE))),"")</f>
        <v/>
      </c>
      <c r="Y60" s="63"/>
      <c r="Z60" s="149" t="str">
        <f ca="1">IFERROR(VALUE(IF(VLOOKUP($A60,数出表_Excel!$A$6:$T$150,COLUMN()/2+1,FALSE)=0,"",VLOOKUP($A60,数出表_Excel!$A$6:$T$150,COLUMN()/2+1,FALSE))),"")</f>
        <v/>
      </c>
      <c r="AA60" s="63"/>
      <c r="AB60" s="149" t="str">
        <f ca="1">IFERROR(VALUE(IF(VLOOKUP($A60,数出表_Excel!$A$6:$T$150,COLUMN()/2+1,FALSE)=0,"",VLOOKUP($A60,数出表_Excel!$A$6:$T$150,COLUMN()/2+1,FALSE))),"")</f>
        <v/>
      </c>
      <c r="AC60" s="63"/>
      <c r="AD60" s="149" t="str">
        <f ca="1">IFERROR(VALUE(IF(VLOOKUP($A60,数出表_Excel!$A$6:$T$150,COLUMN()/2+1,FALSE)=0,"",VLOOKUP($A60,数出表_Excel!$A$6:$T$150,COLUMN()/2+1,FALSE))),"")</f>
        <v/>
      </c>
      <c r="AE60" s="63"/>
      <c r="AF60" s="149" t="str">
        <f ca="1">IFERROR(VALUE(IF(VLOOKUP($A60,数出表_Excel!$A$6:$T$150,COLUMN()/2+1,FALSE)=0,"",VLOOKUP($A60,数出表_Excel!$A$6:$T$150,COLUMN()/2+1,FALSE))),"")</f>
        <v/>
      </c>
      <c r="AG60" s="63"/>
      <c r="AH60" s="149" t="str">
        <f ca="1">IFERROR(VALUE(IF(VLOOKUP($A60,数出表_Excel!$A$6:$T$150,COLUMN()/2+1,FALSE)=0,"",VLOOKUP($A60,数出表_Excel!$A$6:$T$150,COLUMN()/2+1,FALSE))),"")</f>
        <v/>
      </c>
      <c r="AI60" s="63"/>
      <c r="AJ60" s="149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 x14ac:dyDescent="0.45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 x14ac:dyDescent="0.45">
      <c r="A62" s="68" t="str">
        <f t="array" aca="1" ref="A62" ca="1">IF(OR(COUNTIF(A60,"*10002*"),COUNTIF(A60,"")),"",
IFERROR(INDEX(貼り付け用!$A$1:$A$200,MATCH(A60,貼り付け用!$A$1:$A$200,0)+2,0),""))</f>
        <v/>
      </c>
      <c r="B62" s="149" t="str">
        <f ca="1">IFERROR(VALUE(IF(VLOOKUP($A62,数出表_Excel!$A$6:$T$150,COLUMN()/2+1,FALSE)=0,"",VLOOKUP($A62,数出表_Excel!$A$6:$T$150,COLUMN()/2+1,FALSE))),"")</f>
        <v/>
      </c>
      <c r="C62" s="63"/>
      <c r="D62" s="149" t="str">
        <f ca="1">IFERROR(VALUE(IF(VLOOKUP($A62,数出表_Excel!$A$6:$T$150,COLUMN()/2+1,FALSE)=0,"",VLOOKUP($A62,数出表_Excel!$A$6:$T$150,COLUMN()/2+1,FALSE))),"")</f>
        <v/>
      </c>
      <c r="E62" s="63"/>
      <c r="F62" s="149" t="str">
        <f ca="1">IFERROR(VALUE(IF(VLOOKUP($A62,数出表_Excel!$A$6:$T$150,COLUMN()/2+1,FALSE)=0,"",VLOOKUP($A62,数出表_Excel!$A$6:$T$150,COLUMN()/2+1,FALSE))),"")</f>
        <v/>
      </c>
      <c r="G62" s="63"/>
      <c r="H62" s="149" t="str">
        <f ca="1">IFERROR(VALUE(IF(VLOOKUP($A62,数出表_Excel!$A$6:$T$150,COLUMN()/2+1,FALSE)=0,"",VLOOKUP($A62,数出表_Excel!$A$6:$T$150,COLUMN()/2+1,FALSE))),"")</f>
        <v/>
      </c>
      <c r="I62" s="63"/>
      <c r="J62" s="149" t="str">
        <f ca="1">IFERROR(VALUE(IF(VLOOKUP($A62,数出表_Excel!$A$6:$T$150,COLUMN()/2+1,FALSE)=0,"",VLOOKUP($A62,数出表_Excel!$A$6:$T$150,COLUMN()/2+1,FALSE))),"")</f>
        <v/>
      </c>
      <c r="K62" s="63"/>
      <c r="L62" s="149" t="str">
        <f ca="1">IFERROR(VALUE(IF(VLOOKUP($A62,数出表_Excel!$A$6:$T$150,COLUMN()/2+1,FALSE)=0,"",VLOOKUP($A62,数出表_Excel!$A$6:$T$150,COLUMN()/2+1,FALSE))),"")</f>
        <v/>
      </c>
      <c r="M62" s="63"/>
      <c r="N62" s="149" t="str">
        <f ca="1">IFERROR(VALUE(IF(VLOOKUP($A62,数出表_Excel!$A$6:$T$150,COLUMN()/2+1,FALSE)=0,"",VLOOKUP($A62,数出表_Excel!$A$6:$T$150,COLUMN()/2+1,FALSE))),"")</f>
        <v/>
      </c>
      <c r="O62" s="63"/>
      <c r="P62" s="149" t="str">
        <f ca="1">IFERROR(VALUE(IF(VLOOKUP($A62,数出表_Excel!$A$6:$T$150,COLUMN()/2+1,FALSE)=0,"",VLOOKUP($A62,数出表_Excel!$A$6:$T$150,COLUMN()/2+1,FALSE))),"")</f>
        <v/>
      </c>
      <c r="Q62" s="63"/>
      <c r="R62" s="149" t="str">
        <f ca="1">IFERROR(VALUE(IF(VLOOKUP($A62,数出表_Excel!$A$6:$T$150,COLUMN()/2+1,FALSE)=0,"",VLOOKUP($A62,数出表_Excel!$A$6:$T$150,COLUMN()/2+1,FALSE))),"")</f>
        <v/>
      </c>
      <c r="S62" s="63"/>
      <c r="T62" s="149" t="str">
        <f ca="1">IFERROR(VALUE(IF(VLOOKUP($A62,数出表_Excel!$A$6:$T$150,COLUMN()/2+1,FALSE)=0,"",VLOOKUP($A62,数出表_Excel!$A$6:$T$150,COLUMN()/2+1,FALSE))),"")</f>
        <v/>
      </c>
      <c r="U62" s="63"/>
      <c r="V62" s="149" t="str">
        <f ca="1">IFERROR(VALUE(IF(VLOOKUP($A62,数出表_Excel!$A$6:$T$150,COLUMN()/2+1,FALSE)=0,"",VLOOKUP($A62,数出表_Excel!$A$6:$T$150,COLUMN()/2+1,FALSE))),"")</f>
        <v/>
      </c>
      <c r="W62" s="63"/>
      <c r="X62" s="149" t="str">
        <f ca="1">IFERROR(VALUE(IF(VLOOKUP($A62,数出表_Excel!$A$6:$T$150,COLUMN()/2+1,FALSE)=0,"",VLOOKUP($A62,数出表_Excel!$A$6:$T$150,COLUMN()/2+1,FALSE))),"")</f>
        <v/>
      </c>
      <c r="Y62" s="63"/>
      <c r="Z62" s="149" t="str">
        <f ca="1">IFERROR(VALUE(IF(VLOOKUP($A62,数出表_Excel!$A$6:$T$150,COLUMN()/2+1,FALSE)=0,"",VLOOKUP($A62,数出表_Excel!$A$6:$T$150,COLUMN()/2+1,FALSE))),"")</f>
        <v/>
      </c>
      <c r="AA62" s="63"/>
      <c r="AB62" s="149" t="str">
        <f ca="1">IFERROR(VALUE(IF(VLOOKUP($A62,数出表_Excel!$A$6:$T$150,COLUMN()/2+1,FALSE)=0,"",VLOOKUP($A62,数出表_Excel!$A$6:$T$150,COLUMN()/2+1,FALSE))),"")</f>
        <v/>
      </c>
      <c r="AC62" s="63"/>
      <c r="AD62" s="149" t="str">
        <f ca="1">IFERROR(VALUE(IF(VLOOKUP($A62,数出表_Excel!$A$6:$T$150,COLUMN()/2+1,FALSE)=0,"",VLOOKUP($A62,数出表_Excel!$A$6:$T$150,COLUMN()/2+1,FALSE))),"")</f>
        <v/>
      </c>
      <c r="AE62" s="63"/>
      <c r="AF62" s="149" t="str">
        <f ca="1">IFERROR(VALUE(IF(VLOOKUP($A62,数出表_Excel!$A$6:$T$150,COLUMN()/2+1,FALSE)=0,"",VLOOKUP($A62,数出表_Excel!$A$6:$T$150,COLUMN()/2+1,FALSE))),"")</f>
        <v/>
      </c>
      <c r="AG62" s="63"/>
      <c r="AH62" s="149" t="str">
        <f ca="1">IFERROR(VALUE(IF(VLOOKUP($A62,数出表_Excel!$A$6:$T$150,COLUMN()/2+1,FALSE)=0,"",VLOOKUP($A62,数出表_Excel!$A$6:$T$150,COLUMN()/2+1,FALSE))),"")</f>
        <v/>
      </c>
      <c r="AI62" s="63"/>
      <c r="AJ62" s="149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 x14ac:dyDescent="0.45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 x14ac:dyDescent="0.45">
      <c r="A64" s="68" t="str">
        <f t="array" aca="1" ref="A64" ca="1">IF(OR(COUNTIF(A62,"*10002*"),COUNTIF(A62,"")),"",
IFERROR(INDEX(貼り付け用!$A$1:$A$200,MATCH(A62,貼り付け用!$A$1:$A$200,0)+2,0),""))</f>
        <v/>
      </c>
      <c r="B64" s="149" t="str">
        <f ca="1">IFERROR(VALUE(IF(VLOOKUP($A64,数出表_Excel!$A$6:$T$150,COLUMN()/2+1,FALSE)=0,"",VLOOKUP($A64,数出表_Excel!$A$6:$T$150,COLUMN()/2+1,FALSE))),"")</f>
        <v/>
      </c>
      <c r="C64" s="63"/>
      <c r="D64" s="149" t="str">
        <f ca="1">IFERROR(VALUE(IF(VLOOKUP($A64,数出表_Excel!$A$6:$T$150,COLUMN()/2+1,FALSE)=0,"",VLOOKUP($A64,数出表_Excel!$A$6:$T$150,COLUMN()/2+1,FALSE))),"")</f>
        <v/>
      </c>
      <c r="E64" s="63"/>
      <c r="F64" s="149" t="str">
        <f ca="1">IFERROR(VALUE(IF(VLOOKUP($A64,数出表_Excel!$A$6:$T$150,COLUMN()/2+1,FALSE)=0,"",VLOOKUP($A64,数出表_Excel!$A$6:$T$150,COLUMN()/2+1,FALSE))),"")</f>
        <v/>
      </c>
      <c r="G64" s="63"/>
      <c r="H64" s="149" t="str">
        <f ca="1">IFERROR(VALUE(IF(VLOOKUP($A64,数出表_Excel!$A$6:$T$150,COLUMN()/2+1,FALSE)=0,"",VLOOKUP($A64,数出表_Excel!$A$6:$T$150,COLUMN()/2+1,FALSE))),"")</f>
        <v/>
      </c>
      <c r="I64" s="63"/>
      <c r="J64" s="149" t="str">
        <f ca="1">IFERROR(VALUE(IF(VLOOKUP($A64,数出表_Excel!$A$6:$T$150,COLUMN()/2+1,FALSE)=0,"",VLOOKUP($A64,数出表_Excel!$A$6:$T$150,COLUMN()/2+1,FALSE))),"")</f>
        <v/>
      </c>
      <c r="K64" s="63"/>
      <c r="L64" s="149" t="str">
        <f ca="1">IFERROR(VALUE(IF(VLOOKUP($A64,数出表_Excel!$A$6:$T$150,COLUMN()/2+1,FALSE)=0,"",VLOOKUP($A64,数出表_Excel!$A$6:$T$150,COLUMN()/2+1,FALSE))),"")</f>
        <v/>
      </c>
      <c r="M64" s="63"/>
      <c r="N64" s="149" t="str">
        <f ca="1">IFERROR(VALUE(IF(VLOOKUP($A64,数出表_Excel!$A$6:$T$150,COLUMN()/2+1,FALSE)=0,"",VLOOKUP($A64,数出表_Excel!$A$6:$T$150,COLUMN()/2+1,FALSE))),"")</f>
        <v/>
      </c>
      <c r="O64" s="63"/>
      <c r="P64" s="149" t="str">
        <f ca="1">IFERROR(VALUE(IF(VLOOKUP($A64,数出表_Excel!$A$6:$T$150,COLUMN()/2+1,FALSE)=0,"",VLOOKUP($A64,数出表_Excel!$A$6:$T$150,COLUMN()/2+1,FALSE))),"")</f>
        <v/>
      </c>
      <c r="Q64" s="63"/>
      <c r="R64" s="149" t="str">
        <f ca="1">IFERROR(VALUE(IF(VLOOKUP($A64,数出表_Excel!$A$6:$T$150,COLUMN()/2+1,FALSE)=0,"",VLOOKUP($A64,数出表_Excel!$A$6:$T$150,COLUMN()/2+1,FALSE))),"")</f>
        <v/>
      </c>
      <c r="S64" s="63"/>
      <c r="T64" s="149" t="str">
        <f ca="1">IFERROR(VALUE(IF(VLOOKUP($A64,数出表_Excel!$A$6:$T$150,COLUMN()/2+1,FALSE)=0,"",VLOOKUP($A64,数出表_Excel!$A$6:$T$150,COLUMN()/2+1,FALSE))),"")</f>
        <v/>
      </c>
      <c r="U64" s="63"/>
      <c r="V64" s="149" t="str">
        <f ca="1">IFERROR(VALUE(IF(VLOOKUP($A64,数出表_Excel!$A$6:$T$150,COLUMN()/2+1,FALSE)=0,"",VLOOKUP($A64,数出表_Excel!$A$6:$T$150,COLUMN()/2+1,FALSE))),"")</f>
        <v/>
      </c>
      <c r="W64" s="63"/>
      <c r="X64" s="149" t="str">
        <f ca="1">IFERROR(VALUE(IF(VLOOKUP($A64,数出表_Excel!$A$6:$T$150,COLUMN()/2+1,FALSE)=0,"",VLOOKUP($A64,数出表_Excel!$A$6:$T$150,COLUMN()/2+1,FALSE))),"")</f>
        <v/>
      </c>
      <c r="Y64" s="63"/>
      <c r="Z64" s="149" t="str">
        <f ca="1">IFERROR(VALUE(IF(VLOOKUP($A64,数出表_Excel!$A$6:$T$150,COLUMN()/2+1,FALSE)=0,"",VLOOKUP($A64,数出表_Excel!$A$6:$T$150,COLUMN()/2+1,FALSE))),"")</f>
        <v/>
      </c>
      <c r="AA64" s="63"/>
      <c r="AB64" s="149" t="str">
        <f ca="1">IFERROR(VALUE(IF(VLOOKUP($A64,数出表_Excel!$A$6:$T$150,COLUMN()/2+1,FALSE)=0,"",VLOOKUP($A64,数出表_Excel!$A$6:$T$150,COLUMN()/2+1,FALSE))),"")</f>
        <v/>
      </c>
      <c r="AC64" s="63"/>
      <c r="AD64" s="149" t="str">
        <f ca="1">IFERROR(VALUE(IF(VLOOKUP($A64,数出表_Excel!$A$6:$T$150,COLUMN()/2+1,FALSE)=0,"",VLOOKUP($A64,数出表_Excel!$A$6:$T$150,COLUMN()/2+1,FALSE))),"")</f>
        <v/>
      </c>
      <c r="AE64" s="63"/>
      <c r="AF64" s="149" t="str">
        <f ca="1">IFERROR(VALUE(IF(VLOOKUP($A64,数出表_Excel!$A$6:$T$150,COLUMN()/2+1,FALSE)=0,"",VLOOKUP($A64,数出表_Excel!$A$6:$T$150,COLUMN()/2+1,FALSE))),"")</f>
        <v/>
      </c>
      <c r="AG64" s="63"/>
      <c r="AH64" s="149" t="str">
        <f ca="1">IFERROR(VALUE(IF(VLOOKUP($A64,数出表_Excel!$A$6:$T$150,COLUMN()/2+1,FALSE)=0,"",VLOOKUP($A64,数出表_Excel!$A$6:$T$150,COLUMN()/2+1,FALSE))),"")</f>
        <v/>
      </c>
      <c r="AI64" s="63"/>
      <c r="AJ64" s="149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 x14ac:dyDescent="0.45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 x14ac:dyDescent="0.45">
      <c r="A66" s="68" t="str">
        <f t="array" aca="1" ref="A66" ca="1">IF(OR(COUNTIF(A64,"*10002*"),COUNTIF(A64,"")),"",
IFERROR(INDEX(貼り付け用!$A$1:$A$200,MATCH(A64,貼り付け用!$A$1:$A$200,0)+2,0),""))</f>
        <v/>
      </c>
      <c r="B66" s="149" t="str">
        <f ca="1">IFERROR(VALUE(IF(VLOOKUP($A66,数出表_Excel!$A$6:$T$150,COLUMN()/2+1,FALSE)=0,"",VLOOKUP($A66,数出表_Excel!$A$6:$T$150,COLUMN()/2+1,FALSE))),"")</f>
        <v/>
      </c>
      <c r="C66" s="63"/>
      <c r="D66" s="149" t="str">
        <f ca="1">IFERROR(VALUE(IF(VLOOKUP($A66,数出表_Excel!$A$6:$T$150,COLUMN()/2+1,FALSE)=0,"",VLOOKUP($A66,数出表_Excel!$A$6:$T$150,COLUMN()/2+1,FALSE))),"")</f>
        <v/>
      </c>
      <c r="E66" s="63"/>
      <c r="F66" s="149" t="str">
        <f ca="1">IFERROR(VALUE(IF(VLOOKUP($A66,数出表_Excel!$A$6:$T$150,COLUMN()/2+1,FALSE)=0,"",VLOOKUP($A66,数出表_Excel!$A$6:$T$150,COLUMN()/2+1,FALSE))),"")</f>
        <v/>
      </c>
      <c r="G66" s="63"/>
      <c r="H66" s="149" t="str">
        <f ca="1">IFERROR(VALUE(IF(VLOOKUP($A66,数出表_Excel!$A$6:$T$150,COLUMN()/2+1,FALSE)=0,"",VLOOKUP($A66,数出表_Excel!$A$6:$T$150,COLUMN()/2+1,FALSE))),"")</f>
        <v/>
      </c>
      <c r="I66" s="63"/>
      <c r="J66" s="149" t="str">
        <f ca="1">IFERROR(VALUE(IF(VLOOKUP($A66,数出表_Excel!$A$6:$T$150,COLUMN()/2+1,FALSE)=0,"",VLOOKUP($A66,数出表_Excel!$A$6:$T$150,COLUMN()/2+1,FALSE))),"")</f>
        <v/>
      </c>
      <c r="K66" s="63"/>
      <c r="L66" s="149" t="str">
        <f ca="1">IFERROR(VALUE(IF(VLOOKUP($A66,数出表_Excel!$A$6:$T$150,COLUMN()/2+1,FALSE)=0,"",VLOOKUP($A66,数出表_Excel!$A$6:$T$150,COLUMN()/2+1,FALSE))),"")</f>
        <v/>
      </c>
      <c r="M66" s="63"/>
      <c r="N66" s="149" t="str">
        <f ca="1">IFERROR(VALUE(IF(VLOOKUP($A66,数出表_Excel!$A$6:$T$150,COLUMN()/2+1,FALSE)=0,"",VLOOKUP($A66,数出表_Excel!$A$6:$T$150,COLUMN()/2+1,FALSE))),"")</f>
        <v/>
      </c>
      <c r="O66" s="63"/>
      <c r="P66" s="149" t="str">
        <f ca="1">IFERROR(VALUE(IF(VLOOKUP($A66,数出表_Excel!$A$6:$T$150,COLUMN()/2+1,FALSE)=0,"",VLOOKUP($A66,数出表_Excel!$A$6:$T$150,COLUMN()/2+1,FALSE))),"")</f>
        <v/>
      </c>
      <c r="Q66" s="63"/>
      <c r="R66" s="149" t="str">
        <f ca="1">IFERROR(VALUE(IF(VLOOKUP($A66,数出表_Excel!$A$6:$T$150,COLUMN()/2+1,FALSE)=0,"",VLOOKUP($A66,数出表_Excel!$A$6:$T$150,COLUMN()/2+1,FALSE))),"")</f>
        <v/>
      </c>
      <c r="S66" s="63"/>
      <c r="T66" s="149" t="str">
        <f ca="1">IFERROR(VALUE(IF(VLOOKUP($A66,数出表_Excel!$A$6:$T$150,COLUMN()/2+1,FALSE)=0,"",VLOOKUP($A66,数出表_Excel!$A$6:$T$150,COLUMN()/2+1,FALSE))),"")</f>
        <v/>
      </c>
      <c r="U66" s="63"/>
      <c r="V66" s="149" t="str">
        <f ca="1">IFERROR(VALUE(IF(VLOOKUP($A66,数出表_Excel!$A$6:$T$150,COLUMN()/2+1,FALSE)=0,"",VLOOKUP($A66,数出表_Excel!$A$6:$T$150,COLUMN()/2+1,FALSE))),"")</f>
        <v/>
      </c>
      <c r="W66" s="63"/>
      <c r="X66" s="149" t="str">
        <f ca="1">IFERROR(VALUE(IF(VLOOKUP($A66,数出表_Excel!$A$6:$T$150,COLUMN()/2+1,FALSE)=0,"",VLOOKUP($A66,数出表_Excel!$A$6:$T$150,COLUMN()/2+1,FALSE))),"")</f>
        <v/>
      </c>
      <c r="Y66" s="63"/>
      <c r="Z66" s="149" t="str">
        <f ca="1">IFERROR(VALUE(IF(VLOOKUP($A66,数出表_Excel!$A$6:$T$150,COLUMN()/2+1,FALSE)=0,"",VLOOKUP($A66,数出表_Excel!$A$6:$T$150,COLUMN()/2+1,FALSE))),"")</f>
        <v/>
      </c>
      <c r="AA66" s="63"/>
      <c r="AB66" s="149" t="str">
        <f ca="1">IFERROR(VALUE(IF(VLOOKUP($A66,数出表_Excel!$A$6:$T$150,COLUMN()/2+1,FALSE)=0,"",VLOOKUP($A66,数出表_Excel!$A$6:$T$150,COLUMN()/2+1,FALSE))),"")</f>
        <v/>
      </c>
      <c r="AC66" s="63"/>
      <c r="AD66" s="149" t="str">
        <f ca="1">IFERROR(VALUE(IF(VLOOKUP($A66,数出表_Excel!$A$6:$T$150,COLUMN()/2+1,FALSE)=0,"",VLOOKUP($A66,数出表_Excel!$A$6:$T$150,COLUMN()/2+1,FALSE))),"")</f>
        <v/>
      </c>
      <c r="AE66" s="63"/>
      <c r="AF66" s="149" t="str">
        <f ca="1">IFERROR(VALUE(IF(VLOOKUP($A66,数出表_Excel!$A$6:$T$150,COLUMN()/2+1,FALSE)=0,"",VLOOKUP($A66,数出表_Excel!$A$6:$T$150,COLUMN()/2+1,FALSE))),"")</f>
        <v/>
      </c>
      <c r="AG66" s="63"/>
      <c r="AH66" s="149" t="str">
        <f ca="1">IFERROR(VALUE(IF(VLOOKUP($A66,数出表_Excel!$A$6:$T$150,COLUMN()/2+1,FALSE)=0,"",VLOOKUP($A66,数出表_Excel!$A$6:$T$150,COLUMN()/2+1,FALSE))),"")</f>
        <v/>
      </c>
      <c r="AI66" s="63"/>
      <c r="AJ66" s="149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 x14ac:dyDescent="0.45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 x14ac:dyDescent="0.45">
      <c r="A68" s="68" t="str">
        <f t="array" aca="1" ref="A68" ca="1">IF(OR(COUNTIF(A66,"*10002*"),COUNTIF(A66,"")),"",
IFERROR(INDEX(貼り付け用!$A$1:$A$200,MATCH(A66,貼り付け用!$A$1:$A$200,0)+2,0),""))</f>
        <v/>
      </c>
      <c r="B68" s="149" t="str">
        <f ca="1">IFERROR(VALUE(IF(VLOOKUP($A68,数出表_Excel!$A$6:$T$150,COLUMN()/2+1,FALSE)=0,"",VLOOKUP($A68,数出表_Excel!$A$6:$T$150,COLUMN()/2+1,FALSE))),"")</f>
        <v/>
      </c>
      <c r="C68" s="63"/>
      <c r="D68" s="149" t="str">
        <f ca="1">IFERROR(VALUE(IF(VLOOKUP($A68,数出表_Excel!$A$6:$T$150,COLUMN()/2+1,FALSE)=0,"",VLOOKUP($A68,数出表_Excel!$A$6:$T$150,COLUMN()/2+1,FALSE))),"")</f>
        <v/>
      </c>
      <c r="E68" s="63"/>
      <c r="F68" s="149" t="str">
        <f ca="1">IFERROR(VALUE(IF(VLOOKUP($A68,数出表_Excel!$A$6:$T$150,COLUMN()/2+1,FALSE)=0,"",VLOOKUP($A68,数出表_Excel!$A$6:$T$150,COLUMN()/2+1,FALSE))),"")</f>
        <v/>
      </c>
      <c r="G68" s="63"/>
      <c r="H68" s="149" t="str">
        <f ca="1">IFERROR(VALUE(IF(VLOOKUP($A68,数出表_Excel!$A$6:$T$150,COLUMN()/2+1,FALSE)=0,"",VLOOKUP($A68,数出表_Excel!$A$6:$T$150,COLUMN()/2+1,FALSE))),"")</f>
        <v/>
      </c>
      <c r="I68" s="63"/>
      <c r="J68" s="149" t="str">
        <f ca="1">IFERROR(VALUE(IF(VLOOKUP($A68,数出表_Excel!$A$6:$T$150,COLUMN()/2+1,FALSE)=0,"",VLOOKUP($A68,数出表_Excel!$A$6:$T$150,COLUMN()/2+1,FALSE))),"")</f>
        <v/>
      </c>
      <c r="K68" s="63"/>
      <c r="L68" s="149" t="str">
        <f ca="1">IFERROR(VALUE(IF(VLOOKUP($A68,数出表_Excel!$A$6:$T$150,COLUMN()/2+1,FALSE)=0,"",VLOOKUP($A68,数出表_Excel!$A$6:$T$150,COLUMN()/2+1,FALSE))),"")</f>
        <v/>
      </c>
      <c r="M68" s="63"/>
      <c r="N68" s="149" t="str">
        <f ca="1">IFERROR(VALUE(IF(VLOOKUP($A68,数出表_Excel!$A$6:$T$150,COLUMN()/2+1,FALSE)=0,"",VLOOKUP($A68,数出表_Excel!$A$6:$T$150,COLUMN()/2+1,FALSE))),"")</f>
        <v/>
      </c>
      <c r="O68" s="63"/>
      <c r="P68" s="149" t="str">
        <f ca="1">IFERROR(VALUE(IF(VLOOKUP($A68,数出表_Excel!$A$6:$T$150,COLUMN()/2+1,FALSE)=0,"",VLOOKUP($A68,数出表_Excel!$A$6:$T$150,COLUMN()/2+1,FALSE))),"")</f>
        <v/>
      </c>
      <c r="Q68" s="63"/>
      <c r="R68" s="149" t="str">
        <f ca="1">IFERROR(VALUE(IF(VLOOKUP($A68,数出表_Excel!$A$6:$T$150,COLUMN()/2+1,FALSE)=0,"",VLOOKUP($A68,数出表_Excel!$A$6:$T$150,COLUMN()/2+1,FALSE))),"")</f>
        <v/>
      </c>
      <c r="S68" s="63"/>
      <c r="T68" s="149" t="str">
        <f ca="1">IFERROR(VALUE(IF(VLOOKUP($A68,数出表_Excel!$A$6:$T$150,COLUMN()/2+1,FALSE)=0,"",VLOOKUP($A68,数出表_Excel!$A$6:$T$150,COLUMN()/2+1,FALSE))),"")</f>
        <v/>
      </c>
      <c r="U68" s="63"/>
      <c r="V68" s="149" t="str">
        <f ca="1">IFERROR(VALUE(IF(VLOOKUP($A68,数出表_Excel!$A$6:$T$150,COLUMN()/2+1,FALSE)=0,"",VLOOKUP($A68,数出表_Excel!$A$6:$T$150,COLUMN()/2+1,FALSE))),"")</f>
        <v/>
      </c>
      <c r="W68" s="63"/>
      <c r="X68" s="149" t="str">
        <f ca="1">IFERROR(VALUE(IF(VLOOKUP($A68,数出表_Excel!$A$6:$T$150,COLUMN()/2+1,FALSE)=0,"",VLOOKUP($A68,数出表_Excel!$A$6:$T$150,COLUMN()/2+1,FALSE))),"")</f>
        <v/>
      </c>
      <c r="Y68" s="63"/>
      <c r="Z68" s="149" t="str">
        <f ca="1">IFERROR(VALUE(IF(VLOOKUP($A68,数出表_Excel!$A$6:$T$150,COLUMN()/2+1,FALSE)=0,"",VLOOKUP($A68,数出表_Excel!$A$6:$T$150,COLUMN()/2+1,FALSE))),"")</f>
        <v/>
      </c>
      <c r="AA68" s="63"/>
      <c r="AB68" s="149" t="str">
        <f ca="1">IFERROR(VALUE(IF(VLOOKUP($A68,数出表_Excel!$A$6:$T$150,COLUMN()/2+1,FALSE)=0,"",VLOOKUP($A68,数出表_Excel!$A$6:$T$150,COLUMN()/2+1,FALSE))),"")</f>
        <v/>
      </c>
      <c r="AC68" s="63"/>
      <c r="AD68" s="149" t="str">
        <f ca="1">IFERROR(VALUE(IF(VLOOKUP($A68,数出表_Excel!$A$6:$T$150,COLUMN()/2+1,FALSE)=0,"",VLOOKUP($A68,数出表_Excel!$A$6:$T$150,COLUMN()/2+1,FALSE))),"")</f>
        <v/>
      </c>
      <c r="AE68" s="63"/>
      <c r="AF68" s="149" t="str">
        <f ca="1">IFERROR(VALUE(IF(VLOOKUP($A68,数出表_Excel!$A$6:$T$150,COLUMN()/2+1,FALSE)=0,"",VLOOKUP($A68,数出表_Excel!$A$6:$T$150,COLUMN()/2+1,FALSE))),"")</f>
        <v/>
      </c>
      <c r="AG68" s="63"/>
      <c r="AH68" s="149" t="str">
        <f ca="1">IFERROR(VALUE(IF(VLOOKUP($A68,数出表_Excel!$A$6:$T$150,COLUMN()/2+1,FALSE)=0,"",VLOOKUP($A68,数出表_Excel!$A$6:$T$150,COLUMN()/2+1,FALSE))),"")</f>
        <v/>
      </c>
      <c r="AI68" s="63"/>
      <c r="AJ68" s="149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 x14ac:dyDescent="0.45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 x14ac:dyDescent="0.45">
      <c r="A70" s="68" t="str">
        <f t="array" aca="1" ref="A70" ca="1">IF(OR(COUNTIF(A68,"*10002*"),COUNTIF(A68,"")),"",
IFERROR(INDEX(貼り付け用!$A$1:$A$200,MATCH(A68,貼り付け用!$A$1:$A$200,0)+2,0),""))</f>
        <v/>
      </c>
      <c r="B70" s="149" t="str">
        <f ca="1">IFERROR(VALUE(IF(VLOOKUP($A70,数出表_Excel!$A$6:$T$150,COLUMN()/2+1,FALSE)=0,"",VLOOKUP($A70,数出表_Excel!$A$6:$T$150,COLUMN()/2+1,FALSE))),"")</f>
        <v/>
      </c>
      <c r="C70" s="63"/>
      <c r="D70" s="149" t="str">
        <f ca="1">IFERROR(VALUE(IF(VLOOKUP($A70,数出表_Excel!$A$6:$T$150,COLUMN()/2+1,FALSE)=0,"",VLOOKUP($A70,数出表_Excel!$A$6:$T$150,COLUMN()/2+1,FALSE))),"")</f>
        <v/>
      </c>
      <c r="E70" s="63"/>
      <c r="F70" s="149" t="str">
        <f ca="1">IFERROR(VALUE(IF(VLOOKUP($A70,数出表_Excel!$A$6:$T$150,COLUMN()/2+1,FALSE)=0,"",VLOOKUP($A70,数出表_Excel!$A$6:$T$150,COLUMN()/2+1,FALSE))),"")</f>
        <v/>
      </c>
      <c r="G70" s="63"/>
      <c r="H70" s="149" t="str">
        <f ca="1">IFERROR(VALUE(IF(VLOOKUP($A70,数出表_Excel!$A$6:$T$150,COLUMN()/2+1,FALSE)=0,"",VLOOKUP($A70,数出表_Excel!$A$6:$T$150,COLUMN()/2+1,FALSE))),"")</f>
        <v/>
      </c>
      <c r="I70" s="63"/>
      <c r="J70" s="149" t="str">
        <f ca="1">IFERROR(VALUE(IF(VLOOKUP($A70,数出表_Excel!$A$6:$T$150,COLUMN()/2+1,FALSE)=0,"",VLOOKUP($A70,数出表_Excel!$A$6:$T$150,COLUMN()/2+1,FALSE))),"")</f>
        <v/>
      </c>
      <c r="K70" s="63"/>
      <c r="L70" s="149" t="str">
        <f ca="1">IFERROR(VALUE(IF(VLOOKUP($A70,数出表_Excel!$A$6:$T$150,COLUMN()/2+1,FALSE)=0,"",VLOOKUP($A70,数出表_Excel!$A$6:$T$150,COLUMN()/2+1,FALSE))),"")</f>
        <v/>
      </c>
      <c r="M70" s="63"/>
      <c r="N70" s="149" t="str">
        <f ca="1">IFERROR(VALUE(IF(VLOOKUP($A70,数出表_Excel!$A$6:$T$150,COLUMN()/2+1,FALSE)=0,"",VLOOKUP($A70,数出表_Excel!$A$6:$T$150,COLUMN()/2+1,FALSE))),"")</f>
        <v/>
      </c>
      <c r="O70" s="63"/>
      <c r="P70" s="149" t="str">
        <f ca="1">IFERROR(VALUE(IF(VLOOKUP($A70,数出表_Excel!$A$6:$T$150,COLUMN()/2+1,FALSE)=0,"",VLOOKUP($A70,数出表_Excel!$A$6:$T$150,COLUMN()/2+1,FALSE))),"")</f>
        <v/>
      </c>
      <c r="Q70" s="63"/>
      <c r="R70" s="149" t="str">
        <f ca="1">IFERROR(VALUE(IF(VLOOKUP($A70,数出表_Excel!$A$6:$T$150,COLUMN()/2+1,FALSE)=0,"",VLOOKUP($A70,数出表_Excel!$A$6:$T$150,COLUMN()/2+1,FALSE))),"")</f>
        <v/>
      </c>
      <c r="S70" s="63"/>
      <c r="T70" s="149" t="str">
        <f ca="1">IFERROR(VALUE(IF(VLOOKUP($A70,数出表_Excel!$A$6:$T$150,COLUMN()/2+1,FALSE)=0,"",VLOOKUP($A70,数出表_Excel!$A$6:$T$150,COLUMN()/2+1,FALSE))),"")</f>
        <v/>
      </c>
      <c r="U70" s="63"/>
      <c r="V70" s="149" t="str">
        <f ca="1">IFERROR(VALUE(IF(VLOOKUP($A70,数出表_Excel!$A$6:$T$150,COLUMN()/2+1,FALSE)=0,"",VLOOKUP($A70,数出表_Excel!$A$6:$T$150,COLUMN()/2+1,FALSE))),"")</f>
        <v/>
      </c>
      <c r="W70" s="63"/>
      <c r="X70" s="149" t="str">
        <f ca="1">IFERROR(VALUE(IF(VLOOKUP($A70,数出表_Excel!$A$6:$T$150,COLUMN()/2+1,FALSE)=0,"",VLOOKUP($A70,数出表_Excel!$A$6:$T$150,COLUMN()/2+1,FALSE))),"")</f>
        <v/>
      </c>
      <c r="Y70" s="63"/>
      <c r="Z70" s="149" t="str">
        <f ca="1">IFERROR(VALUE(IF(VLOOKUP($A70,数出表_Excel!$A$6:$T$150,COLUMN()/2+1,FALSE)=0,"",VLOOKUP($A70,数出表_Excel!$A$6:$T$150,COLUMN()/2+1,FALSE))),"")</f>
        <v/>
      </c>
      <c r="AA70" s="63"/>
      <c r="AB70" s="149" t="str">
        <f ca="1">IFERROR(VALUE(IF(VLOOKUP($A70,数出表_Excel!$A$6:$T$150,COLUMN()/2+1,FALSE)=0,"",VLOOKUP($A70,数出表_Excel!$A$6:$T$150,COLUMN()/2+1,FALSE))),"")</f>
        <v/>
      </c>
      <c r="AC70" s="63"/>
      <c r="AD70" s="149" t="str">
        <f ca="1">IFERROR(VALUE(IF(VLOOKUP($A70,数出表_Excel!$A$6:$T$150,COLUMN()/2+1,FALSE)=0,"",VLOOKUP($A70,数出表_Excel!$A$6:$T$150,COLUMN()/2+1,FALSE))),"")</f>
        <v/>
      </c>
      <c r="AE70" s="63"/>
      <c r="AF70" s="149" t="str">
        <f ca="1">IFERROR(VALUE(IF(VLOOKUP($A70,数出表_Excel!$A$6:$T$150,COLUMN()/2+1,FALSE)=0,"",VLOOKUP($A70,数出表_Excel!$A$6:$T$150,COLUMN()/2+1,FALSE))),"")</f>
        <v/>
      </c>
      <c r="AG70" s="63"/>
      <c r="AH70" s="149" t="str">
        <f ca="1">IFERROR(VALUE(IF(VLOOKUP($A70,数出表_Excel!$A$6:$T$150,COLUMN()/2+1,FALSE)=0,"",VLOOKUP($A70,数出表_Excel!$A$6:$T$150,COLUMN()/2+1,FALSE))),"")</f>
        <v/>
      </c>
      <c r="AI70" s="63"/>
      <c r="AJ70" s="149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 x14ac:dyDescent="0.45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 x14ac:dyDescent="0.45">
      <c r="A72" s="68" t="str">
        <f t="array" aca="1" ref="A72" ca="1">IF(OR(COUNTIF(A70,"*10002*"),COUNTIF(A70,"")),"",
IFERROR(INDEX(貼り付け用!$A$1:$A$200,MATCH(A70,貼り付け用!$A$1:$A$200,0)+2,0),""))</f>
        <v/>
      </c>
      <c r="B72" s="149" t="str">
        <f ca="1">IFERROR(VALUE(IF(VLOOKUP($A72,数出表_Excel!$A$6:$T$150,COLUMN()/2+1,FALSE)=0,"",VLOOKUP($A72,数出表_Excel!$A$6:$T$150,COLUMN()/2+1,FALSE))),"")</f>
        <v/>
      </c>
      <c r="C72" s="63"/>
      <c r="D72" s="149" t="str">
        <f ca="1">IFERROR(VALUE(IF(VLOOKUP($A72,数出表_Excel!$A$6:$T$150,COLUMN()/2+1,FALSE)=0,"",VLOOKUP($A72,数出表_Excel!$A$6:$T$150,COLUMN()/2+1,FALSE))),"")</f>
        <v/>
      </c>
      <c r="E72" s="63"/>
      <c r="F72" s="149" t="str">
        <f ca="1">IFERROR(VALUE(IF(VLOOKUP($A72,数出表_Excel!$A$6:$T$150,COLUMN()/2+1,FALSE)=0,"",VLOOKUP($A72,数出表_Excel!$A$6:$T$150,COLUMN()/2+1,FALSE))),"")</f>
        <v/>
      </c>
      <c r="G72" s="63"/>
      <c r="H72" s="149" t="str">
        <f ca="1">IFERROR(VALUE(IF(VLOOKUP($A72,数出表_Excel!$A$6:$T$150,COLUMN()/2+1,FALSE)=0,"",VLOOKUP($A72,数出表_Excel!$A$6:$T$150,COLUMN()/2+1,FALSE))),"")</f>
        <v/>
      </c>
      <c r="I72" s="63"/>
      <c r="J72" s="149" t="str">
        <f ca="1">IFERROR(VALUE(IF(VLOOKUP($A72,数出表_Excel!$A$6:$T$150,COLUMN()/2+1,FALSE)=0,"",VLOOKUP($A72,数出表_Excel!$A$6:$T$150,COLUMN()/2+1,FALSE))),"")</f>
        <v/>
      </c>
      <c r="K72" s="63"/>
      <c r="L72" s="149" t="str">
        <f ca="1">IFERROR(VALUE(IF(VLOOKUP($A72,数出表_Excel!$A$6:$T$150,COLUMN()/2+1,FALSE)=0,"",VLOOKUP($A72,数出表_Excel!$A$6:$T$150,COLUMN()/2+1,FALSE))),"")</f>
        <v/>
      </c>
      <c r="M72" s="63"/>
      <c r="N72" s="149" t="str">
        <f ca="1">IFERROR(VALUE(IF(VLOOKUP($A72,数出表_Excel!$A$6:$T$150,COLUMN()/2+1,FALSE)=0,"",VLOOKUP($A72,数出表_Excel!$A$6:$T$150,COLUMN()/2+1,FALSE))),"")</f>
        <v/>
      </c>
      <c r="O72" s="63"/>
      <c r="P72" s="149" t="str">
        <f ca="1">IFERROR(VALUE(IF(VLOOKUP($A72,数出表_Excel!$A$6:$T$150,COLUMN()/2+1,FALSE)=0,"",VLOOKUP($A72,数出表_Excel!$A$6:$T$150,COLUMN()/2+1,FALSE))),"")</f>
        <v/>
      </c>
      <c r="Q72" s="63"/>
      <c r="R72" s="149" t="str">
        <f ca="1">IFERROR(VALUE(IF(VLOOKUP($A72,数出表_Excel!$A$6:$T$150,COLUMN()/2+1,FALSE)=0,"",VLOOKUP($A72,数出表_Excel!$A$6:$T$150,COLUMN()/2+1,FALSE))),"")</f>
        <v/>
      </c>
      <c r="S72" s="63"/>
      <c r="T72" s="149" t="str">
        <f ca="1">IFERROR(VALUE(IF(VLOOKUP($A72,数出表_Excel!$A$6:$T$150,COLUMN()/2+1,FALSE)=0,"",VLOOKUP($A72,数出表_Excel!$A$6:$T$150,COLUMN()/2+1,FALSE))),"")</f>
        <v/>
      </c>
      <c r="U72" s="63"/>
      <c r="V72" s="149" t="str">
        <f ca="1">IFERROR(VALUE(IF(VLOOKUP($A72,数出表_Excel!$A$6:$T$150,COLUMN()/2+1,FALSE)=0,"",VLOOKUP($A72,数出表_Excel!$A$6:$T$150,COLUMN()/2+1,FALSE))),"")</f>
        <v/>
      </c>
      <c r="W72" s="63"/>
      <c r="X72" s="149" t="str">
        <f ca="1">IFERROR(VALUE(IF(VLOOKUP($A72,数出表_Excel!$A$6:$T$150,COLUMN()/2+1,FALSE)=0,"",VLOOKUP($A72,数出表_Excel!$A$6:$T$150,COLUMN()/2+1,FALSE))),"")</f>
        <v/>
      </c>
      <c r="Y72" s="63"/>
      <c r="Z72" s="149" t="str">
        <f ca="1">IFERROR(VALUE(IF(VLOOKUP($A72,数出表_Excel!$A$6:$T$150,COLUMN()/2+1,FALSE)=0,"",VLOOKUP($A72,数出表_Excel!$A$6:$T$150,COLUMN()/2+1,FALSE))),"")</f>
        <v/>
      </c>
      <c r="AA72" s="63"/>
      <c r="AB72" s="149" t="str">
        <f ca="1">IFERROR(VALUE(IF(VLOOKUP($A72,数出表_Excel!$A$6:$T$150,COLUMN()/2+1,FALSE)=0,"",VLOOKUP($A72,数出表_Excel!$A$6:$T$150,COLUMN()/2+1,FALSE))),"")</f>
        <v/>
      </c>
      <c r="AC72" s="63"/>
      <c r="AD72" s="149" t="str">
        <f ca="1">IFERROR(VALUE(IF(VLOOKUP($A72,数出表_Excel!$A$6:$T$150,COLUMN()/2+1,FALSE)=0,"",VLOOKUP($A72,数出表_Excel!$A$6:$T$150,COLUMN()/2+1,FALSE))),"")</f>
        <v/>
      </c>
      <c r="AE72" s="63"/>
      <c r="AF72" s="149" t="str">
        <f ca="1">IFERROR(VALUE(IF(VLOOKUP($A72,数出表_Excel!$A$6:$T$150,COLUMN()/2+1,FALSE)=0,"",VLOOKUP($A72,数出表_Excel!$A$6:$T$150,COLUMN()/2+1,FALSE))),"")</f>
        <v/>
      </c>
      <c r="AG72" s="63"/>
      <c r="AH72" s="149" t="str">
        <f ca="1">IFERROR(VALUE(IF(VLOOKUP($A72,数出表_Excel!$A$6:$T$150,COLUMN()/2+1,FALSE)=0,"",VLOOKUP($A72,数出表_Excel!$A$6:$T$150,COLUMN()/2+1,FALSE))),"")</f>
        <v/>
      </c>
      <c r="AI72" s="63"/>
      <c r="AJ72" s="149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 x14ac:dyDescent="0.45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 x14ac:dyDescent="0.45">
      <c r="A74" s="68" t="str">
        <f t="array" aca="1" ref="A74" ca="1">IF(OR(COUNTIF(A72,"*10002*"),COUNTIF(A72,"")),"",
IFERROR(INDEX(貼り付け用!$A$1:$A$200,MATCH(A72,貼り付け用!$A$1:$A$200,0)+2,0),""))</f>
        <v/>
      </c>
      <c r="B74" s="149" t="str">
        <f ca="1">IFERROR(VALUE(IF(VLOOKUP($A74,数出表_Excel!$A$6:$T$150,COLUMN()/2+1,FALSE)=0,"",VLOOKUP($A74,数出表_Excel!$A$6:$T$150,COLUMN()/2+1,FALSE))),"")</f>
        <v/>
      </c>
      <c r="C74" s="63"/>
      <c r="D74" s="149" t="str">
        <f ca="1">IFERROR(VALUE(IF(VLOOKUP($A74,数出表_Excel!$A$6:$T$150,COLUMN()/2+1,FALSE)=0,"",VLOOKUP($A74,数出表_Excel!$A$6:$T$150,COLUMN()/2+1,FALSE))),"")</f>
        <v/>
      </c>
      <c r="E74" s="63"/>
      <c r="F74" s="149" t="str">
        <f ca="1">IFERROR(VALUE(IF(VLOOKUP($A74,数出表_Excel!$A$6:$T$150,COLUMN()/2+1,FALSE)=0,"",VLOOKUP($A74,数出表_Excel!$A$6:$T$150,COLUMN()/2+1,FALSE))),"")</f>
        <v/>
      </c>
      <c r="G74" s="63"/>
      <c r="H74" s="149" t="str">
        <f ca="1">IFERROR(VALUE(IF(VLOOKUP($A74,数出表_Excel!$A$6:$T$150,COLUMN()/2+1,FALSE)=0,"",VLOOKUP($A74,数出表_Excel!$A$6:$T$150,COLUMN()/2+1,FALSE))),"")</f>
        <v/>
      </c>
      <c r="I74" s="63"/>
      <c r="J74" s="149" t="str">
        <f ca="1">IFERROR(VALUE(IF(VLOOKUP($A74,数出表_Excel!$A$6:$T$150,COLUMN()/2+1,FALSE)=0,"",VLOOKUP($A74,数出表_Excel!$A$6:$T$150,COLUMN()/2+1,FALSE))),"")</f>
        <v/>
      </c>
      <c r="K74" s="63"/>
      <c r="L74" s="149" t="str">
        <f ca="1">IFERROR(VALUE(IF(VLOOKUP($A74,数出表_Excel!$A$6:$T$150,COLUMN()/2+1,FALSE)=0,"",VLOOKUP($A74,数出表_Excel!$A$6:$T$150,COLUMN()/2+1,FALSE))),"")</f>
        <v/>
      </c>
      <c r="M74" s="63"/>
      <c r="N74" s="149" t="str">
        <f ca="1">IFERROR(VALUE(IF(VLOOKUP($A74,数出表_Excel!$A$6:$T$150,COLUMN()/2+1,FALSE)=0,"",VLOOKUP($A74,数出表_Excel!$A$6:$T$150,COLUMN()/2+1,FALSE))),"")</f>
        <v/>
      </c>
      <c r="O74" s="63"/>
      <c r="P74" s="149" t="str">
        <f ca="1">IFERROR(VALUE(IF(VLOOKUP($A74,数出表_Excel!$A$6:$T$150,COLUMN()/2+1,FALSE)=0,"",VLOOKUP($A74,数出表_Excel!$A$6:$T$150,COLUMN()/2+1,FALSE))),"")</f>
        <v/>
      </c>
      <c r="Q74" s="63"/>
      <c r="R74" s="149" t="str">
        <f ca="1">IFERROR(VALUE(IF(VLOOKUP($A74,数出表_Excel!$A$6:$T$150,COLUMN()/2+1,FALSE)=0,"",VLOOKUP($A74,数出表_Excel!$A$6:$T$150,COLUMN()/2+1,FALSE))),"")</f>
        <v/>
      </c>
      <c r="S74" s="63"/>
      <c r="T74" s="149" t="str">
        <f ca="1">IFERROR(VALUE(IF(VLOOKUP($A74,数出表_Excel!$A$6:$T$150,COLUMN()/2+1,FALSE)=0,"",VLOOKUP($A74,数出表_Excel!$A$6:$T$150,COLUMN()/2+1,FALSE))),"")</f>
        <v/>
      </c>
      <c r="U74" s="63"/>
      <c r="V74" s="149" t="str">
        <f ca="1">IFERROR(VALUE(IF(VLOOKUP($A74,数出表_Excel!$A$6:$T$150,COLUMN()/2+1,FALSE)=0,"",VLOOKUP($A74,数出表_Excel!$A$6:$T$150,COLUMN()/2+1,FALSE))),"")</f>
        <v/>
      </c>
      <c r="W74" s="63"/>
      <c r="X74" s="149" t="str">
        <f ca="1">IFERROR(VALUE(IF(VLOOKUP($A74,数出表_Excel!$A$6:$T$150,COLUMN()/2+1,FALSE)=0,"",VLOOKUP($A74,数出表_Excel!$A$6:$T$150,COLUMN()/2+1,FALSE))),"")</f>
        <v/>
      </c>
      <c r="Y74" s="63"/>
      <c r="Z74" s="149" t="str">
        <f ca="1">IFERROR(VALUE(IF(VLOOKUP($A74,数出表_Excel!$A$6:$T$150,COLUMN()/2+1,FALSE)=0,"",VLOOKUP($A74,数出表_Excel!$A$6:$T$150,COLUMN()/2+1,FALSE))),"")</f>
        <v/>
      </c>
      <c r="AA74" s="63"/>
      <c r="AB74" s="149" t="str">
        <f ca="1">IFERROR(VALUE(IF(VLOOKUP($A74,数出表_Excel!$A$6:$T$150,COLUMN()/2+1,FALSE)=0,"",VLOOKUP($A74,数出表_Excel!$A$6:$T$150,COLUMN()/2+1,FALSE))),"")</f>
        <v/>
      </c>
      <c r="AC74" s="63"/>
      <c r="AD74" s="149" t="str">
        <f ca="1">IFERROR(VALUE(IF(VLOOKUP($A74,数出表_Excel!$A$6:$T$150,COLUMN()/2+1,FALSE)=0,"",VLOOKUP($A74,数出表_Excel!$A$6:$T$150,COLUMN()/2+1,FALSE))),"")</f>
        <v/>
      </c>
      <c r="AE74" s="63"/>
      <c r="AF74" s="149" t="str">
        <f ca="1">IFERROR(VALUE(IF(VLOOKUP($A74,数出表_Excel!$A$6:$T$150,COLUMN()/2+1,FALSE)=0,"",VLOOKUP($A74,数出表_Excel!$A$6:$T$150,COLUMN()/2+1,FALSE))),"")</f>
        <v/>
      </c>
      <c r="AG74" s="63"/>
      <c r="AH74" s="149" t="str">
        <f ca="1">IFERROR(VALUE(IF(VLOOKUP($A74,数出表_Excel!$A$6:$T$150,COLUMN()/2+1,FALSE)=0,"",VLOOKUP($A74,数出表_Excel!$A$6:$T$150,COLUMN()/2+1,FALSE))),"")</f>
        <v/>
      </c>
      <c r="AI74" s="63"/>
      <c r="AJ74" s="149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 x14ac:dyDescent="0.45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 x14ac:dyDescent="0.45">
      <c r="A76" s="68" t="str">
        <f t="array" aca="1" ref="A76" ca="1">IF(OR(COUNTIF(A74,"*10002*"),COUNTIF(A74,"")),"",
IFERROR(INDEX(貼り付け用!$A$1:$A$200,MATCH(A74,貼り付け用!$A$1:$A$200,0)+2,0),""))</f>
        <v/>
      </c>
      <c r="B76" s="149" t="str">
        <f ca="1">IFERROR(VALUE(IF(VLOOKUP($A76,数出表_Excel!$A$6:$T$150,COLUMN()/2+1,FALSE)=0,"",VLOOKUP($A76,数出表_Excel!$A$6:$T$150,COLUMN()/2+1,FALSE))),"")</f>
        <v/>
      </c>
      <c r="C76" s="63"/>
      <c r="D76" s="149" t="str">
        <f ca="1">IFERROR(VALUE(IF(VLOOKUP($A76,数出表_Excel!$A$6:$T$150,COLUMN()/2+1,FALSE)=0,"",VLOOKUP($A76,数出表_Excel!$A$6:$T$150,COLUMN()/2+1,FALSE))),"")</f>
        <v/>
      </c>
      <c r="E76" s="63"/>
      <c r="F76" s="149" t="str">
        <f ca="1">IFERROR(VALUE(IF(VLOOKUP($A76,数出表_Excel!$A$6:$T$150,COLUMN()/2+1,FALSE)=0,"",VLOOKUP($A76,数出表_Excel!$A$6:$T$150,COLUMN()/2+1,FALSE))),"")</f>
        <v/>
      </c>
      <c r="G76" s="63"/>
      <c r="H76" s="149" t="str">
        <f ca="1">IFERROR(VALUE(IF(VLOOKUP($A76,数出表_Excel!$A$6:$T$150,COLUMN()/2+1,FALSE)=0,"",VLOOKUP($A76,数出表_Excel!$A$6:$T$150,COLUMN()/2+1,FALSE))),"")</f>
        <v/>
      </c>
      <c r="I76" s="63"/>
      <c r="J76" s="149" t="str">
        <f ca="1">IFERROR(VALUE(IF(VLOOKUP($A76,数出表_Excel!$A$6:$T$150,COLUMN()/2+1,FALSE)=0,"",VLOOKUP($A76,数出表_Excel!$A$6:$T$150,COLUMN()/2+1,FALSE))),"")</f>
        <v/>
      </c>
      <c r="K76" s="63"/>
      <c r="L76" s="149" t="str">
        <f ca="1">IFERROR(VALUE(IF(VLOOKUP($A76,数出表_Excel!$A$6:$T$150,COLUMN()/2+1,FALSE)=0,"",VLOOKUP($A76,数出表_Excel!$A$6:$T$150,COLUMN()/2+1,FALSE))),"")</f>
        <v/>
      </c>
      <c r="M76" s="63"/>
      <c r="N76" s="149" t="str">
        <f ca="1">IFERROR(VALUE(IF(VLOOKUP($A76,数出表_Excel!$A$6:$T$150,COLUMN()/2+1,FALSE)=0,"",VLOOKUP($A76,数出表_Excel!$A$6:$T$150,COLUMN()/2+1,FALSE))),"")</f>
        <v/>
      </c>
      <c r="O76" s="63"/>
      <c r="P76" s="149" t="str">
        <f ca="1">IFERROR(VALUE(IF(VLOOKUP($A76,数出表_Excel!$A$6:$T$150,COLUMN()/2+1,FALSE)=0,"",VLOOKUP($A76,数出表_Excel!$A$6:$T$150,COLUMN()/2+1,FALSE))),"")</f>
        <v/>
      </c>
      <c r="Q76" s="63"/>
      <c r="R76" s="149" t="str">
        <f ca="1">IFERROR(VALUE(IF(VLOOKUP($A76,数出表_Excel!$A$6:$T$150,COLUMN()/2+1,FALSE)=0,"",VLOOKUP($A76,数出表_Excel!$A$6:$T$150,COLUMN()/2+1,FALSE))),"")</f>
        <v/>
      </c>
      <c r="S76" s="63"/>
      <c r="T76" s="149" t="str">
        <f ca="1">IFERROR(VALUE(IF(VLOOKUP($A76,数出表_Excel!$A$6:$T$150,COLUMN()/2+1,FALSE)=0,"",VLOOKUP($A76,数出表_Excel!$A$6:$T$150,COLUMN()/2+1,FALSE))),"")</f>
        <v/>
      </c>
      <c r="U76" s="63"/>
      <c r="V76" s="149" t="str">
        <f ca="1">IFERROR(VALUE(IF(VLOOKUP($A76,数出表_Excel!$A$6:$T$150,COLUMN()/2+1,FALSE)=0,"",VLOOKUP($A76,数出表_Excel!$A$6:$T$150,COLUMN()/2+1,FALSE))),"")</f>
        <v/>
      </c>
      <c r="W76" s="63"/>
      <c r="X76" s="149" t="str">
        <f ca="1">IFERROR(VALUE(IF(VLOOKUP($A76,数出表_Excel!$A$6:$T$150,COLUMN()/2+1,FALSE)=0,"",VLOOKUP($A76,数出表_Excel!$A$6:$T$150,COLUMN()/2+1,FALSE))),"")</f>
        <v/>
      </c>
      <c r="Y76" s="63"/>
      <c r="Z76" s="149" t="str">
        <f ca="1">IFERROR(VALUE(IF(VLOOKUP($A76,数出表_Excel!$A$6:$T$150,COLUMN()/2+1,FALSE)=0,"",VLOOKUP($A76,数出表_Excel!$A$6:$T$150,COLUMN()/2+1,FALSE))),"")</f>
        <v/>
      </c>
      <c r="AA76" s="63"/>
      <c r="AB76" s="149" t="str">
        <f ca="1">IFERROR(VALUE(IF(VLOOKUP($A76,数出表_Excel!$A$6:$T$150,COLUMN()/2+1,FALSE)=0,"",VLOOKUP($A76,数出表_Excel!$A$6:$T$150,COLUMN()/2+1,FALSE))),"")</f>
        <v/>
      </c>
      <c r="AC76" s="63"/>
      <c r="AD76" s="149" t="str">
        <f ca="1">IFERROR(VALUE(IF(VLOOKUP($A76,数出表_Excel!$A$6:$T$150,COLUMN()/2+1,FALSE)=0,"",VLOOKUP($A76,数出表_Excel!$A$6:$T$150,COLUMN()/2+1,FALSE))),"")</f>
        <v/>
      </c>
      <c r="AE76" s="63"/>
      <c r="AF76" s="149" t="str">
        <f ca="1">IFERROR(VALUE(IF(VLOOKUP($A76,数出表_Excel!$A$6:$T$150,COLUMN()/2+1,FALSE)=0,"",VLOOKUP($A76,数出表_Excel!$A$6:$T$150,COLUMN()/2+1,FALSE))),"")</f>
        <v/>
      </c>
      <c r="AG76" s="63"/>
      <c r="AH76" s="149" t="str">
        <f ca="1">IFERROR(VALUE(IF(VLOOKUP($A76,数出表_Excel!$A$6:$T$150,COLUMN()/2+1,FALSE)=0,"",VLOOKUP($A76,数出表_Excel!$A$6:$T$150,COLUMN()/2+1,FALSE))),"")</f>
        <v/>
      </c>
      <c r="AI76" s="63"/>
      <c r="AJ76" s="149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 x14ac:dyDescent="0.45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 x14ac:dyDescent="0.45">
      <c r="A78" s="68" t="str">
        <f t="array" aca="1" ref="A78" ca="1">IF(OR(COUNTIF(A76,"*10002*"),COUNTIF(A76,"")),"",
IFERROR(INDEX(貼り付け用!$A$1:$A$200,MATCH(A76,貼り付け用!$A$1:$A$200,0)+2,0),""))</f>
        <v/>
      </c>
      <c r="B78" s="149" t="str">
        <f ca="1">IFERROR(VALUE(IF(VLOOKUP($A78,数出表_Excel!$A$6:$T$150,COLUMN()/2+1,FALSE)=0,"",VLOOKUP($A78,数出表_Excel!$A$6:$T$150,COLUMN()/2+1,FALSE))),"")</f>
        <v/>
      </c>
      <c r="C78" s="63"/>
      <c r="D78" s="149" t="str">
        <f ca="1">IFERROR(VALUE(IF(VLOOKUP($A78,数出表_Excel!$A$6:$T$150,COLUMN()/2+1,FALSE)=0,"",VLOOKUP($A78,数出表_Excel!$A$6:$T$150,COLUMN()/2+1,FALSE))),"")</f>
        <v/>
      </c>
      <c r="E78" s="63"/>
      <c r="F78" s="149" t="str">
        <f ca="1">IFERROR(VALUE(IF(VLOOKUP($A78,数出表_Excel!$A$6:$T$150,COLUMN()/2+1,FALSE)=0,"",VLOOKUP($A78,数出表_Excel!$A$6:$T$150,COLUMN()/2+1,FALSE))),"")</f>
        <v/>
      </c>
      <c r="G78" s="63"/>
      <c r="H78" s="149" t="str">
        <f ca="1">IFERROR(VALUE(IF(VLOOKUP($A78,数出表_Excel!$A$6:$T$150,COLUMN()/2+1,FALSE)=0,"",VLOOKUP($A78,数出表_Excel!$A$6:$T$150,COLUMN()/2+1,FALSE))),"")</f>
        <v/>
      </c>
      <c r="I78" s="63"/>
      <c r="J78" s="149" t="str">
        <f ca="1">IFERROR(VALUE(IF(VLOOKUP($A78,数出表_Excel!$A$6:$T$150,COLUMN()/2+1,FALSE)=0,"",VLOOKUP($A78,数出表_Excel!$A$6:$T$150,COLUMN()/2+1,FALSE))),"")</f>
        <v/>
      </c>
      <c r="K78" s="63"/>
      <c r="L78" s="149" t="str">
        <f ca="1">IFERROR(VALUE(IF(VLOOKUP($A78,数出表_Excel!$A$6:$T$150,COLUMN()/2+1,FALSE)=0,"",VLOOKUP($A78,数出表_Excel!$A$6:$T$150,COLUMN()/2+1,FALSE))),"")</f>
        <v/>
      </c>
      <c r="M78" s="63"/>
      <c r="N78" s="149" t="str">
        <f ca="1">IFERROR(VALUE(IF(VLOOKUP($A78,数出表_Excel!$A$6:$T$150,COLUMN()/2+1,FALSE)=0,"",VLOOKUP($A78,数出表_Excel!$A$6:$T$150,COLUMN()/2+1,FALSE))),"")</f>
        <v/>
      </c>
      <c r="O78" s="63"/>
      <c r="P78" s="149" t="str">
        <f ca="1">IFERROR(VALUE(IF(VLOOKUP($A78,数出表_Excel!$A$6:$T$150,COLUMN()/2+1,FALSE)=0,"",VLOOKUP($A78,数出表_Excel!$A$6:$T$150,COLUMN()/2+1,FALSE))),"")</f>
        <v/>
      </c>
      <c r="Q78" s="63"/>
      <c r="R78" s="149" t="str">
        <f ca="1">IFERROR(VALUE(IF(VLOOKUP($A78,数出表_Excel!$A$6:$T$150,COLUMN()/2+1,FALSE)=0,"",VLOOKUP($A78,数出表_Excel!$A$6:$T$150,COLUMN()/2+1,FALSE))),"")</f>
        <v/>
      </c>
      <c r="S78" s="63"/>
      <c r="T78" s="149" t="str">
        <f ca="1">IFERROR(VALUE(IF(VLOOKUP($A78,数出表_Excel!$A$6:$T$150,COLUMN()/2+1,FALSE)=0,"",VLOOKUP($A78,数出表_Excel!$A$6:$T$150,COLUMN()/2+1,FALSE))),"")</f>
        <v/>
      </c>
      <c r="U78" s="63"/>
      <c r="V78" s="149" t="str">
        <f ca="1">IFERROR(VALUE(IF(VLOOKUP($A78,数出表_Excel!$A$6:$T$150,COLUMN()/2+1,FALSE)=0,"",VLOOKUP($A78,数出表_Excel!$A$6:$T$150,COLUMN()/2+1,FALSE))),"")</f>
        <v/>
      </c>
      <c r="W78" s="63"/>
      <c r="X78" s="149" t="str">
        <f ca="1">IFERROR(VALUE(IF(VLOOKUP($A78,数出表_Excel!$A$6:$T$150,COLUMN()/2+1,FALSE)=0,"",VLOOKUP($A78,数出表_Excel!$A$6:$T$150,COLUMN()/2+1,FALSE))),"")</f>
        <v/>
      </c>
      <c r="Y78" s="63"/>
      <c r="Z78" s="149" t="str">
        <f ca="1">IFERROR(VALUE(IF(VLOOKUP($A78,数出表_Excel!$A$6:$T$150,COLUMN()/2+1,FALSE)=0,"",VLOOKUP($A78,数出表_Excel!$A$6:$T$150,COLUMN()/2+1,FALSE))),"")</f>
        <v/>
      </c>
      <c r="AA78" s="63"/>
      <c r="AB78" s="149" t="str">
        <f ca="1">IFERROR(VALUE(IF(VLOOKUP($A78,数出表_Excel!$A$6:$T$150,COLUMN()/2+1,FALSE)=0,"",VLOOKUP($A78,数出表_Excel!$A$6:$T$150,COLUMN()/2+1,FALSE))),"")</f>
        <v/>
      </c>
      <c r="AC78" s="63"/>
      <c r="AD78" s="149" t="str">
        <f ca="1">IFERROR(VALUE(IF(VLOOKUP($A78,数出表_Excel!$A$6:$T$150,COLUMN()/2+1,FALSE)=0,"",VLOOKUP($A78,数出表_Excel!$A$6:$T$150,COLUMN()/2+1,FALSE))),"")</f>
        <v/>
      </c>
      <c r="AE78" s="63"/>
      <c r="AF78" s="149" t="str">
        <f ca="1">IFERROR(VALUE(IF(VLOOKUP($A78,数出表_Excel!$A$6:$T$150,COLUMN()/2+1,FALSE)=0,"",VLOOKUP($A78,数出表_Excel!$A$6:$T$150,COLUMN()/2+1,FALSE))),"")</f>
        <v/>
      </c>
      <c r="AG78" s="63"/>
      <c r="AH78" s="149" t="str">
        <f ca="1">IFERROR(VALUE(IF(VLOOKUP($A78,数出表_Excel!$A$6:$T$150,COLUMN()/2+1,FALSE)=0,"",VLOOKUP($A78,数出表_Excel!$A$6:$T$150,COLUMN()/2+1,FALSE))),"")</f>
        <v/>
      </c>
      <c r="AI78" s="63"/>
      <c r="AJ78" s="149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 x14ac:dyDescent="0.45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 x14ac:dyDescent="0.45">
      <c r="A80" s="68" t="str">
        <f t="array" aca="1" ref="A80" ca="1">IF(OR(COUNTIF(A78,"*10002*"),COUNTIF(A78,"")),"",
IFERROR(INDEX(貼り付け用!$A$1:$A$200,MATCH(A78,貼り付け用!$A$1:$A$200,0)+2,0),""))</f>
        <v/>
      </c>
      <c r="B80" s="149" t="str">
        <f ca="1">IFERROR(VALUE(IF(VLOOKUP($A80,数出表_Excel!$A$6:$T$150,COLUMN()/2+1,FALSE)=0,"",VLOOKUP($A80,数出表_Excel!$A$6:$T$150,COLUMN()/2+1,FALSE))),"")</f>
        <v/>
      </c>
      <c r="C80" s="63"/>
      <c r="D80" s="149" t="str">
        <f ca="1">IFERROR(VALUE(IF(VLOOKUP($A80,数出表_Excel!$A$6:$T$150,COLUMN()/2+1,FALSE)=0,"",VLOOKUP($A80,数出表_Excel!$A$6:$T$150,COLUMN()/2+1,FALSE))),"")</f>
        <v/>
      </c>
      <c r="E80" s="63"/>
      <c r="F80" s="149" t="str">
        <f ca="1">IFERROR(VALUE(IF(VLOOKUP($A80,数出表_Excel!$A$6:$T$150,COLUMN()/2+1,FALSE)=0,"",VLOOKUP($A80,数出表_Excel!$A$6:$T$150,COLUMN()/2+1,FALSE))),"")</f>
        <v/>
      </c>
      <c r="G80" s="63"/>
      <c r="H80" s="149" t="str">
        <f ca="1">IFERROR(VALUE(IF(VLOOKUP($A80,数出表_Excel!$A$6:$T$150,COLUMN()/2+1,FALSE)=0,"",VLOOKUP($A80,数出表_Excel!$A$6:$T$150,COLUMN()/2+1,FALSE))),"")</f>
        <v/>
      </c>
      <c r="I80" s="63"/>
      <c r="J80" s="149" t="str">
        <f ca="1">IFERROR(VALUE(IF(VLOOKUP($A80,数出表_Excel!$A$6:$T$150,COLUMN()/2+1,FALSE)=0,"",VLOOKUP($A80,数出表_Excel!$A$6:$T$150,COLUMN()/2+1,FALSE))),"")</f>
        <v/>
      </c>
      <c r="K80" s="63"/>
      <c r="L80" s="149" t="str">
        <f ca="1">IFERROR(VALUE(IF(VLOOKUP($A80,数出表_Excel!$A$6:$T$150,COLUMN()/2+1,FALSE)=0,"",VLOOKUP($A80,数出表_Excel!$A$6:$T$150,COLUMN()/2+1,FALSE))),"")</f>
        <v/>
      </c>
      <c r="M80" s="63"/>
      <c r="N80" s="149" t="str">
        <f ca="1">IFERROR(VALUE(IF(VLOOKUP($A80,数出表_Excel!$A$6:$T$150,COLUMN()/2+1,FALSE)=0,"",VLOOKUP($A80,数出表_Excel!$A$6:$T$150,COLUMN()/2+1,FALSE))),"")</f>
        <v/>
      </c>
      <c r="O80" s="63"/>
      <c r="P80" s="149" t="str">
        <f ca="1">IFERROR(VALUE(IF(VLOOKUP($A80,数出表_Excel!$A$6:$T$150,COLUMN()/2+1,FALSE)=0,"",VLOOKUP($A80,数出表_Excel!$A$6:$T$150,COLUMN()/2+1,FALSE))),"")</f>
        <v/>
      </c>
      <c r="Q80" s="63"/>
      <c r="R80" s="149" t="str">
        <f ca="1">IFERROR(VALUE(IF(VLOOKUP($A80,数出表_Excel!$A$6:$T$150,COLUMN()/2+1,FALSE)=0,"",VLOOKUP($A80,数出表_Excel!$A$6:$T$150,COLUMN()/2+1,FALSE))),"")</f>
        <v/>
      </c>
      <c r="S80" s="63"/>
      <c r="T80" s="149" t="str">
        <f ca="1">IFERROR(VALUE(IF(VLOOKUP($A80,数出表_Excel!$A$6:$T$150,COLUMN()/2+1,FALSE)=0,"",VLOOKUP($A80,数出表_Excel!$A$6:$T$150,COLUMN()/2+1,FALSE))),"")</f>
        <v/>
      </c>
      <c r="U80" s="63"/>
      <c r="V80" s="149" t="str">
        <f ca="1">IFERROR(VALUE(IF(VLOOKUP($A80,数出表_Excel!$A$6:$T$150,COLUMN()/2+1,FALSE)=0,"",VLOOKUP($A80,数出表_Excel!$A$6:$T$150,COLUMN()/2+1,FALSE))),"")</f>
        <v/>
      </c>
      <c r="W80" s="63"/>
      <c r="X80" s="149" t="str">
        <f ca="1">IFERROR(VALUE(IF(VLOOKUP($A80,数出表_Excel!$A$6:$T$150,COLUMN()/2+1,FALSE)=0,"",VLOOKUP($A80,数出表_Excel!$A$6:$T$150,COLUMN()/2+1,FALSE))),"")</f>
        <v/>
      </c>
      <c r="Y80" s="63"/>
      <c r="Z80" s="149" t="str">
        <f ca="1">IFERROR(VALUE(IF(VLOOKUP($A80,数出表_Excel!$A$6:$T$150,COLUMN()/2+1,FALSE)=0,"",VLOOKUP($A80,数出表_Excel!$A$6:$T$150,COLUMN()/2+1,FALSE))),"")</f>
        <v/>
      </c>
      <c r="AA80" s="63"/>
      <c r="AB80" s="149" t="str">
        <f ca="1">IFERROR(VALUE(IF(VLOOKUP($A80,数出表_Excel!$A$6:$T$150,COLUMN()/2+1,FALSE)=0,"",VLOOKUP($A80,数出表_Excel!$A$6:$T$150,COLUMN()/2+1,FALSE))),"")</f>
        <v/>
      </c>
      <c r="AC80" s="63"/>
      <c r="AD80" s="149" t="str">
        <f ca="1">IFERROR(VALUE(IF(VLOOKUP($A80,数出表_Excel!$A$6:$T$150,COLUMN()/2+1,FALSE)=0,"",VLOOKUP($A80,数出表_Excel!$A$6:$T$150,COLUMN()/2+1,FALSE))),"")</f>
        <v/>
      </c>
      <c r="AE80" s="63"/>
      <c r="AF80" s="149" t="str">
        <f ca="1">IFERROR(VALUE(IF(VLOOKUP($A80,数出表_Excel!$A$6:$T$150,COLUMN()/2+1,FALSE)=0,"",VLOOKUP($A80,数出表_Excel!$A$6:$T$150,COLUMN()/2+1,FALSE))),"")</f>
        <v/>
      </c>
      <c r="AG80" s="63"/>
      <c r="AH80" s="149" t="str">
        <f ca="1">IFERROR(VALUE(IF(VLOOKUP($A80,数出表_Excel!$A$6:$T$150,COLUMN()/2+1,FALSE)=0,"",VLOOKUP($A80,数出表_Excel!$A$6:$T$150,COLUMN()/2+1,FALSE))),"")</f>
        <v/>
      </c>
      <c r="AI80" s="63"/>
      <c r="AJ80" s="149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 x14ac:dyDescent="0.45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 x14ac:dyDescent="0.45">
      <c r="A82" s="68" t="str">
        <f t="array" aca="1" ref="A82" ca="1">IF(OR(COUNTIF(A80,"*10002*"),COUNTIF(A80,"")),"",
IFERROR(INDEX(貼り付け用!$A$1:$A$200,MATCH(A80,貼り付け用!$A$1:$A$200,0)+2,0),""))</f>
        <v/>
      </c>
      <c r="B82" s="149" t="str">
        <f ca="1">IFERROR(VALUE(IF(VLOOKUP($A82,数出表_Excel!$A$6:$T$150,COLUMN()/2+1,FALSE)=0,"",VLOOKUP($A82,数出表_Excel!$A$6:$T$150,COLUMN()/2+1,FALSE))),"")</f>
        <v/>
      </c>
      <c r="C82" s="63"/>
      <c r="D82" s="149" t="str">
        <f ca="1">IFERROR(VALUE(IF(VLOOKUP($A82,数出表_Excel!$A$6:$T$150,COLUMN()/2+1,FALSE)=0,"",VLOOKUP($A82,数出表_Excel!$A$6:$T$150,COLUMN()/2+1,FALSE))),"")</f>
        <v/>
      </c>
      <c r="E82" s="63"/>
      <c r="F82" s="149" t="str">
        <f ca="1">IFERROR(VALUE(IF(VLOOKUP($A82,数出表_Excel!$A$6:$T$150,COLUMN()/2+1,FALSE)=0,"",VLOOKUP($A82,数出表_Excel!$A$6:$T$150,COLUMN()/2+1,FALSE))),"")</f>
        <v/>
      </c>
      <c r="G82" s="63"/>
      <c r="H82" s="149" t="str">
        <f ca="1">IFERROR(VALUE(IF(VLOOKUP($A82,数出表_Excel!$A$6:$T$150,COLUMN()/2+1,FALSE)=0,"",VLOOKUP($A82,数出表_Excel!$A$6:$T$150,COLUMN()/2+1,FALSE))),"")</f>
        <v/>
      </c>
      <c r="I82" s="63"/>
      <c r="J82" s="149" t="str">
        <f ca="1">IFERROR(VALUE(IF(VLOOKUP($A82,数出表_Excel!$A$6:$T$150,COLUMN()/2+1,FALSE)=0,"",VLOOKUP($A82,数出表_Excel!$A$6:$T$150,COLUMN()/2+1,FALSE))),"")</f>
        <v/>
      </c>
      <c r="K82" s="63"/>
      <c r="L82" s="149" t="str">
        <f ca="1">IFERROR(VALUE(IF(VLOOKUP($A82,数出表_Excel!$A$6:$T$150,COLUMN()/2+1,FALSE)=0,"",VLOOKUP($A82,数出表_Excel!$A$6:$T$150,COLUMN()/2+1,FALSE))),"")</f>
        <v/>
      </c>
      <c r="M82" s="63"/>
      <c r="N82" s="149" t="str">
        <f ca="1">IFERROR(VALUE(IF(VLOOKUP($A82,数出表_Excel!$A$6:$T$150,COLUMN()/2+1,FALSE)=0,"",VLOOKUP($A82,数出表_Excel!$A$6:$T$150,COLUMN()/2+1,FALSE))),"")</f>
        <v/>
      </c>
      <c r="O82" s="63"/>
      <c r="P82" s="149" t="str">
        <f ca="1">IFERROR(VALUE(IF(VLOOKUP($A82,数出表_Excel!$A$6:$T$150,COLUMN()/2+1,FALSE)=0,"",VLOOKUP($A82,数出表_Excel!$A$6:$T$150,COLUMN()/2+1,FALSE))),"")</f>
        <v/>
      </c>
      <c r="Q82" s="63"/>
      <c r="R82" s="149" t="str">
        <f ca="1">IFERROR(VALUE(IF(VLOOKUP($A82,数出表_Excel!$A$6:$T$150,COLUMN()/2+1,FALSE)=0,"",VLOOKUP($A82,数出表_Excel!$A$6:$T$150,COLUMN()/2+1,FALSE))),"")</f>
        <v/>
      </c>
      <c r="S82" s="63"/>
      <c r="T82" s="149" t="str">
        <f ca="1">IFERROR(VALUE(IF(VLOOKUP($A82,数出表_Excel!$A$6:$T$150,COLUMN()/2+1,FALSE)=0,"",VLOOKUP($A82,数出表_Excel!$A$6:$T$150,COLUMN()/2+1,FALSE))),"")</f>
        <v/>
      </c>
      <c r="U82" s="63"/>
      <c r="V82" s="149" t="str">
        <f ca="1">IFERROR(VALUE(IF(VLOOKUP($A82,数出表_Excel!$A$6:$T$150,COLUMN()/2+1,FALSE)=0,"",VLOOKUP($A82,数出表_Excel!$A$6:$T$150,COLUMN()/2+1,FALSE))),"")</f>
        <v/>
      </c>
      <c r="W82" s="63"/>
      <c r="X82" s="149" t="str">
        <f ca="1">IFERROR(VALUE(IF(VLOOKUP($A82,数出表_Excel!$A$6:$T$150,COLUMN()/2+1,FALSE)=0,"",VLOOKUP($A82,数出表_Excel!$A$6:$T$150,COLUMN()/2+1,FALSE))),"")</f>
        <v/>
      </c>
      <c r="Y82" s="63"/>
      <c r="Z82" s="149" t="str">
        <f ca="1">IFERROR(VALUE(IF(VLOOKUP($A82,数出表_Excel!$A$6:$T$150,COLUMN()/2+1,FALSE)=0,"",VLOOKUP($A82,数出表_Excel!$A$6:$T$150,COLUMN()/2+1,FALSE))),"")</f>
        <v/>
      </c>
      <c r="AA82" s="63"/>
      <c r="AB82" s="149" t="str">
        <f ca="1">IFERROR(VALUE(IF(VLOOKUP($A82,数出表_Excel!$A$6:$T$150,COLUMN()/2+1,FALSE)=0,"",VLOOKUP($A82,数出表_Excel!$A$6:$T$150,COLUMN()/2+1,FALSE))),"")</f>
        <v/>
      </c>
      <c r="AC82" s="63"/>
      <c r="AD82" s="149" t="str">
        <f ca="1">IFERROR(VALUE(IF(VLOOKUP($A82,数出表_Excel!$A$6:$T$150,COLUMN()/2+1,FALSE)=0,"",VLOOKUP($A82,数出表_Excel!$A$6:$T$150,COLUMN()/2+1,FALSE))),"")</f>
        <v/>
      </c>
      <c r="AE82" s="63"/>
      <c r="AF82" s="149" t="str">
        <f ca="1">IFERROR(VALUE(IF(VLOOKUP($A82,数出表_Excel!$A$6:$T$150,COLUMN()/2+1,FALSE)=0,"",VLOOKUP($A82,数出表_Excel!$A$6:$T$150,COLUMN()/2+1,FALSE))),"")</f>
        <v/>
      </c>
      <c r="AG82" s="63"/>
      <c r="AH82" s="149" t="str">
        <f ca="1">IFERROR(VALUE(IF(VLOOKUP($A82,数出表_Excel!$A$6:$T$150,COLUMN()/2+1,FALSE)=0,"",VLOOKUP($A82,数出表_Excel!$A$6:$T$150,COLUMN()/2+1,FALSE))),"")</f>
        <v/>
      </c>
      <c r="AI82" s="63"/>
      <c r="AJ82" s="149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 x14ac:dyDescent="0.45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 x14ac:dyDescent="0.45">
      <c r="A84" s="68" t="str">
        <f t="array" aca="1" ref="A84" ca="1">IF(OR(COUNTIF(A82,"*10002*"),COUNTIF(A82,"")),"",
IFERROR(INDEX(貼り付け用!$A$1:$A$200,MATCH(A82,貼り付け用!$A$1:$A$200,0)+2,0),""))</f>
        <v/>
      </c>
      <c r="B84" s="149" t="str">
        <f ca="1">IFERROR(VALUE(IF(VLOOKUP($A84,数出表_Excel!$A$6:$T$150,COLUMN()/2+1,FALSE)=0,"",VLOOKUP($A84,数出表_Excel!$A$6:$T$150,COLUMN()/2+1,FALSE))),"")</f>
        <v/>
      </c>
      <c r="C84" s="63"/>
      <c r="D84" s="149" t="str">
        <f ca="1">IFERROR(VALUE(IF(VLOOKUP($A84,数出表_Excel!$A$6:$T$150,COLUMN()/2+1,FALSE)=0,"",VLOOKUP($A84,数出表_Excel!$A$6:$T$150,COLUMN()/2+1,FALSE))),"")</f>
        <v/>
      </c>
      <c r="E84" s="63"/>
      <c r="F84" s="149" t="str">
        <f ca="1">IFERROR(VALUE(IF(VLOOKUP($A84,数出表_Excel!$A$6:$T$150,COLUMN()/2+1,FALSE)=0,"",VLOOKUP($A84,数出表_Excel!$A$6:$T$150,COLUMN()/2+1,FALSE))),"")</f>
        <v/>
      </c>
      <c r="G84" s="63"/>
      <c r="H84" s="149" t="str">
        <f ca="1">IFERROR(VALUE(IF(VLOOKUP($A84,数出表_Excel!$A$6:$T$150,COLUMN()/2+1,FALSE)=0,"",VLOOKUP($A84,数出表_Excel!$A$6:$T$150,COLUMN()/2+1,FALSE))),"")</f>
        <v/>
      </c>
      <c r="I84" s="63"/>
      <c r="J84" s="149" t="str">
        <f ca="1">IFERROR(VALUE(IF(VLOOKUP($A84,数出表_Excel!$A$6:$T$150,COLUMN()/2+1,FALSE)=0,"",VLOOKUP($A84,数出表_Excel!$A$6:$T$150,COLUMN()/2+1,FALSE))),"")</f>
        <v/>
      </c>
      <c r="K84" s="63"/>
      <c r="L84" s="149" t="str">
        <f ca="1">IFERROR(VALUE(IF(VLOOKUP($A84,数出表_Excel!$A$6:$T$150,COLUMN()/2+1,FALSE)=0,"",VLOOKUP($A84,数出表_Excel!$A$6:$T$150,COLUMN()/2+1,FALSE))),"")</f>
        <v/>
      </c>
      <c r="M84" s="63"/>
      <c r="N84" s="149" t="str">
        <f ca="1">IFERROR(VALUE(IF(VLOOKUP($A84,数出表_Excel!$A$6:$T$150,COLUMN()/2+1,FALSE)=0,"",VLOOKUP($A84,数出表_Excel!$A$6:$T$150,COLUMN()/2+1,FALSE))),"")</f>
        <v/>
      </c>
      <c r="O84" s="63"/>
      <c r="P84" s="149" t="str">
        <f ca="1">IFERROR(VALUE(IF(VLOOKUP($A84,数出表_Excel!$A$6:$T$150,COLUMN()/2+1,FALSE)=0,"",VLOOKUP($A84,数出表_Excel!$A$6:$T$150,COLUMN()/2+1,FALSE))),"")</f>
        <v/>
      </c>
      <c r="Q84" s="63"/>
      <c r="R84" s="149" t="str">
        <f ca="1">IFERROR(VALUE(IF(VLOOKUP($A84,数出表_Excel!$A$6:$T$150,COLUMN()/2+1,FALSE)=0,"",VLOOKUP($A84,数出表_Excel!$A$6:$T$150,COLUMN()/2+1,FALSE))),"")</f>
        <v/>
      </c>
      <c r="S84" s="63"/>
      <c r="T84" s="149" t="str">
        <f ca="1">IFERROR(VALUE(IF(VLOOKUP($A84,数出表_Excel!$A$6:$T$150,COLUMN()/2+1,FALSE)=0,"",VLOOKUP($A84,数出表_Excel!$A$6:$T$150,COLUMN()/2+1,FALSE))),"")</f>
        <v/>
      </c>
      <c r="U84" s="63"/>
      <c r="V84" s="149" t="str">
        <f ca="1">IFERROR(VALUE(IF(VLOOKUP($A84,数出表_Excel!$A$6:$T$150,COLUMN()/2+1,FALSE)=0,"",VLOOKUP($A84,数出表_Excel!$A$6:$T$150,COLUMN()/2+1,FALSE))),"")</f>
        <v/>
      </c>
      <c r="W84" s="63"/>
      <c r="X84" s="149" t="str">
        <f ca="1">IFERROR(VALUE(IF(VLOOKUP($A84,数出表_Excel!$A$6:$T$150,COLUMN()/2+1,FALSE)=0,"",VLOOKUP($A84,数出表_Excel!$A$6:$T$150,COLUMN()/2+1,FALSE))),"")</f>
        <v/>
      </c>
      <c r="Y84" s="63"/>
      <c r="Z84" s="149" t="str">
        <f ca="1">IFERROR(VALUE(IF(VLOOKUP($A84,数出表_Excel!$A$6:$T$150,COLUMN()/2+1,FALSE)=0,"",VLOOKUP($A84,数出表_Excel!$A$6:$T$150,COLUMN()/2+1,FALSE))),"")</f>
        <v/>
      </c>
      <c r="AA84" s="63"/>
      <c r="AB84" s="149" t="str">
        <f ca="1">IFERROR(VALUE(IF(VLOOKUP($A84,数出表_Excel!$A$6:$T$150,COLUMN()/2+1,FALSE)=0,"",VLOOKUP($A84,数出表_Excel!$A$6:$T$150,COLUMN()/2+1,FALSE))),"")</f>
        <v/>
      </c>
      <c r="AC84" s="63"/>
      <c r="AD84" s="149" t="str">
        <f ca="1">IFERROR(VALUE(IF(VLOOKUP($A84,数出表_Excel!$A$6:$T$150,COLUMN()/2+1,FALSE)=0,"",VLOOKUP($A84,数出表_Excel!$A$6:$T$150,COLUMN()/2+1,FALSE))),"")</f>
        <v/>
      </c>
      <c r="AE84" s="63"/>
      <c r="AF84" s="149" t="str">
        <f ca="1">IFERROR(VALUE(IF(VLOOKUP($A84,数出表_Excel!$A$6:$T$150,COLUMN()/2+1,FALSE)=0,"",VLOOKUP($A84,数出表_Excel!$A$6:$T$150,COLUMN()/2+1,FALSE))),"")</f>
        <v/>
      </c>
      <c r="AG84" s="63"/>
      <c r="AH84" s="149" t="str">
        <f ca="1">IFERROR(VALUE(IF(VLOOKUP($A84,数出表_Excel!$A$6:$T$150,COLUMN()/2+1,FALSE)=0,"",VLOOKUP($A84,数出表_Excel!$A$6:$T$150,COLUMN()/2+1,FALSE))),"")</f>
        <v/>
      </c>
      <c r="AI84" s="63"/>
      <c r="AJ84" s="149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 x14ac:dyDescent="0.45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 x14ac:dyDescent="0.45">
      <c r="A86" s="68" t="str">
        <f t="array" aca="1" ref="A86" ca="1">IF(OR(COUNTIF(A84,"*10002*"),COUNTIF(A84,"")),"",
IFERROR(INDEX(貼り付け用!$A$1:$A$200,MATCH(A84,貼り付け用!$A$1:$A$200,0)+2,0),""))</f>
        <v/>
      </c>
      <c r="B86" s="149" t="str">
        <f ca="1">IFERROR(VALUE(IF(VLOOKUP($A86,数出表_Excel!$A$6:$T$150,COLUMN()/2+1,FALSE)=0,"",VLOOKUP($A86,数出表_Excel!$A$6:$T$150,COLUMN()/2+1,FALSE))),"")</f>
        <v/>
      </c>
      <c r="C86" s="63"/>
      <c r="D86" s="149" t="str">
        <f ca="1">IFERROR(VALUE(IF(VLOOKUP($A86,数出表_Excel!$A$6:$T$150,COLUMN()/2+1,FALSE)=0,"",VLOOKUP($A86,数出表_Excel!$A$6:$T$150,COLUMN()/2+1,FALSE))),"")</f>
        <v/>
      </c>
      <c r="E86" s="63"/>
      <c r="F86" s="149" t="str">
        <f ca="1">IFERROR(VALUE(IF(VLOOKUP($A86,数出表_Excel!$A$6:$T$150,COLUMN()/2+1,FALSE)=0,"",VLOOKUP($A86,数出表_Excel!$A$6:$T$150,COLUMN()/2+1,FALSE))),"")</f>
        <v/>
      </c>
      <c r="G86" s="63"/>
      <c r="H86" s="149" t="str">
        <f ca="1">IFERROR(VALUE(IF(VLOOKUP($A86,数出表_Excel!$A$6:$T$150,COLUMN()/2+1,FALSE)=0,"",VLOOKUP($A86,数出表_Excel!$A$6:$T$150,COLUMN()/2+1,FALSE))),"")</f>
        <v/>
      </c>
      <c r="I86" s="63"/>
      <c r="J86" s="149" t="str">
        <f ca="1">IFERROR(VALUE(IF(VLOOKUP($A86,数出表_Excel!$A$6:$T$150,COLUMN()/2+1,FALSE)=0,"",VLOOKUP($A86,数出表_Excel!$A$6:$T$150,COLUMN()/2+1,FALSE))),"")</f>
        <v/>
      </c>
      <c r="K86" s="63"/>
      <c r="L86" s="149" t="str">
        <f ca="1">IFERROR(VALUE(IF(VLOOKUP($A86,数出表_Excel!$A$6:$T$150,COLUMN()/2+1,FALSE)=0,"",VLOOKUP($A86,数出表_Excel!$A$6:$T$150,COLUMN()/2+1,FALSE))),"")</f>
        <v/>
      </c>
      <c r="M86" s="63"/>
      <c r="N86" s="149" t="str">
        <f ca="1">IFERROR(VALUE(IF(VLOOKUP($A86,数出表_Excel!$A$6:$T$150,COLUMN()/2+1,FALSE)=0,"",VLOOKUP($A86,数出表_Excel!$A$6:$T$150,COLUMN()/2+1,FALSE))),"")</f>
        <v/>
      </c>
      <c r="O86" s="63"/>
      <c r="P86" s="149" t="str">
        <f ca="1">IFERROR(VALUE(IF(VLOOKUP($A86,数出表_Excel!$A$6:$T$150,COLUMN()/2+1,FALSE)=0,"",VLOOKUP($A86,数出表_Excel!$A$6:$T$150,COLUMN()/2+1,FALSE))),"")</f>
        <v/>
      </c>
      <c r="Q86" s="63"/>
      <c r="R86" s="149" t="str">
        <f ca="1">IFERROR(VALUE(IF(VLOOKUP($A86,数出表_Excel!$A$6:$T$150,COLUMN()/2+1,FALSE)=0,"",VLOOKUP($A86,数出表_Excel!$A$6:$T$150,COLUMN()/2+1,FALSE))),"")</f>
        <v/>
      </c>
      <c r="S86" s="63"/>
      <c r="T86" s="149" t="str">
        <f ca="1">IFERROR(VALUE(IF(VLOOKUP($A86,数出表_Excel!$A$6:$T$150,COLUMN()/2+1,FALSE)=0,"",VLOOKUP($A86,数出表_Excel!$A$6:$T$150,COLUMN()/2+1,FALSE))),"")</f>
        <v/>
      </c>
      <c r="U86" s="63"/>
      <c r="V86" s="149" t="str">
        <f ca="1">IFERROR(VALUE(IF(VLOOKUP($A86,数出表_Excel!$A$6:$T$150,COLUMN()/2+1,FALSE)=0,"",VLOOKUP($A86,数出表_Excel!$A$6:$T$150,COLUMN()/2+1,FALSE))),"")</f>
        <v/>
      </c>
      <c r="W86" s="63"/>
      <c r="X86" s="149" t="str">
        <f ca="1">IFERROR(VALUE(IF(VLOOKUP($A86,数出表_Excel!$A$6:$T$150,COLUMN()/2+1,FALSE)=0,"",VLOOKUP($A86,数出表_Excel!$A$6:$T$150,COLUMN()/2+1,FALSE))),"")</f>
        <v/>
      </c>
      <c r="Y86" s="63"/>
      <c r="Z86" s="149" t="str">
        <f ca="1">IFERROR(VALUE(IF(VLOOKUP($A86,数出表_Excel!$A$6:$T$150,COLUMN()/2+1,FALSE)=0,"",VLOOKUP($A86,数出表_Excel!$A$6:$T$150,COLUMN()/2+1,FALSE))),"")</f>
        <v/>
      </c>
      <c r="AA86" s="63"/>
      <c r="AB86" s="149" t="str">
        <f ca="1">IFERROR(VALUE(IF(VLOOKUP($A86,数出表_Excel!$A$6:$T$150,COLUMN()/2+1,FALSE)=0,"",VLOOKUP($A86,数出表_Excel!$A$6:$T$150,COLUMN()/2+1,FALSE))),"")</f>
        <v/>
      </c>
      <c r="AC86" s="63"/>
      <c r="AD86" s="149" t="str">
        <f ca="1">IFERROR(VALUE(IF(VLOOKUP($A86,数出表_Excel!$A$6:$T$150,COLUMN()/2+1,FALSE)=0,"",VLOOKUP($A86,数出表_Excel!$A$6:$T$150,COLUMN()/2+1,FALSE))),"")</f>
        <v/>
      </c>
      <c r="AE86" s="63"/>
      <c r="AF86" s="149" t="str">
        <f ca="1">IFERROR(VALUE(IF(VLOOKUP($A86,数出表_Excel!$A$6:$T$150,COLUMN()/2+1,FALSE)=0,"",VLOOKUP($A86,数出表_Excel!$A$6:$T$150,COLUMN()/2+1,FALSE))),"")</f>
        <v/>
      </c>
      <c r="AG86" s="63"/>
      <c r="AH86" s="149" t="str">
        <f ca="1">IFERROR(VALUE(IF(VLOOKUP($A86,数出表_Excel!$A$6:$T$150,COLUMN()/2+1,FALSE)=0,"",VLOOKUP($A86,数出表_Excel!$A$6:$T$150,COLUMN()/2+1,FALSE))),"")</f>
        <v/>
      </c>
      <c r="AI86" s="63"/>
      <c r="AJ86" s="149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 x14ac:dyDescent="0.45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 x14ac:dyDescent="0.45">
      <c r="A88" s="68" t="str">
        <f t="array" aca="1" ref="A88" ca="1">IF(OR(COUNTIF(A86,"*10002*"),COUNTIF(A86,"")),"",
IFERROR(INDEX(貼り付け用!$A$1:$A$200,MATCH(A86,貼り付け用!$A$1:$A$200,0)+2,0),""))</f>
        <v/>
      </c>
      <c r="B88" s="149" t="str">
        <f ca="1">IFERROR(VALUE(IF(VLOOKUP($A88,数出表_Excel!$A$6:$T$150,COLUMN()/2+1,FALSE)=0,"",VLOOKUP($A88,数出表_Excel!$A$6:$T$150,COLUMN()/2+1,FALSE))),"")</f>
        <v/>
      </c>
      <c r="C88" s="63"/>
      <c r="D88" s="149" t="str">
        <f ca="1">IFERROR(VALUE(IF(VLOOKUP($A88,数出表_Excel!$A$6:$T$150,COLUMN()/2+1,FALSE)=0,"",VLOOKUP($A88,数出表_Excel!$A$6:$T$150,COLUMN()/2+1,FALSE))),"")</f>
        <v/>
      </c>
      <c r="E88" s="63"/>
      <c r="F88" s="149" t="str">
        <f ca="1">IFERROR(VALUE(IF(VLOOKUP($A88,数出表_Excel!$A$6:$T$150,COLUMN()/2+1,FALSE)=0,"",VLOOKUP($A88,数出表_Excel!$A$6:$T$150,COLUMN()/2+1,FALSE))),"")</f>
        <v/>
      </c>
      <c r="G88" s="63"/>
      <c r="H88" s="149" t="str">
        <f ca="1">IFERROR(VALUE(IF(VLOOKUP($A88,数出表_Excel!$A$6:$T$150,COLUMN()/2+1,FALSE)=0,"",VLOOKUP($A88,数出表_Excel!$A$6:$T$150,COLUMN()/2+1,FALSE))),"")</f>
        <v/>
      </c>
      <c r="I88" s="63"/>
      <c r="J88" s="149" t="str">
        <f ca="1">IFERROR(VALUE(IF(VLOOKUP($A88,数出表_Excel!$A$6:$T$150,COLUMN()/2+1,FALSE)=0,"",VLOOKUP($A88,数出表_Excel!$A$6:$T$150,COLUMN()/2+1,FALSE))),"")</f>
        <v/>
      </c>
      <c r="K88" s="63"/>
      <c r="L88" s="149" t="str">
        <f ca="1">IFERROR(VALUE(IF(VLOOKUP($A88,数出表_Excel!$A$6:$T$150,COLUMN()/2+1,FALSE)=0,"",VLOOKUP($A88,数出表_Excel!$A$6:$T$150,COLUMN()/2+1,FALSE))),"")</f>
        <v/>
      </c>
      <c r="M88" s="63"/>
      <c r="N88" s="149" t="str">
        <f ca="1">IFERROR(VALUE(IF(VLOOKUP($A88,数出表_Excel!$A$6:$T$150,COLUMN()/2+1,FALSE)=0,"",VLOOKUP($A88,数出表_Excel!$A$6:$T$150,COLUMN()/2+1,FALSE))),"")</f>
        <v/>
      </c>
      <c r="O88" s="63"/>
      <c r="P88" s="149" t="str">
        <f ca="1">IFERROR(VALUE(IF(VLOOKUP($A88,数出表_Excel!$A$6:$T$150,COLUMN()/2+1,FALSE)=0,"",VLOOKUP($A88,数出表_Excel!$A$6:$T$150,COLUMN()/2+1,FALSE))),"")</f>
        <v/>
      </c>
      <c r="Q88" s="63"/>
      <c r="R88" s="149" t="str">
        <f ca="1">IFERROR(VALUE(IF(VLOOKUP($A88,数出表_Excel!$A$6:$T$150,COLUMN()/2+1,FALSE)=0,"",VLOOKUP($A88,数出表_Excel!$A$6:$T$150,COLUMN()/2+1,FALSE))),"")</f>
        <v/>
      </c>
      <c r="S88" s="63"/>
      <c r="T88" s="149" t="str">
        <f ca="1">IFERROR(VALUE(IF(VLOOKUP($A88,数出表_Excel!$A$6:$T$150,COLUMN()/2+1,FALSE)=0,"",VLOOKUP($A88,数出表_Excel!$A$6:$T$150,COLUMN()/2+1,FALSE))),"")</f>
        <v/>
      </c>
      <c r="U88" s="63"/>
      <c r="V88" s="149" t="str">
        <f ca="1">IFERROR(VALUE(IF(VLOOKUP($A88,数出表_Excel!$A$6:$T$150,COLUMN()/2+1,FALSE)=0,"",VLOOKUP($A88,数出表_Excel!$A$6:$T$150,COLUMN()/2+1,FALSE))),"")</f>
        <v/>
      </c>
      <c r="W88" s="63"/>
      <c r="X88" s="149" t="str">
        <f ca="1">IFERROR(VALUE(IF(VLOOKUP($A88,数出表_Excel!$A$6:$T$150,COLUMN()/2+1,FALSE)=0,"",VLOOKUP($A88,数出表_Excel!$A$6:$T$150,COLUMN()/2+1,FALSE))),"")</f>
        <v/>
      </c>
      <c r="Y88" s="63"/>
      <c r="Z88" s="149" t="str">
        <f ca="1">IFERROR(VALUE(IF(VLOOKUP($A88,数出表_Excel!$A$6:$T$150,COLUMN()/2+1,FALSE)=0,"",VLOOKUP($A88,数出表_Excel!$A$6:$T$150,COLUMN()/2+1,FALSE))),"")</f>
        <v/>
      </c>
      <c r="AA88" s="63"/>
      <c r="AB88" s="149" t="str">
        <f ca="1">IFERROR(VALUE(IF(VLOOKUP($A88,数出表_Excel!$A$6:$T$150,COLUMN()/2+1,FALSE)=0,"",VLOOKUP($A88,数出表_Excel!$A$6:$T$150,COLUMN()/2+1,FALSE))),"")</f>
        <v/>
      </c>
      <c r="AC88" s="63"/>
      <c r="AD88" s="149" t="str">
        <f ca="1">IFERROR(VALUE(IF(VLOOKUP($A88,数出表_Excel!$A$6:$T$150,COLUMN()/2+1,FALSE)=0,"",VLOOKUP($A88,数出表_Excel!$A$6:$T$150,COLUMN()/2+1,FALSE))),"")</f>
        <v/>
      </c>
      <c r="AE88" s="63"/>
      <c r="AF88" s="149" t="str">
        <f ca="1">IFERROR(VALUE(IF(VLOOKUP($A88,数出表_Excel!$A$6:$T$150,COLUMN()/2+1,FALSE)=0,"",VLOOKUP($A88,数出表_Excel!$A$6:$T$150,COLUMN()/2+1,FALSE))),"")</f>
        <v/>
      </c>
      <c r="AG88" s="63"/>
      <c r="AH88" s="149" t="str">
        <f ca="1">IFERROR(VALUE(IF(VLOOKUP($A88,数出表_Excel!$A$6:$T$150,COLUMN()/2+1,FALSE)=0,"",VLOOKUP($A88,数出表_Excel!$A$6:$T$150,COLUMN()/2+1,FALSE))),"")</f>
        <v/>
      </c>
      <c r="AI88" s="63"/>
      <c r="AJ88" s="149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 x14ac:dyDescent="0.45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 x14ac:dyDescent="0.45">
      <c r="A90" s="68" t="str">
        <f t="array" aca="1" ref="A90" ca="1">IF(OR(COUNTIF(A88,"*10002*"),COUNTIF(A88,"")),"",
IFERROR(INDEX(貼り付け用!$A$1:$A$200,MATCH(A88,貼り付け用!$A$1:$A$200,0)+2,0),""))</f>
        <v/>
      </c>
      <c r="B90" s="149" t="str">
        <f ca="1">IFERROR(VALUE(IF(VLOOKUP($A90,数出表_Excel!$A$6:$T$150,COLUMN()/2+1,FALSE)=0,"",VLOOKUP($A90,数出表_Excel!$A$6:$T$150,COLUMN()/2+1,FALSE))),"")</f>
        <v/>
      </c>
      <c r="C90" s="63"/>
      <c r="D90" s="149" t="str">
        <f ca="1">IFERROR(VALUE(IF(VLOOKUP($A90,数出表_Excel!$A$6:$T$150,COLUMN()/2+1,FALSE)=0,"",VLOOKUP($A90,数出表_Excel!$A$6:$T$150,COLUMN()/2+1,FALSE))),"")</f>
        <v/>
      </c>
      <c r="E90" s="63"/>
      <c r="F90" s="149" t="str">
        <f ca="1">IFERROR(VALUE(IF(VLOOKUP($A90,数出表_Excel!$A$6:$T$150,COLUMN()/2+1,FALSE)=0,"",VLOOKUP($A90,数出表_Excel!$A$6:$T$150,COLUMN()/2+1,FALSE))),"")</f>
        <v/>
      </c>
      <c r="G90" s="63"/>
      <c r="H90" s="149" t="str">
        <f ca="1">IFERROR(VALUE(IF(VLOOKUP($A90,数出表_Excel!$A$6:$T$150,COLUMN()/2+1,FALSE)=0,"",VLOOKUP($A90,数出表_Excel!$A$6:$T$150,COLUMN()/2+1,FALSE))),"")</f>
        <v/>
      </c>
      <c r="I90" s="63"/>
      <c r="J90" s="149" t="str">
        <f ca="1">IFERROR(VALUE(IF(VLOOKUP($A90,数出表_Excel!$A$6:$T$150,COLUMN()/2+1,FALSE)=0,"",VLOOKUP($A90,数出表_Excel!$A$6:$T$150,COLUMN()/2+1,FALSE))),"")</f>
        <v/>
      </c>
      <c r="K90" s="63"/>
      <c r="L90" s="149" t="str">
        <f ca="1">IFERROR(VALUE(IF(VLOOKUP($A90,数出表_Excel!$A$6:$T$150,COLUMN()/2+1,FALSE)=0,"",VLOOKUP($A90,数出表_Excel!$A$6:$T$150,COLUMN()/2+1,FALSE))),"")</f>
        <v/>
      </c>
      <c r="M90" s="63"/>
      <c r="N90" s="149" t="str">
        <f ca="1">IFERROR(VALUE(IF(VLOOKUP($A90,数出表_Excel!$A$6:$T$150,COLUMN()/2+1,FALSE)=0,"",VLOOKUP($A90,数出表_Excel!$A$6:$T$150,COLUMN()/2+1,FALSE))),"")</f>
        <v/>
      </c>
      <c r="O90" s="63"/>
      <c r="P90" s="149" t="str">
        <f ca="1">IFERROR(VALUE(IF(VLOOKUP($A90,数出表_Excel!$A$6:$T$150,COLUMN()/2+1,FALSE)=0,"",VLOOKUP($A90,数出表_Excel!$A$6:$T$150,COLUMN()/2+1,FALSE))),"")</f>
        <v/>
      </c>
      <c r="Q90" s="63"/>
      <c r="R90" s="149" t="str">
        <f ca="1">IFERROR(VALUE(IF(VLOOKUP($A90,数出表_Excel!$A$6:$T$150,COLUMN()/2+1,FALSE)=0,"",VLOOKUP($A90,数出表_Excel!$A$6:$T$150,COLUMN()/2+1,FALSE))),"")</f>
        <v/>
      </c>
      <c r="S90" s="63"/>
      <c r="T90" s="149" t="str">
        <f ca="1">IFERROR(VALUE(IF(VLOOKUP($A90,数出表_Excel!$A$6:$T$150,COLUMN()/2+1,FALSE)=0,"",VLOOKUP($A90,数出表_Excel!$A$6:$T$150,COLUMN()/2+1,FALSE))),"")</f>
        <v/>
      </c>
      <c r="U90" s="63"/>
      <c r="V90" s="149" t="str">
        <f ca="1">IFERROR(VALUE(IF(VLOOKUP($A90,数出表_Excel!$A$6:$T$150,COLUMN()/2+1,FALSE)=0,"",VLOOKUP($A90,数出表_Excel!$A$6:$T$150,COLUMN()/2+1,FALSE))),"")</f>
        <v/>
      </c>
      <c r="W90" s="63"/>
      <c r="X90" s="149" t="str">
        <f ca="1">IFERROR(VALUE(IF(VLOOKUP($A90,数出表_Excel!$A$6:$T$150,COLUMN()/2+1,FALSE)=0,"",VLOOKUP($A90,数出表_Excel!$A$6:$T$150,COLUMN()/2+1,FALSE))),"")</f>
        <v/>
      </c>
      <c r="Y90" s="63"/>
      <c r="Z90" s="149" t="str">
        <f ca="1">IFERROR(VALUE(IF(VLOOKUP($A90,数出表_Excel!$A$6:$T$150,COLUMN()/2+1,FALSE)=0,"",VLOOKUP($A90,数出表_Excel!$A$6:$T$150,COLUMN()/2+1,FALSE))),"")</f>
        <v/>
      </c>
      <c r="AA90" s="63"/>
      <c r="AB90" s="149" t="str">
        <f ca="1">IFERROR(VALUE(IF(VLOOKUP($A90,数出表_Excel!$A$6:$T$150,COLUMN()/2+1,FALSE)=0,"",VLOOKUP($A90,数出表_Excel!$A$6:$T$150,COLUMN()/2+1,FALSE))),"")</f>
        <v/>
      </c>
      <c r="AC90" s="63"/>
      <c r="AD90" s="149" t="str">
        <f ca="1">IFERROR(VALUE(IF(VLOOKUP($A90,数出表_Excel!$A$6:$T$150,COLUMN()/2+1,FALSE)=0,"",VLOOKUP($A90,数出表_Excel!$A$6:$T$150,COLUMN()/2+1,FALSE))),"")</f>
        <v/>
      </c>
      <c r="AE90" s="63"/>
      <c r="AF90" s="149" t="str">
        <f ca="1">IFERROR(VALUE(IF(VLOOKUP($A90,数出表_Excel!$A$6:$T$150,COLUMN()/2+1,FALSE)=0,"",VLOOKUP($A90,数出表_Excel!$A$6:$T$150,COLUMN()/2+1,FALSE))),"")</f>
        <v/>
      </c>
      <c r="AG90" s="63"/>
      <c r="AH90" s="149" t="str">
        <f ca="1">IFERROR(VALUE(IF(VLOOKUP($A90,数出表_Excel!$A$6:$T$150,COLUMN()/2+1,FALSE)=0,"",VLOOKUP($A90,数出表_Excel!$A$6:$T$150,COLUMN()/2+1,FALSE))),"")</f>
        <v/>
      </c>
      <c r="AI90" s="63"/>
      <c r="AJ90" s="149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 x14ac:dyDescent="0.45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 x14ac:dyDescent="0.45">
      <c r="A92" s="68" t="str">
        <f t="array" aca="1" ref="A92" ca="1">IF(OR(COUNTIF(A90,"*10002*"),COUNTIF(A90,"")),"",
IFERROR(INDEX(貼り付け用!$A$1:$A$200,MATCH(A90,貼り付け用!$A$1:$A$200,0)+2,0),""))</f>
        <v/>
      </c>
      <c r="B92" s="149" t="str">
        <f ca="1">IFERROR(VALUE(IF(VLOOKUP($A92,数出表_Excel!$A$6:$T$150,COLUMN()/2+1,FALSE)=0,"",VLOOKUP($A92,数出表_Excel!$A$6:$T$150,COLUMN()/2+1,FALSE))),"")</f>
        <v/>
      </c>
      <c r="C92" s="63"/>
      <c r="D92" s="149" t="str">
        <f ca="1">IFERROR(VALUE(IF(VLOOKUP($A92,数出表_Excel!$A$6:$T$150,COLUMN()/2+1,FALSE)=0,"",VLOOKUP($A92,数出表_Excel!$A$6:$T$150,COLUMN()/2+1,FALSE))),"")</f>
        <v/>
      </c>
      <c r="E92" s="63"/>
      <c r="F92" s="149" t="str">
        <f ca="1">IFERROR(VALUE(IF(VLOOKUP($A92,数出表_Excel!$A$6:$T$150,COLUMN()/2+1,FALSE)=0,"",VLOOKUP($A92,数出表_Excel!$A$6:$T$150,COLUMN()/2+1,FALSE))),"")</f>
        <v/>
      </c>
      <c r="G92" s="63"/>
      <c r="H92" s="149" t="str">
        <f ca="1">IFERROR(VALUE(IF(VLOOKUP($A92,数出表_Excel!$A$6:$T$150,COLUMN()/2+1,FALSE)=0,"",VLOOKUP($A92,数出表_Excel!$A$6:$T$150,COLUMN()/2+1,FALSE))),"")</f>
        <v/>
      </c>
      <c r="I92" s="63"/>
      <c r="J92" s="149" t="str">
        <f ca="1">IFERROR(VALUE(IF(VLOOKUP($A92,数出表_Excel!$A$6:$T$150,COLUMN()/2+1,FALSE)=0,"",VLOOKUP($A92,数出表_Excel!$A$6:$T$150,COLUMN()/2+1,FALSE))),"")</f>
        <v/>
      </c>
      <c r="K92" s="63"/>
      <c r="L92" s="149" t="str">
        <f ca="1">IFERROR(VALUE(IF(VLOOKUP($A92,数出表_Excel!$A$6:$T$150,COLUMN()/2+1,FALSE)=0,"",VLOOKUP($A92,数出表_Excel!$A$6:$T$150,COLUMN()/2+1,FALSE))),"")</f>
        <v/>
      </c>
      <c r="M92" s="63"/>
      <c r="N92" s="149" t="str">
        <f ca="1">IFERROR(VALUE(IF(VLOOKUP($A92,数出表_Excel!$A$6:$T$150,COLUMN()/2+1,FALSE)=0,"",VLOOKUP($A92,数出表_Excel!$A$6:$T$150,COLUMN()/2+1,FALSE))),"")</f>
        <v/>
      </c>
      <c r="O92" s="63"/>
      <c r="P92" s="149" t="str">
        <f ca="1">IFERROR(VALUE(IF(VLOOKUP($A92,数出表_Excel!$A$6:$T$150,COLUMN()/2+1,FALSE)=0,"",VLOOKUP($A92,数出表_Excel!$A$6:$T$150,COLUMN()/2+1,FALSE))),"")</f>
        <v/>
      </c>
      <c r="Q92" s="63"/>
      <c r="R92" s="149" t="str">
        <f ca="1">IFERROR(VALUE(IF(VLOOKUP($A92,数出表_Excel!$A$6:$T$150,COLUMN()/2+1,FALSE)=0,"",VLOOKUP($A92,数出表_Excel!$A$6:$T$150,COLUMN()/2+1,FALSE))),"")</f>
        <v/>
      </c>
      <c r="S92" s="63"/>
      <c r="T92" s="149" t="str">
        <f ca="1">IFERROR(VALUE(IF(VLOOKUP($A92,数出表_Excel!$A$6:$T$150,COLUMN()/2+1,FALSE)=0,"",VLOOKUP($A92,数出表_Excel!$A$6:$T$150,COLUMN()/2+1,FALSE))),"")</f>
        <v/>
      </c>
      <c r="U92" s="63"/>
      <c r="V92" s="149" t="str">
        <f ca="1">IFERROR(VALUE(IF(VLOOKUP($A92,数出表_Excel!$A$6:$T$150,COLUMN()/2+1,FALSE)=0,"",VLOOKUP($A92,数出表_Excel!$A$6:$T$150,COLUMN()/2+1,FALSE))),"")</f>
        <v/>
      </c>
      <c r="W92" s="63"/>
      <c r="X92" s="149" t="str">
        <f ca="1">IFERROR(VALUE(IF(VLOOKUP($A92,数出表_Excel!$A$6:$T$150,COLUMN()/2+1,FALSE)=0,"",VLOOKUP($A92,数出表_Excel!$A$6:$T$150,COLUMN()/2+1,FALSE))),"")</f>
        <v/>
      </c>
      <c r="Y92" s="63"/>
      <c r="Z92" s="149" t="str">
        <f ca="1">IFERROR(VALUE(IF(VLOOKUP($A92,数出表_Excel!$A$6:$T$150,COLUMN()/2+1,FALSE)=0,"",VLOOKUP($A92,数出表_Excel!$A$6:$T$150,COLUMN()/2+1,FALSE))),"")</f>
        <v/>
      </c>
      <c r="AA92" s="63"/>
      <c r="AB92" s="149" t="str">
        <f ca="1">IFERROR(VALUE(IF(VLOOKUP($A92,数出表_Excel!$A$6:$T$150,COLUMN()/2+1,FALSE)=0,"",VLOOKUP($A92,数出表_Excel!$A$6:$T$150,COLUMN()/2+1,FALSE))),"")</f>
        <v/>
      </c>
      <c r="AC92" s="63"/>
      <c r="AD92" s="149" t="str">
        <f ca="1">IFERROR(VALUE(IF(VLOOKUP($A92,数出表_Excel!$A$6:$T$150,COLUMN()/2+1,FALSE)=0,"",VLOOKUP($A92,数出表_Excel!$A$6:$T$150,COLUMN()/2+1,FALSE))),"")</f>
        <v/>
      </c>
      <c r="AE92" s="63"/>
      <c r="AF92" s="149" t="str">
        <f ca="1">IFERROR(VALUE(IF(VLOOKUP($A92,数出表_Excel!$A$6:$T$150,COLUMN()/2+1,FALSE)=0,"",VLOOKUP($A92,数出表_Excel!$A$6:$T$150,COLUMN()/2+1,FALSE))),"")</f>
        <v/>
      </c>
      <c r="AG92" s="63"/>
      <c r="AH92" s="149" t="str">
        <f ca="1">IFERROR(VALUE(IF(VLOOKUP($A92,数出表_Excel!$A$6:$T$150,COLUMN()/2+1,FALSE)=0,"",VLOOKUP($A92,数出表_Excel!$A$6:$T$150,COLUMN()/2+1,FALSE))),"")</f>
        <v/>
      </c>
      <c r="AI92" s="63"/>
      <c r="AJ92" s="149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 x14ac:dyDescent="0.45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 x14ac:dyDescent="0.45">
      <c r="A94" s="68" t="str">
        <f t="array" aca="1" ref="A94" ca="1">IF(OR(COUNTIF(A92,"*10002*"),COUNTIF(A92,"")),"",
IFERROR(INDEX(貼り付け用!$A$1:$A$200,MATCH(A92,貼り付け用!$A$1:$A$200,0)+2,0),""))</f>
        <v/>
      </c>
      <c r="B94" s="149" t="str">
        <f ca="1">IFERROR(VALUE(IF(VLOOKUP($A94,数出表_Excel!$A$6:$T$150,COLUMN()/2+1,FALSE)=0,"",VLOOKUP($A94,数出表_Excel!$A$6:$T$150,COLUMN()/2+1,FALSE))),"")</f>
        <v/>
      </c>
      <c r="C94" s="63"/>
      <c r="D94" s="149" t="str">
        <f ca="1">IFERROR(VALUE(IF(VLOOKUP($A94,数出表_Excel!$A$6:$T$150,COLUMN()/2+1,FALSE)=0,"",VLOOKUP($A94,数出表_Excel!$A$6:$T$150,COLUMN()/2+1,FALSE))),"")</f>
        <v/>
      </c>
      <c r="E94" s="63"/>
      <c r="F94" s="149" t="str">
        <f ca="1">IFERROR(VALUE(IF(VLOOKUP($A94,数出表_Excel!$A$6:$T$150,COLUMN()/2+1,FALSE)=0,"",VLOOKUP($A94,数出表_Excel!$A$6:$T$150,COLUMN()/2+1,FALSE))),"")</f>
        <v/>
      </c>
      <c r="G94" s="63"/>
      <c r="H94" s="149" t="str">
        <f ca="1">IFERROR(VALUE(IF(VLOOKUP($A94,数出表_Excel!$A$6:$T$150,COLUMN()/2+1,FALSE)=0,"",VLOOKUP($A94,数出表_Excel!$A$6:$T$150,COLUMN()/2+1,FALSE))),"")</f>
        <v/>
      </c>
      <c r="I94" s="63"/>
      <c r="J94" s="149" t="str">
        <f ca="1">IFERROR(VALUE(IF(VLOOKUP($A94,数出表_Excel!$A$6:$T$150,COLUMN()/2+1,FALSE)=0,"",VLOOKUP($A94,数出表_Excel!$A$6:$T$150,COLUMN()/2+1,FALSE))),"")</f>
        <v/>
      </c>
      <c r="K94" s="63"/>
      <c r="L94" s="149" t="str">
        <f ca="1">IFERROR(VALUE(IF(VLOOKUP($A94,数出表_Excel!$A$6:$T$150,COLUMN()/2+1,FALSE)=0,"",VLOOKUP($A94,数出表_Excel!$A$6:$T$150,COLUMN()/2+1,FALSE))),"")</f>
        <v/>
      </c>
      <c r="M94" s="63"/>
      <c r="N94" s="149" t="str">
        <f ca="1">IFERROR(VALUE(IF(VLOOKUP($A94,数出表_Excel!$A$6:$T$150,COLUMN()/2+1,FALSE)=0,"",VLOOKUP($A94,数出表_Excel!$A$6:$T$150,COLUMN()/2+1,FALSE))),"")</f>
        <v/>
      </c>
      <c r="O94" s="63"/>
      <c r="P94" s="149" t="str">
        <f ca="1">IFERROR(VALUE(IF(VLOOKUP($A94,数出表_Excel!$A$6:$T$150,COLUMN()/2+1,FALSE)=0,"",VLOOKUP($A94,数出表_Excel!$A$6:$T$150,COLUMN()/2+1,FALSE))),"")</f>
        <v/>
      </c>
      <c r="Q94" s="63"/>
      <c r="R94" s="149" t="str">
        <f ca="1">IFERROR(VALUE(IF(VLOOKUP($A94,数出表_Excel!$A$6:$T$150,COLUMN()/2+1,FALSE)=0,"",VLOOKUP($A94,数出表_Excel!$A$6:$T$150,COLUMN()/2+1,FALSE))),"")</f>
        <v/>
      </c>
      <c r="S94" s="63"/>
      <c r="T94" s="149" t="str">
        <f ca="1">IFERROR(VALUE(IF(VLOOKUP($A94,数出表_Excel!$A$6:$T$150,COLUMN()/2+1,FALSE)=0,"",VLOOKUP($A94,数出表_Excel!$A$6:$T$150,COLUMN()/2+1,FALSE))),"")</f>
        <v/>
      </c>
      <c r="U94" s="63"/>
      <c r="V94" s="149" t="str">
        <f ca="1">IFERROR(VALUE(IF(VLOOKUP($A94,数出表_Excel!$A$6:$T$150,COLUMN()/2+1,FALSE)=0,"",VLOOKUP($A94,数出表_Excel!$A$6:$T$150,COLUMN()/2+1,FALSE))),"")</f>
        <v/>
      </c>
      <c r="W94" s="63"/>
      <c r="X94" s="149" t="str">
        <f ca="1">IFERROR(VALUE(IF(VLOOKUP($A94,数出表_Excel!$A$6:$T$150,COLUMN()/2+1,FALSE)=0,"",VLOOKUP($A94,数出表_Excel!$A$6:$T$150,COLUMN()/2+1,FALSE))),"")</f>
        <v/>
      </c>
      <c r="Y94" s="63"/>
      <c r="Z94" s="149" t="str">
        <f ca="1">IFERROR(VALUE(IF(VLOOKUP($A94,数出表_Excel!$A$6:$T$150,COLUMN()/2+1,FALSE)=0,"",VLOOKUP($A94,数出表_Excel!$A$6:$T$150,COLUMN()/2+1,FALSE))),"")</f>
        <v/>
      </c>
      <c r="AA94" s="63"/>
      <c r="AB94" s="149" t="str">
        <f ca="1">IFERROR(VALUE(IF(VLOOKUP($A94,数出表_Excel!$A$6:$T$150,COLUMN()/2+1,FALSE)=0,"",VLOOKUP($A94,数出表_Excel!$A$6:$T$150,COLUMN()/2+1,FALSE))),"")</f>
        <v/>
      </c>
      <c r="AC94" s="63"/>
      <c r="AD94" s="149" t="str">
        <f ca="1">IFERROR(VALUE(IF(VLOOKUP($A94,数出表_Excel!$A$6:$T$150,COLUMN()/2+1,FALSE)=0,"",VLOOKUP($A94,数出表_Excel!$A$6:$T$150,COLUMN()/2+1,FALSE))),"")</f>
        <v/>
      </c>
      <c r="AE94" s="63"/>
      <c r="AF94" s="149" t="str">
        <f ca="1">IFERROR(VALUE(IF(VLOOKUP($A94,数出表_Excel!$A$6:$T$150,COLUMN()/2+1,FALSE)=0,"",VLOOKUP($A94,数出表_Excel!$A$6:$T$150,COLUMN()/2+1,FALSE))),"")</f>
        <v/>
      </c>
      <c r="AG94" s="63"/>
      <c r="AH94" s="149" t="str">
        <f ca="1">IFERROR(VALUE(IF(VLOOKUP($A94,数出表_Excel!$A$6:$T$150,COLUMN()/2+1,FALSE)=0,"",VLOOKUP($A94,数出表_Excel!$A$6:$T$150,COLUMN()/2+1,FALSE))),"")</f>
        <v/>
      </c>
      <c r="AI94" s="63"/>
      <c r="AJ94" s="149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 x14ac:dyDescent="0.45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 x14ac:dyDescent="0.45">
      <c r="A96" s="68" t="str">
        <f t="array" aca="1" ref="A96" ca="1">IF(OR(COUNTIF(A94,"*10002*"),COUNTIF(A94,"")),"",
IFERROR(INDEX(貼り付け用!$A$1:$A$200,MATCH(A94,貼り付け用!$A$1:$A$200,0)+2,0),""))</f>
        <v/>
      </c>
      <c r="B96" s="149" t="str">
        <f ca="1">IFERROR(VALUE(IF(VLOOKUP($A96,数出表_Excel!$A$6:$T$150,COLUMN()/2+1,FALSE)=0,"",VLOOKUP($A96,数出表_Excel!$A$6:$T$150,COLUMN()/2+1,FALSE))),"")</f>
        <v/>
      </c>
      <c r="C96" s="63"/>
      <c r="D96" s="149" t="str">
        <f ca="1">IFERROR(VALUE(IF(VLOOKUP($A96,数出表_Excel!$A$6:$T$150,COLUMN()/2+1,FALSE)=0,"",VLOOKUP($A96,数出表_Excel!$A$6:$T$150,COLUMN()/2+1,FALSE))),"")</f>
        <v/>
      </c>
      <c r="E96" s="63"/>
      <c r="F96" s="149" t="str">
        <f ca="1">IFERROR(VALUE(IF(VLOOKUP($A96,数出表_Excel!$A$6:$T$150,COLUMN()/2+1,FALSE)=0,"",VLOOKUP($A96,数出表_Excel!$A$6:$T$150,COLUMN()/2+1,FALSE))),"")</f>
        <v/>
      </c>
      <c r="G96" s="63"/>
      <c r="H96" s="149" t="str">
        <f ca="1">IFERROR(VALUE(IF(VLOOKUP($A96,数出表_Excel!$A$6:$T$150,COLUMN()/2+1,FALSE)=0,"",VLOOKUP($A96,数出表_Excel!$A$6:$T$150,COLUMN()/2+1,FALSE))),"")</f>
        <v/>
      </c>
      <c r="I96" s="63"/>
      <c r="J96" s="149" t="str">
        <f ca="1">IFERROR(VALUE(IF(VLOOKUP($A96,数出表_Excel!$A$6:$T$150,COLUMN()/2+1,FALSE)=0,"",VLOOKUP($A96,数出表_Excel!$A$6:$T$150,COLUMN()/2+1,FALSE))),"")</f>
        <v/>
      </c>
      <c r="K96" s="63"/>
      <c r="L96" s="149" t="str">
        <f ca="1">IFERROR(VALUE(IF(VLOOKUP($A96,数出表_Excel!$A$6:$T$150,COLUMN()/2+1,FALSE)=0,"",VLOOKUP($A96,数出表_Excel!$A$6:$T$150,COLUMN()/2+1,FALSE))),"")</f>
        <v/>
      </c>
      <c r="M96" s="63"/>
      <c r="N96" s="149" t="str">
        <f ca="1">IFERROR(VALUE(IF(VLOOKUP($A96,数出表_Excel!$A$6:$T$150,COLUMN()/2+1,FALSE)=0,"",VLOOKUP($A96,数出表_Excel!$A$6:$T$150,COLUMN()/2+1,FALSE))),"")</f>
        <v/>
      </c>
      <c r="O96" s="63"/>
      <c r="P96" s="149" t="str">
        <f ca="1">IFERROR(VALUE(IF(VLOOKUP($A96,数出表_Excel!$A$6:$T$150,COLUMN()/2+1,FALSE)=0,"",VLOOKUP($A96,数出表_Excel!$A$6:$T$150,COLUMN()/2+1,FALSE))),"")</f>
        <v/>
      </c>
      <c r="Q96" s="63"/>
      <c r="R96" s="149" t="str">
        <f ca="1">IFERROR(VALUE(IF(VLOOKUP($A96,数出表_Excel!$A$6:$T$150,COLUMN()/2+1,FALSE)=0,"",VLOOKUP($A96,数出表_Excel!$A$6:$T$150,COLUMN()/2+1,FALSE))),"")</f>
        <v/>
      </c>
      <c r="S96" s="63"/>
      <c r="T96" s="149" t="str">
        <f ca="1">IFERROR(VALUE(IF(VLOOKUP($A96,数出表_Excel!$A$6:$T$150,COLUMN()/2+1,FALSE)=0,"",VLOOKUP($A96,数出表_Excel!$A$6:$T$150,COLUMN()/2+1,FALSE))),"")</f>
        <v/>
      </c>
      <c r="U96" s="63"/>
      <c r="V96" s="149" t="str">
        <f ca="1">IFERROR(VALUE(IF(VLOOKUP($A96,数出表_Excel!$A$6:$T$150,COLUMN()/2+1,FALSE)=0,"",VLOOKUP($A96,数出表_Excel!$A$6:$T$150,COLUMN()/2+1,FALSE))),"")</f>
        <v/>
      </c>
      <c r="W96" s="63"/>
      <c r="X96" s="149" t="str">
        <f ca="1">IFERROR(VALUE(IF(VLOOKUP($A96,数出表_Excel!$A$6:$T$150,COLUMN()/2+1,FALSE)=0,"",VLOOKUP($A96,数出表_Excel!$A$6:$T$150,COLUMN()/2+1,FALSE))),"")</f>
        <v/>
      </c>
      <c r="Y96" s="63"/>
      <c r="Z96" s="149" t="str">
        <f ca="1">IFERROR(VALUE(IF(VLOOKUP($A96,数出表_Excel!$A$6:$T$150,COLUMN()/2+1,FALSE)=0,"",VLOOKUP($A96,数出表_Excel!$A$6:$T$150,COLUMN()/2+1,FALSE))),"")</f>
        <v/>
      </c>
      <c r="AA96" s="63"/>
      <c r="AB96" s="149" t="str">
        <f ca="1">IFERROR(VALUE(IF(VLOOKUP($A96,数出表_Excel!$A$6:$T$150,COLUMN()/2+1,FALSE)=0,"",VLOOKUP($A96,数出表_Excel!$A$6:$T$150,COLUMN()/2+1,FALSE))),"")</f>
        <v/>
      </c>
      <c r="AC96" s="63"/>
      <c r="AD96" s="149" t="str">
        <f ca="1">IFERROR(VALUE(IF(VLOOKUP($A96,数出表_Excel!$A$6:$T$150,COLUMN()/2+1,FALSE)=0,"",VLOOKUP($A96,数出表_Excel!$A$6:$T$150,COLUMN()/2+1,FALSE))),"")</f>
        <v/>
      </c>
      <c r="AE96" s="63"/>
      <c r="AF96" s="149" t="str">
        <f ca="1">IFERROR(VALUE(IF(VLOOKUP($A96,数出表_Excel!$A$6:$T$150,COLUMN()/2+1,FALSE)=0,"",VLOOKUP($A96,数出表_Excel!$A$6:$T$150,COLUMN()/2+1,FALSE))),"")</f>
        <v/>
      </c>
      <c r="AG96" s="63"/>
      <c r="AH96" s="149" t="str">
        <f ca="1">IFERROR(VALUE(IF(VLOOKUP($A96,数出表_Excel!$A$6:$T$150,COLUMN()/2+1,FALSE)=0,"",VLOOKUP($A96,数出表_Excel!$A$6:$T$150,COLUMN()/2+1,FALSE))),"")</f>
        <v/>
      </c>
      <c r="AI96" s="63"/>
      <c r="AJ96" s="149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 x14ac:dyDescent="0.45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 x14ac:dyDescent="0.45">
      <c r="A98" s="68" t="str">
        <f t="array" aca="1" ref="A98" ca="1">IF(OR(COUNTIF(A96,"*10002*"),COUNTIF(A96,"")),"",
IFERROR(INDEX(貼り付け用!$A$1:$A$200,MATCH(A96,貼り付け用!$A$1:$A$200,0)+2,0),""))</f>
        <v/>
      </c>
      <c r="B98" s="149" t="str">
        <f ca="1">IFERROR(VALUE(IF(VLOOKUP($A98,数出表_Excel!$A$6:$T$150,COLUMN()/2+1,FALSE)=0,"",VLOOKUP($A98,数出表_Excel!$A$6:$T$150,COLUMN()/2+1,FALSE))),"")</f>
        <v/>
      </c>
      <c r="C98" s="63"/>
      <c r="D98" s="149" t="str">
        <f ca="1">IFERROR(VALUE(IF(VLOOKUP($A98,数出表_Excel!$A$6:$T$150,COLUMN()/2+1,FALSE)=0,"",VLOOKUP($A98,数出表_Excel!$A$6:$T$150,COLUMN()/2+1,FALSE))),"")</f>
        <v/>
      </c>
      <c r="E98" s="63"/>
      <c r="F98" s="149" t="str">
        <f ca="1">IFERROR(VALUE(IF(VLOOKUP($A98,数出表_Excel!$A$6:$T$150,COLUMN()/2+1,FALSE)=0,"",VLOOKUP($A98,数出表_Excel!$A$6:$T$150,COLUMN()/2+1,FALSE))),"")</f>
        <v/>
      </c>
      <c r="G98" s="63"/>
      <c r="H98" s="149" t="str">
        <f ca="1">IFERROR(VALUE(IF(VLOOKUP($A98,数出表_Excel!$A$6:$T$150,COLUMN()/2+1,FALSE)=0,"",VLOOKUP($A98,数出表_Excel!$A$6:$T$150,COLUMN()/2+1,FALSE))),"")</f>
        <v/>
      </c>
      <c r="I98" s="63"/>
      <c r="J98" s="149" t="str">
        <f ca="1">IFERROR(VALUE(IF(VLOOKUP($A98,数出表_Excel!$A$6:$T$150,COLUMN()/2+1,FALSE)=0,"",VLOOKUP($A98,数出表_Excel!$A$6:$T$150,COLUMN()/2+1,FALSE))),"")</f>
        <v/>
      </c>
      <c r="K98" s="63"/>
      <c r="L98" s="149" t="str">
        <f ca="1">IFERROR(VALUE(IF(VLOOKUP($A98,数出表_Excel!$A$6:$T$150,COLUMN()/2+1,FALSE)=0,"",VLOOKUP($A98,数出表_Excel!$A$6:$T$150,COLUMN()/2+1,FALSE))),"")</f>
        <v/>
      </c>
      <c r="M98" s="63"/>
      <c r="N98" s="149" t="str">
        <f ca="1">IFERROR(VALUE(IF(VLOOKUP($A98,数出表_Excel!$A$6:$T$150,COLUMN()/2+1,FALSE)=0,"",VLOOKUP($A98,数出表_Excel!$A$6:$T$150,COLUMN()/2+1,FALSE))),"")</f>
        <v/>
      </c>
      <c r="O98" s="63"/>
      <c r="P98" s="149" t="str">
        <f ca="1">IFERROR(VALUE(IF(VLOOKUP($A98,数出表_Excel!$A$6:$T$150,COLUMN()/2+1,FALSE)=0,"",VLOOKUP($A98,数出表_Excel!$A$6:$T$150,COLUMN()/2+1,FALSE))),"")</f>
        <v/>
      </c>
      <c r="Q98" s="63"/>
      <c r="R98" s="149" t="str">
        <f ca="1">IFERROR(VALUE(IF(VLOOKUP($A98,数出表_Excel!$A$6:$T$150,COLUMN()/2+1,FALSE)=0,"",VLOOKUP($A98,数出表_Excel!$A$6:$T$150,COLUMN()/2+1,FALSE))),"")</f>
        <v/>
      </c>
      <c r="S98" s="63"/>
      <c r="T98" s="149" t="str">
        <f ca="1">IFERROR(VALUE(IF(VLOOKUP($A98,数出表_Excel!$A$6:$T$150,COLUMN()/2+1,FALSE)=0,"",VLOOKUP($A98,数出表_Excel!$A$6:$T$150,COLUMN()/2+1,FALSE))),"")</f>
        <v/>
      </c>
      <c r="U98" s="63"/>
      <c r="V98" s="149" t="str">
        <f ca="1">IFERROR(VALUE(IF(VLOOKUP($A98,数出表_Excel!$A$6:$T$150,COLUMN()/2+1,FALSE)=0,"",VLOOKUP($A98,数出表_Excel!$A$6:$T$150,COLUMN()/2+1,FALSE))),"")</f>
        <v/>
      </c>
      <c r="W98" s="63"/>
      <c r="X98" s="149" t="str">
        <f ca="1">IFERROR(VALUE(IF(VLOOKUP($A98,数出表_Excel!$A$6:$T$150,COLUMN()/2+1,FALSE)=0,"",VLOOKUP($A98,数出表_Excel!$A$6:$T$150,COLUMN()/2+1,FALSE))),"")</f>
        <v/>
      </c>
      <c r="Y98" s="63"/>
      <c r="Z98" s="149" t="str">
        <f ca="1">IFERROR(VALUE(IF(VLOOKUP($A98,数出表_Excel!$A$6:$T$150,COLUMN()/2+1,FALSE)=0,"",VLOOKUP($A98,数出表_Excel!$A$6:$T$150,COLUMN()/2+1,FALSE))),"")</f>
        <v/>
      </c>
      <c r="AA98" s="63"/>
      <c r="AB98" s="149" t="str">
        <f ca="1">IFERROR(VALUE(IF(VLOOKUP($A98,数出表_Excel!$A$6:$T$150,COLUMN()/2+1,FALSE)=0,"",VLOOKUP($A98,数出表_Excel!$A$6:$T$150,COLUMN()/2+1,FALSE))),"")</f>
        <v/>
      </c>
      <c r="AC98" s="63"/>
      <c r="AD98" s="149" t="str">
        <f ca="1">IFERROR(VALUE(IF(VLOOKUP($A98,数出表_Excel!$A$6:$T$150,COLUMN()/2+1,FALSE)=0,"",VLOOKUP($A98,数出表_Excel!$A$6:$T$150,COLUMN()/2+1,FALSE))),"")</f>
        <v/>
      </c>
      <c r="AE98" s="63"/>
      <c r="AF98" s="149" t="str">
        <f ca="1">IFERROR(VALUE(IF(VLOOKUP($A98,数出表_Excel!$A$6:$T$150,COLUMN()/2+1,FALSE)=0,"",VLOOKUP($A98,数出表_Excel!$A$6:$T$150,COLUMN()/2+1,FALSE))),"")</f>
        <v/>
      </c>
      <c r="AG98" s="63"/>
      <c r="AH98" s="149" t="str">
        <f ca="1">IFERROR(VALUE(IF(VLOOKUP($A98,数出表_Excel!$A$6:$T$150,COLUMN()/2+1,FALSE)=0,"",VLOOKUP($A98,数出表_Excel!$A$6:$T$150,COLUMN()/2+1,FALSE))),"")</f>
        <v/>
      </c>
      <c r="AI98" s="63"/>
      <c r="AJ98" s="149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 x14ac:dyDescent="0.45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 x14ac:dyDescent="0.45">
      <c r="A100" s="68" t="str">
        <f t="array" aca="1" ref="A100" ca="1">IF(OR(COUNTIF(A98,"*10002*"),COUNTIF(A98,"")),"",
IFERROR(INDEX(貼り付け用!$A$1:$A$200,MATCH(A98,貼り付け用!$A$1:$A$200,0)+2,0),""))</f>
        <v/>
      </c>
      <c r="B100" s="149" t="str">
        <f ca="1">IFERROR(VALUE(IF(VLOOKUP($A100,数出表_Excel!$A$6:$T$150,COLUMN()/2+1,FALSE)=0,"",VLOOKUP($A100,数出表_Excel!$A$6:$T$150,COLUMN()/2+1,FALSE))),"")</f>
        <v/>
      </c>
      <c r="C100" s="63"/>
      <c r="D100" s="149" t="str">
        <f ca="1">IFERROR(VALUE(IF(VLOOKUP($A100,数出表_Excel!$A$6:$T$150,COLUMN()/2+1,FALSE)=0,"",VLOOKUP($A100,数出表_Excel!$A$6:$T$150,COLUMN()/2+1,FALSE))),"")</f>
        <v/>
      </c>
      <c r="E100" s="63"/>
      <c r="F100" s="149" t="str">
        <f ca="1">IFERROR(VALUE(IF(VLOOKUP($A100,数出表_Excel!$A$6:$T$150,COLUMN()/2+1,FALSE)=0,"",VLOOKUP($A100,数出表_Excel!$A$6:$T$150,COLUMN()/2+1,FALSE))),"")</f>
        <v/>
      </c>
      <c r="G100" s="63"/>
      <c r="H100" s="149" t="str">
        <f ca="1">IFERROR(VALUE(IF(VLOOKUP($A100,数出表_Excel!$A$6:$T$150,COLUMN()/2+1,FALSE)=0,"",VLOOKUP($A100,数出表_Excel!$A$6:$T$150,COLUMN()/2+1,FALSE))),"")</f>
        <v/>
      </c>
      <c r="I100" s="63"/>
      <c r="J100" s="149" t="str">
        <f ca="1">IFERROR(VALUE(IF(VLOOKUP($A100,数出表_Excel!$A$6:$T$150,COLUMN()/2+1,FALSE)=0,"",VLOOKUP($A100,数出表_Excel!$A$6:$T$150,COLUMN()/2+1,FALSE))),"")</f>
        <v/>
      </c>
      <c r="K100" s="63"/>
      <c r="L100" s="149" t="str">
        <f ca="1">IFERROR(VALUE(IF(VLOOKUP($A100,数出表_Excel!$A$6:$T$150,COLUMN()/2+1,FALSE)=0,"",VLOOKUP($A100,数出表_Excel!$A$6:$T$150,COLUMN()/2+1,FALSE))),"")</f>
        <v/>
      </c>
      <c r="M100" s="63"/>
      <c r="N100" s="149" t="str">
        <f ca="1">IFERROR(VALUE(IF(VLOOKUP($A100,数出表_Excel!$A$6:$T$150,COLUMN()/2+1,FALSE)=0,"",VLOOKUP($A100,数出表_Excel!$A$6:$T$150,COLUMN()/2+1,FALSE))),"")</f>
        <v/>
      </c>
      <c r="O100" s="63"/>
      <c r="P100" s="149" t="str">
        <f ca="1">IFERROR(VALUE(IF(VLOOKUP($A100,数出表_Excel!$A$6:$T$150,COLUMN()/2+1,FALSE)=0,"",VLOOKUP($A100,数出表_Excel!$A$6:$T$150,COLUMN()/2+1,FALSE))),"")</f>
        <v/>
      </c>
      <c r="Q100" s="63"/>
      <c r="R100" s="149" t="str">
        <f ca="1">IFERROR(VALUE(IF(VLOOKUP($A100,数出表_Excel!$A$6:$T$150,COLUMN()/2+1,FALSE)=0,"",VLOOKUP($A100,数出表_Excel!$A$6:$T$150,COLUMN()/2+1,FALSE))),"")</f>
        <v/>
      </c>
      <c r="S100" s="63"/>
      <c r="T100" s="149" t="str">
        <f ca="1">IFERROR(VALUE(IF(VLOOKUP($A100,数出表_Excel!$A$6:$T$150,COLUMN()/2+1,FALSE)=0,"",VLOOKUP($A100,数出表_Excel!$A$6:$T$150,COLUMN()/2+1,FALSE))),"")</f>
        <v/>
      </c>
      <c r="U100" s="63"/>
      <c r="V100" s="149" t="str">
        <f ca="1">IFERROR(VALUE(IF(VLOOKUP($A100,数出表_Excel!$A$6:$T$150,COLUMN()/2+1,FALSE)=0,"",VLOOKUP($A100,数出表_Excel!$A$6:$T$150,COLUMN()/2+1,FALSE))),"")</f>
        <v/>
      </c>
      <c r="W100" s="63"/>
      <c r="X100" s="149" t="str">
        <f ca="1">IFERROR(VALUE(IF(VLOOKUP($A100,数出表_Excel!$A$6:$T$150,COLUMN()/2+1,FALSE)=0,"",VLOOKUP($A100,数出表_Excel!$A$6:$T$150,COLUMN()/2+1,FALSE))),"")</f>
        <v/>
      </c>
      <c r="Y100" s="63"/>
      <c r="Z100" s="149" t="str">
        <f ca="1">IFERROR(VALUE(IF(VLOOKUP($A100,数出表_Excel!$A$6:$T$150,COLUMN()/2+1,FALSE)=0,"",VLOOKUP($A100,数出表_Excel!$A$6:$T$150,COLUMN()/2+1,FALSE))),"")</f>
        <v/>
      </c>
      <c r="AA100" s="63"/>
      <c r="AB100" s="149" t="str">
        <f ca="1">IFERROR(VALUE(IF(VLOOKUP($A100,数出表_Excel!$A$6:$T$150,COLUMN()/2+1,FALSE)=0,"",VLOOKUP($A100,数出表_Excel!$A$6:$T$150,COLUMN()/2+1,FALSE))),"")</f>
        <v/>
      </c>
      <c r="AC100" s="63"/>
      <c r="AD100" s="149" t="str">
        <f ca="1">IFERROR(VALUE(IF(VLOOKUP($A100,数出表_Excel!$A$6:$T$150,COLUMN()/2+1,FALSE)=0,"",VLOOKUP($A100,数出表_Excel!$A$6:$T$150,COLUMN()/2+1,FALSE))),"")</f>
        <v/>
      </c>
      <c r="AE100" s="63"/>
      <c r="AF100" s="149" t="str">
        <f ca="1">IFERROR(VALUE(IF(VLOOKUP($A100,数出表_Excel!$A$6:$T$150,COLUMN()/2+1,FALSE)=0,"",VLOOKUP($A100,数出表_Excel!$A$6:$T$150,COLUMN()/2+1,FALSE))),"")</f>
        <v/>
      </c>
      <c r="AG100" s="63"/>
      <c r="AH100" s="149" t="str">
        <f ca="1">IFERROR(VALUE(IF(VLOOKUP($A100,数出表_Excel!$A$6:$T$150,COLUMN()/2+1,FALSE)=0,"",VLOOKUP($A100,数出表_Excel!$A$6:$T$150,COLUMN()/2+1,FALSE))),"")</f>
        <v/>
      </c>
      <c r="AI100" s="63"/>
      <c r="AJ100" s="149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 x14ac:dyDescent="0.45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 x14ac:dyDescent="0.45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49" t="str">
        <f ca="1">IFERROR(VALUE(IF(VLOOKUP($A102,数出表_Excel!$A$6:$T$150,COLUMN()/2+1,FALSE)=0,"",VLOOKUP($A102,数出表_Excel!$A$6:$T$150,COLUMN()/2+1,FALSE))),"")</f>
        <v/>
      </c>
      <c r="C102" s="63"/>
      <c r="D102" s="149" t="str">
        <f ca="1">IFERROR(VALUE(IF(VLOOKUP($A102,数出表_Excel!$A$6:$T$150,COLUMN()/2+1,FALSE)=0,"",VLOOKUP($A102,数出表_Excel!$A$6:$T$150,COLUMN()/2+1,FALSE))),"")</f>
        <v/>
      </c>
      <c r="E102" s="63"/>
      <c r="F102" s="149" t="str">
        <f ca="1">IFERROR(VALUE(IF(VLOOKUP($A102,数出表_Excel!$A$6:$T$150,COLUMN()/2+1,FALSE)=0,"",VLOOKUP($A102,数出表_Excel!$A$6:$T$150,COLUMN()/2+1,FALSE))),"")</f>
        <v/>
      </c>
      <c r="G102" s="63"/>
      <c r="H102" s="149" t="str">
        <f ca="1">IFERROR(VALUE(IF(VLOOKUP($A102,数出表_Excel!$A$6:$T$150,COLUMN()/2+1,FALSE)=0,"",VLOOKUP($A102,数出表_Excel!$A$6:$T$150,COLUMN()/2+1,FALSE))),"")</f>
        <v/>
      </c>
      <c r="I102" s="63"/>
      <c r="J102" s="149" t="str">
        <f ca="1">IFERROR(VALUE(IF(VLOOKUP($A102,数出表_Excel!$A$6:$T$150,COLUMN()/2+1,FALSE)=0,"",VLOOKUP($A102,数出表_Excel!$A$6:$T$150,COLUMN()/2+1,FALSE))),"")</f>
        <v/>
      </c>
      <c r="K102" s="63"/>
      <c r="L102" s="149" t="str">
        <f ca="1">IFERROR(VALUE(IF(VLOOKUP($A102,数出表_Excel!$A$6:$T$150,COLUMN()/2+1,FALSE)=0,"",VLOOKUP($A102,数出表_Excel!$A$6:$T$150,COLUMN()/2+1,FALSE))),"")</f>
        <v/>
      </c>
      <c r="M102" s="63"/>
      <c r="N102" s="149" t="str">
        <f ca="1">IFERROR(VALUE(IF(VLOOKUP($A102,数出表_Excel!$A$6:$T$150,COLUMN()/2+1,FALSE)=0,"",VLOOKUP($A102,数出表_Excel!$A$6:$T$150,COLUMN()/2+1,FALSE))),"")</f>
        <v/>
      </c>
      <c r="O102" s="63"/>
      <c r="P102" s="149" t="str">
        <f ca="1">IFERROR(VALUE(IF(VLOOKUP($A102,数出表_Excel!$A$6:$T$150,COLUMN()/2+1,FALSE)=0,"",VLOOKUP($A102,数出表_Excel!$A$6:$T$150,COLUMN()/2+1,FALSE))),"")</f>
        <v/>
      </c>
      <c r="Q102" s="63"/>
      <c r="R102" s="149" t="str">
        <f ca="1">IFERROR(VALUE(IF(VLOOKUP($A102,数出表_Excel!$A$6:$T$150,COLUMN()/2+1,FALSE)=0,"",VLOOKUP($A102,数出表_Excel!$A$6:$T$150,COLUMN()/2+1,FALSE))),"")</f>
        <v/>
      </c>
      <c r="S102" s="63"/>
      <c r="T102" s="149" t="str">
        <f ca="1">IFERROR(VALUE(IF(VLOOKUP($A102,数出表_Excel!$A$6:$T$150,COLUMN()/2+1,FALSE)=0,"",VLOOKUP($A102,数出表_Excel!$A$6:$T$150,COLUMN()/2+1,FALSE))),"")</f>
        <v/>
      </c>
      <c r="U102" s="63"/>
      <c r="V102" s="149" t="str">
        <f ca="1">IFERROR(VALUE(IF(VLOOKUP($A102,数出表_Excel!$A$6:$T$150,COLUMN()/2+1,FALSE)=0,"",VLOOKUP($A102,数出表_Excel!$A$6:$T$150,COLUMN()/2+1,FALSE))),"")</f>
        <v/>
      </c>
      <c r="W102" s="63"/>
      <c r="X102" s="149" t="str">
        <f ca="1">IFERROR(VALUE(IF(VLOOKUP($A102,数出表_Excel!$A$6:$T$150,COLUMN()/2+1,FALSE)=0,"",VLOOKUP($A102,数出表_Excel!$A$6:$T$150,COLUMN()/2+1,FALSE))),"")</f>
        <v/>
      </c>
      <c r="Y102" s="63"/>
      <c r="Z102" s="149" t="str">
        <f ca="1">IFERROR(VALUE(IF(VLOOKUP($A102,数出表_Excel!$A$6:$T$150,COLUMN()/2+1,FALSE)=0,"",VLOOKUP($A102,数出表_Excel!$A$6:$T$150,COLUMN()/2+1,FALSE))),"")</f>
        <v/>
      </c>
      <c r="AA102" s="63"/>
      <c r="AB102" s="149" t="str">
        <f ca="1">IFERROR(VALUE(IF(VLOOKUP($A102,数出表_Excel!$A$6:$T$150,COLUMN()/2+1,FALSE)=0,"",VLOOKUP($A102,数出表_Excel!$A$6:$T$150,COLUMN()/2+1,FALSE))),"")</f>
        <v/>
      </c>
      <c r="AC102" s="63"/>
      <c r="AD102" s="149" t="str">
        <f ca="1">IFERROR(VALUE(IF(VLOOKUP($A102,数出表_Excel!$A$6:$T$150,COLUMN()/2+1,FALSE)=0,"",VLOOKUP($A102,数出表_Excel!$A$6:$T$150,COLUMN()/2+1,FALSE))),"")</f>
        <v/>
      </c>
      <c r="AE102" s="63"/>
      <c r="AF102" s="149" t="str">
        <f ca="1">IFERROR(VALUE(IF(VLOOKUP($A102,数出表_Excel!$A$6:$T$150,COLUMN()/2+1,FALSE)=0,"",VLOOKUP($A102,数出表_Excel!$A$6:$T$150,COLUMN()/2+1,FALSE))),"")</f>
        <v/>
      </c>
      <c r="AG102" s="63"/>
      <c r="AH102" s="149" t="str">
        <f ca="1">IFERROR(VALUE(IF(VLOOKUP($A102,数出表_Excel!$A$6:$T$150,COLUMN()/2+1,FALSE)=0,"",VLOOKUP($A102,数出表_Excel!$A$6:$T$150,COLUMN()/2+1,FALSE))),"")</f>
        <v/>
      </c>
      <c r="AI102" s="63"/>
      <c r="AJ102" s="149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 x14ac:dyDescent="0.45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 x14ac:dyDescent="0.45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49" t="str">
        <f ca="1">IFERROR(VALUE(IF(VLOOKUP($A104,数出表_Excel!$A$6:$T$150,COLUMN()/2+1,FALSE)=0,"",VLOOKUP($A104,数出表_Excel!$A$6:$T$150,COLUMN()/2+1,FALSE))),"")</f>
        <v/>
      </c>
      <c r="C104" s="63"/>
      <c r="D104" s="149" t="str">
        <f ca="1">IFERROR(VALUE(IF(VLOOKUP($A104,数出表_Excel!$A$6:$T$150,COLUMN()/2+1,FALSE)=0,"",VLOOKUP($A104,数出表_Excel!$A$6:$T$150,COLUMN()/2+1,FALSE))),"")</f>
        <v/>
      </c>
      <c r="E104" s="63"/>
      <c r="F104" s="149" t="str">
        <f ca="1">IFERROR(VALUE(IF(VLOOKUP($A104,数出表_Excel!$A$6:$T$150,COLUMN()/2+1,FALSE)=0,"",VLOOKUP($A104,数出表_Excel!$A$6:$T$150,COLUMN()/2+1,FALSE))),"")</f>
        <v/>
      </c>
      <c r="G104" s="63"/>
      <c r="H104" s="149" t="str">
        <f ca="1">IFERROR(VALUE(IF(VLOOKUP($A104,数出表_Excel!$A$6:$T$150,COLUMN()/2+1,FALSE)=0,"",VLOOKUP($A104,数出表_Excel!$A$6:$T$150,COLUMN()/2+1,FALSE))),"")</f>
        <v/>
      </c>
      <c r="I104" s="63"/>
      <c r="J104" s="149" t="str">
        <f ca="1">IFERROR(VALUE(IF(VLOOKUP($A104,数出表_Excel!$A$6:$T$150,COLUMN()/2+1,FALSE)=0,"",VLOOKUP($A104,数出表_Excel!$A$6:$T$150,COLUMN()/2+1,FALSE))),"")</f>
        <v/>
      </c>
      <c r="K104" s="63"/>
      <c r="L104" s="149" t="str">
        <f ca="1">IFERROR(VALUE(IF(VLOOKUP($A104,数出表_Excel!$A$6:$T$150,COLUMN()/2+1,FALSE)=0,"",VLOOKUP($A104,数出表_Excel!$A$6:$T$150,COLUMN()/2+1,FALSE))),"")</f>
        <v/>
      </c>
      <c r="M104" s="63"/>
      <c r="N104" s="149" t="str">
        <f ca="1">IFERROR(VALUE(IF(VLOOKUP($A104,数出表_Excel!$A$6:$T$150,COLUMN()/2+1,FALSE)=0,"",VLOOKUP($A104,数出表_Excel!$A$6:$T$150,COLUMN()/2+1,FALSE))),"")</f>
        <v/>
      </c>
      <c r="O104" s="63"/>
      <c r="P104" s="149" t="str">
        <f ca="1">IFERROR(VALUE(IF(VLOOKUP($A104,数出表_Excel!$A$6:$T$150,COLUMN()/2+1,FALSE)=0,"",VLOOKUP($A104,数出表_Excel!$A$6:$T$150,COLUMN()/2+1,FALSE))),"")</f>
        <v/>
      </c>
      <c r="Q104" s="63"/>
      <c r="R104" s="149" t="str">
        <f ca="1">IFERROR(VALUE(IF(VLOOKUP($A104,数出表_Excel!$A$6:$T$150,COLUMN()/2+1,FALSE)=0,"",VLOOKUP($A104,数出表_Excel!$A$6:$T$150,COLUMN()/2+1,FALSE))),"")</f>
        <v/>
      </c>
      <c r="S104" s="63"/>
      <c r="T104" s="149" t="str">
        <f ca="1">IFERROR(VALUE(IF(VLOOKUP($A104,数出表_Excel!$A$6:$T$150,COLUMN()/2+1,FALSE)=0,"",VLOOKUP($A104,数出表_Excel!$A$6:$T$150,COLUMN()/2+1,FALSE))),"")</f>
        <v/>
      </c>
      <c r="U104" s="63"/>
      <c r="V104" s="149" t="str">
        <f ca="1">IFERROR(VALUE(IF(VLOOKUP($A104,数出表_Excel!$A$6:$T$150,COLUMN()/2+1,FALSE)=0,"",VLOOKUP($A104,数出表_Excel!$A$6:$T$150,COLUMN()/2+1,FALSE))),"")</f>
        <v/>
      </c>
      <c r="W104" s="63"/>
      <c r="X104" s="149" t="str">
        <f ca="1">IFERROR(VALUE(IF(VLOOKUP($A104,数出表_Excel!$A$6:$T$150,COLUMN()/2+1,FALSE)=0,"",VLOOKUP($A104,数出表_Excel!$A$6:$T$150,COLUMN()/2+1,FALSE))),"")</f>
        <v/>
      </c>
      <c r="Y104" s="63"/>
      <c r="Z104" s="149" t="str">
        <f ca="1">IFERROR(VALUE(IF(VLOOKUP($A104,数出表_Excel!$A$6:$T$150,COLUMN()/2+1,FALSE)=0,"",VLOOKUP($A104,数出表_Excel!$A$6:$T$150,COLUMN()/2+1,FALSE))),"")</f>
        <v/>
      </c>
      <c r="AA104" s="63"/>
      <c r="AB104" s="149" t="str">
        <f ca="1">IFERROR(VALUE(IF(VLOOKUP($A104,数出表_Excel!$A$6:$T$150,COLUMN()/2+1,FALSE)=0,"",VLOOKUP($A104,数出表_Excel!$A$6:$T$150,COLUMN()/2+1,FALSE))),"")</f>
        <v/>
      </c>
      <c r="AC104" s="63"/>
      <c r="AD104" s="149" t="str">
        <f ca="1">IFERROR(VALUE(IF(VLOOKUP($A104,数出表_Excel!$A$6:$T$150,COLUMN()/2+1,FALSE)=0,"",VLOOKUP($A104,数出表_Excel!$A$6:$T$150,COLUMN()/2+1,FALSE))),"")</f>
        <v/>
      </c>
      <c r="AE104" s="63"/>
      <c r="AF104" s="149" t="str">
        <f ca="1">IFERROR(VALUE(IF(VLOOKUP($A104,数出表_Excel!$A$6:$T$150,COLUMN()/2+1,FALSE)=0,"",VLOOKUP($A104,数出表_Excel!$A$6:$T$150,COLUMN()/2+1,FALSE))),"")</f>
        <v/>
      </c>
      <c r="AG104" s="63"/>
      <c r="AH104" s="149" t="str">
        <f ca="1">IFERROR(VALUE(IF(VLOOKUP($A104,数出表_Excel!$A$6:$T$150,COLUMN()/2+1,FALSE)=0,"",VLOOKUP($A104,数出表_Excel!$A$6:$T$150,COLUMN()/2+1,FALSE))),"")</f>
        <v/>
      </c>
      <c r="AI104" s="63"/>
      <c r="AJ104" s="149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 x14ac:dyDescent="0.45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 x14ac:dyDescent="0.45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49" t="str">
        <f ca="1">IFERROR(VALUE(IF(VLOOKUP($A106,数出表_Excel!$A$6:$T$150,COLUMN()/2+1,FALSE)=0,"",VLOOKUP($A106,数出表_Excel!$A$6:$T$150,COLUMN()/2+1,FALSE))),"")</f>
        <v/>
      </c>
      <c r="C106" s="63"/>
      <c r="D106" s="149" t="str">
        <f ca="1">IFERROR(VALUE(IF(VLOOKUP($A106,数出表_Excel!$A$6:$T$150,COLUMN()/2+1,FALSE)=0,"",VLOOKUP($A106,数出表_Excel!$A$6:$T$150,COLUMN()/2+1,FALSE))),"")</f>
        <v/>
      </c>
      <c r="E106" s="63"/>
      <c r="F106" s="149" t="str">
        <f ca="1">IFERROR(VALUE(IF(VLOOKUP($A106,数出表_Excel!$A$6:$T$150,COLUMN()/2+1,FALSE)=0,"",VLOOKUP($A106,数出表_Excel!$A$6:$T$150,COLUMN()/2+1,FALSE))),"")</f>
        <v/>
      </c>
      <c r="G106" s="63"/>
      <c r="H106" s="149" t="str">
        <f ca="1">IFERROR(VALUE(IF(VLOOKUP($A106,数出表_Excel!$A$6:$T$150,COLUMN()/2+1,FALSE)=0,"",VLOOKUP($A106,数出表_Excel!$A$6:$T$150,COLUMN()/2+1,FALSE))),"")</f>
        <v/>
      </c>
      <c r="I106" s="63"/>
      <c r="J106" s="149" t="str">
        <f ca="1">IFERROR(VALUE(IF(VLOOKUP($A106,数出表_Excel!$A$6:$T$150,COLUMN()/2+1,FALSE)=0,"",VLOOKUP($A106,数出表_Excel!$A$6:$T$150,COLUMN()/2+1,FALSE))),"")</f>
        <v/>
      </c>
      <c r="K106" s="63"/>
      <c r="L106" s="149" t="str">
        <f ca="1">IFERROR(VALUE(IF(VLOOKUP($A106,数出表_Excel!$A$6:$T$150,COLUMN()/2+1,FALSE)=0,"",VLOOKUP($A106,数出表_Excel!$A$6:$T$150,COLUMN()/2+1,FALSE))),"")</f>
        <v/>
      </c>
      <c r="M106" s="63"/>
      <c r="N106" s="149" t="str">
        <f ca="1">IFERROR(VALUE(IF(VLOOKUP($A106,数出表_Excel!$A$6:$T$150,COLUMN()/2+1,FALSE)=0,"",VLOOKUP($A106,数出表_Excel!$A$6:$T$150,COLUMN()/2+1,FALSE))),"")</f>
        <v/>
      </c>
      <c r="O106" s="63"/>
      <c r="P106" s="149" t="str">
        <f ca="1">IFERROR(VALUE(IF(VLOOKUP($A106,数出表_Excel!$A$6:$T$150,COLUMN()/2+1,FALSE)=0,"",VLOOKUP($A106,数出表_Excel!$A$6:$T$150,COLUMN()/2+1,FALSE))),"")</f>
        <v/>
      </c>
      <c r="Q106" s="63"/>
      <c r="R106" s="149" t="str">
        <f ca="1">IFERROR(VALUE(IF(VLOOKUP($A106,数出表_Excel!$A$6:$T$150,COLUMN()/2+1,FALSE)=0,"",VLOOKUP($A106,数出表_Excel!$A$6:$T$150,COLUMN()/2+1,FALSE))),"")</f>
        <v/>
      </c>
      <c r="S106" s="63"/>
      <c r="T106" s="149" t="str">
        <f ca="1">IFERROR(VALUE(IF(VLOOKUP($A106,数出表_Excel!$A$6:$T$150,COLUMN()/2+1,FALSE)=0,"",VLOOKUP($A106,数出表_Excel!$A$6:$T$150,COLUMN()/2+1,FALSE))),"")</f>
        <v/>
      </c>
      <c r="U106" s="63"/>
      <c r="V106" s="149" t="str">
        <f ca="1">IFERROR(VALUE(IF(VLOOKUP($A106,数出表_Excel!$A$6:$T$150,COLUMN()/2+1,FALSE)=0,"",VLOOKUP($A106,数出表_Excel!$A$6:$T$150,COLUMN()/2+1,FALSE))),"")</f>
        <v/>
      </c>
      <c r="W106" s="63"/>
      <c r="X106" s="149" t="str">
        <f ca="1">IFERROR(VALUE(IF(VLOOKUP($A106,数出表_Excel!$A$6:$T$150,COLUMN()/2+1,FALSE)=0,"",VLOOKUP($A106,数出表_Excel!$A$6:$T$150,COLUMN()/2+1,FALSE))),"")</f>
        <v/>
      </c>
      <c r="Y106" s="63"/>
      <c r="Z106" s="149" t="str">
        <f ca="1">IFERROR(VALUE(IF(VLOOKUP($A106,数出表_Excel!$A$6:$T$150,COLUMN()/2+1,FALSE)=0,"",VLOOKUP($A106,数出表_Excel!$A$6:$T$150,COLUMN()/2+1,FALSE))),"")</f>
        <v/>
      </c>
      <c r="AA106" s="63"/>
      <c r="AB106" s="149" t="str">
        <f ca="1">IFERROR(VALUE(IF(VLOOKUP($A106,数出表_Excel!$A$6:$T$150,COLUMN()/2+1,FALSE)=0,"",VLOOKUP($A106,数出表_Excel!$A$6:$T$150,COLUMN()/2+1,FALSE))),"")</f>
        <v/>
      </c>
      <c r="AC106" s="63"/>
      <c r="AD106" s="149" t="str">
        <f ca="1">IFERROR(VALUE(IF(VLOOKUP($A106,数出表_Excel!$A$6:$T$150,COLUMN()/2+1,FALSE)=0,"",VLOOKUP($A106,数出表_Excel!$A$6:$T$150,COLUMN()/2+1,FALSE))),"")</f>
        <v/>
      </c>
      <c r="AE106" s="63"/>
      <c r="AF106" s="149" t="str">
        <f ca="1">IFERROR(VALUE(IF(VLOOKUP($A106,数出表_Excel!$A$6:$T$150,COLUMN()/2+1,FALSE)=0,"",VLOOKUP($A106,数出表_Excel!$A$6:$T$150,COLUMN()/2+1,FALSE))),"")</f>
        <v/>
      </c>
      <c r="AG106" s="63"/>
      <c r="AH106" s="149" t="str">
        <f ca="1">IFERROR(VALUE(IF(VLOOKUP($A106,数出表_Excel!$A$6:$T$150,COLUMN()/2+1,FALSE)=0,"",VLOOKUP($A106,数出表_Excel!$A$6:$T$150,COLUMN()/2+1,FALSE))),"")</f>
        <v/>
      </c>
      <c r="AI106" s="63"/>
      <c r="AJ106" s="149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 x14ac:dyDescent="0.45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 x14ac:dyDescent="0.45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49" t="str">
        <f ca="1">IFERROR(VALUE(IF(VLOOKUP($A108,数出表_Excel!$A$6:$T$150,COLUMN()/2+1,FALSE)=0,"",VLOOKUP($A108,数出表_Excel!$A$6:$T$150,COLUMN()/2+1,FALSE))),"")</f>
        <v/>
      </c>
      <c r="C108" s="63"/>
      <c r="D108" s="149" t="str">
        <f ca="1">IFERROR(VALUE(IF(VLOOKUP($A108,数出表_Excel!$A$6:$T$150,COLUMN()/2+1,FALSE)=0,"",VLOOKUP($A108,数出表_Excel!$A$6:$T$150,COLUMN()/2+1,FALSE))),"")</f>
        <v/>
      </c>
      <c r="E108" s="63"/>
      <c r="F108" s="149" t="str">
        <f ca="1">IFERROR(VALUE(IF(VLOOKUP($A108,数出表_Excel!$A$6:$T$150,COLUMN()/2+1,FALSE)=0,"",VLOOKUP($A108,数出表_Excel!$A$6:$T$150,COLUMN()/2+1,FALSE))),"")</f>
        <v/>
      </c>
      <c r="G108" s="63"/>
      <c r="H108" s="149" t="str">
        <f ca="1">IFERROR(VALUE(IF(VLOOKUP($A108,数出表_Excel!$A$6:$T$150,COLUMN()/2+1,FALSE)=0,"",VLOOKUP($A108,数出表_Excel!$A$6:$T$150,COLUMN()/2+1,FALSE))),"")</f>
        <v/>
      </c>
      <c r="I108" s="63"/>
      <c r="J108" s="149" t="str">
        <f ca="1">IFERROR(VALUE(IF(VLOOKUP($A108,数出表_Excel!$A$6:$T$150,COLUMN()/2+1,FALSE)=0,"",VLOOKUP($A108,数出表_Excel!$A$6:$T$150,COLUMN()/2+1,FALSE))),"")</f>
        <v/>
      </c>
      <c r="K108" s="63"/>
      <c r="L108" s="149" t="str">
        <f ca="1">IFERROR(VALUE(IF(VLOOKUP($A108,数出表_Excel!$A$6:$T$150,COLUMN()/2+1,FALSE)=0,"",VLOOKUP($A108,数出表_Excel!$A$6:$T$150,COLUMN()/2+1,FALSE))),"")</f>
        <v/>
      </c>
      <c r="M108" s="63"/>
      <c r="N108" s="149" t="str">
        <f ca="1">IFERROR(VALUE(IF(VLOOKUP($A108,数出表_Excel!$A$6:$T$150,COLUMN()/2+1,FALSE)=0,"",VLOOKUP($A108,数出表_Excel!$A$6:$T$150,COLUMN()/2+1,FALSE))),"")</f>
        <v/>
      </c>
      <c r="O108" s="63"/>
      <c r="P108" s="149" t="str">
        <f ca="1">IFERROR(VALUE(IF(VLOOKUP($A108,数出表_Excel!$A$6:$T$150,COLUMN()/2+1,FALSE)=0,"",VLOOKUP($A108,数出表_Excel!$A$6:$T$150,COLUMN()/2+1,FALSE))),"")</f>
        <v/>
      </c>
      <c r="Q108" s="63"/>
      <c r="R108" s="149" t="str">
        <f ca="1">IFERROR(VALUE(IF(VLOOKUP($A108,数出表_Excel!$A$6:$T$150,COLUMN()/2+1,FALSE)=0,"",VLOOKUP($A108,数出表_Excel!$A$6:$T$150,COLUMN()/2+1,FALSE))),"")</f>
        <v/>
      </c>
      <c r="S108" s="63"/>
      <c r="T108" s="149" t="str">
        <f ca="1">IFERROR(VALUE(IF(VLOOKUP($A108,数出表_Excel!$A$6:$T$150,COLUMN()/2+1,FALSE)=0,"",VLOOKUP($A108,数出表_Excel!$A$6:$T$150,COLUMN()/2+1,FALSE))),"")</f>
        <v/>
      </c>
      <c r="U108" s="63"/>
      <c r="V108" s="149" t="str">
        <f ca="1">IFERROR(VALUE(IF(VLOOKUP($A108,数出表_Excel!$A$6:$T$150,COLUMN()/2+1,FALSE)=0,"",VLOOKUP($A108,数出表_Excel!$A$6:$T$150,COLUMN()/2+1,FALSE))),"")</f>
        <v/>
      </c>
      <c r="W108" s="63"/>
      <c r="X108" s="149" t="str">
        <f ca="1">IFERROR(VALUE(IF(VLOOKUP($A108,数出表_Excel!$A$6:$T$150,COLUMN()/2+1,FALSE)=0,"",VLOOKUP($A108,数出表_Excel!$A$6:$T$150,COLUMN()/2+1,FALSE))),"")</f>
        <v/>
      </c>
      <c r="Y108" s="63"/>
      <c r="Z108" s="149" t="str">
        <f ca="1">IFERROR(VALUE(IF(VLOOKUP($A108,数出表_Excel!$A$6:$T$150,COLUMN()/2+1,FALSE)=0,"",VLOOKUP($A108,数出表_Excel!$A$6:$T$150,COLUMN()/2+1,FALSE))),"")</f>
        <v/>
      </c>
      <c r="AA108" s="63"/>
      <c r="AB108" s="149" t="str">
        <f ca="1">IFERROR(VALUE(IF(VLOOKUP($A108,数出表_Excel!$A$6:$T$150,COLUMN()/2+1,FALSE)=0,"",VLOOKUP($A108,数出表_Excel!$A$6:$T$150,COLUMN()/2+1,FALSE))),"")</f>
        <v/>
      </c>
      <c r="AC108" s="63"/>
      <c r="AD108" s="149" t="str">
        <f ca="1">IFERROR(VALUE(IF(VLOOKUP($A108,数出表_Excel!$A$6:$T$150,COLUMN()/2+1,FALSE)=0,"",VLOOKUP($A108,数出表_Excel!$A$6:$T$150,COLUMN()/2+1,FALSE))),"")</f>
        <v/>
      </c>
      <c r="AE108" s="63"/>
      <c r="AF108" s="149" t="str">
        <f ca="1">IFERROR(VALUE(IF(VLOOKUP($A108,数出表_Excel!$A$6:$T$150,COLUMN()/2+1,FALSE)=0,"",VLOOKUP($A108,数出表_Excel!$A$6:$T$150,COLUMN()/2+1,FALSE))),"")</f>
        <v/>
      </c>
      <c r="AG108" s="63"/>
      <c r="AH108" s="149" t="str">
        <f ca="1">IFERROR(VALUE(IF(VLOOKUP($A108,数出表_Excel!$A$6:$T$150,COLUMN()/2+1,FALSE)=0,"",VLOOKUP($A108,数出表_Excel!$A$6:$T$150,COLUMN()/2+1,FALSE))),"")</f>
        <v/>
      </c>
      <c r="AI108" s="63"/>
      <c r="AJ108" s="149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 x14ac:dyDescent="0.45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 x14ac:dyDescent="0.45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49" t="str">
        <f ca="1">IFERROR(VALUE(IF(VLOOKUP($A110,数出表_Excel!$A$6:$T$150,COLUMN()/2+1,FALSE)=0,"",VLOOKUP($A110,数出表_Excel!$A$6:$T$150,COLUMN()/2+1,FALSE))),"")</f>
        <v/>
      </c>
      <c r="C110" s="63"/>
      <c r="D110" s="149" t="str">
        <f ca="1">IFERROR(VALUE(IF(VLOOKUP($A110,数出表_Excel!$A$6:$T$150,COLUMN()/2+1,FALSE)=0,"",VLOOKUP($A110,数出表_Excel!$A$6:$T$150,COLUMN()/2+1,FALSE))),"")</f>
        <v/>
      </c>
      <c r="E110" s="63"/>
      <c r="F110" s="149" t="str">
        <f ca="1">IFERROR(VALUE(IF(VLOOKUP($A110,数出表_Excel!$A$6:$T$150,COLUMN()/2+1,FALSE)=0,"",VLOOKUP($A110,数出表_Excel!$A$6:$T$150,COLUMN()/2+1,FALSE))),"")</f>
        <v/>
      </c>
      <c r="G110" s="63"/>
      <c r="H110" s="149" t="str">
        <f ca="1">IFERROR(VALUE(IF(VLOOKUP($A110,数出表_Excel!$A$6:$T$150,COLUMN()/2+1,FALSE)=0,"",VLOOKUP($A110,数出表_Excel!$A$6:$T$150,COLUMN()/2+1,FALSE))),"")</f>
        <v/>
      </c>
      <c r="I110" s="63"/>
      <c r="J110" s="149" t="str">
        <f ca="1">IFERROR(VALUE(IF(VLOOKUP($A110,数出表_Excel!$A$6:$T$150,COLUMN()/2+1,FALSE)=0,"",VLOOKUP($A110,数出表_Excel!$A$6:$T$150,COLUMN()/2+1,FALSE))),"")</f>
        <v/>
      </c>
      <c r="K110" s="63"/>
      <c r="L110" s="149" t="str">
        <f ca="1">IFERROR(VALUE(IF(VLOOKUP($A110,数出表_Excel!$A$6:$T$150,COLUMN()/2+1,FALSE)=0,"",VLOOKUP($A110,数出表_Excel!$A$6:$T$150,COLUMN()/2+1,FALSE))),"")</f>
        <v/>
      </c>
      <c r="M110" s="63"/>
      <c r="N110" s="149" t="str">
        <f ca="1">IFERROR(VALUE(IF(VLOOKUP($A110,数出表_Excel!$A$6:$T$150,COLUMN()/2+1,FALSE)=0,"",VLOOKUP($A110,数出表_Excel!$A$6:$T$150,COLUMN()/2+1,FALSE))),"")</f>
        <v/>
      </c>
      <c r="O110" s="63"/>
      <c r="P110" s="149" t="str">
        <f ca="1">IFERROR(VALUE(IF(VLOOKUP($A110,数出表_Excel!$A$6:$T$150,COLUMN()/2+1,FALSE)=0,"",VLOOKUP($A110,数出表_Excel!$A$6:$T$150,COLUMN()/2+1,FALSE))),"")</f>
        <v/>
      </c>
      <c r="Q110" s="63"/>
      <c r="R110" s="149" t="str">
        <f ca="1">IFERROR(VALUE(IF(VLOOKUP($A110,数出表_Excel!$A$6:$T$150,COLUMN()/2+1,FALSE)=0,"",VLOOKUP($A110,数出表_Excel!$A$6:$T$150,COLUMN()/2+1,FALSE))),"")</f>
        <v/>
      </c>
      <c r="S110" s="63"/>
      <c r="T110" s="149" t="str">
        <f ca="1">IFERROR(VALUE(IF(VLOOKUP($A110,数出表_Excel!$A$6:$T$150,COLUMN()/2+1,FALSE)=0,"",VLOOKUP($A110,数出表_Excel!$A$6:$T$150,COLUMN()/2+1,FALSE))),"")</f>
        <v/>
      </c>
      <c r="U110" s="63"/>
      <c r="V110" s="149" t="str">
        <f ca="1">IFERROR(VALUE(IF(VLOOKUP($A110,数出表_Excel!$A$6:$T$150,COLUMN()/2+1,FALSE)=0,"",VLOOKUP($A110,数出表_Excel!$A$6:$T$150,COLUMN()/2+1,FALSE))),"")</f>
        <v/>
      </c>
      <c r="W110" s="63"/>
      <c r="X110" s="149" t="str">
        <f ca="1">IFERROR(VALUE(IF(VLOOKUP($A110,数出表_Excel!$A$6:$T$150,COLUMN()/2+1,FALSE)=0,"",VLOOKUP($A110,数出表_Excel!$A$6:$T$150,COLUMN()/2+1,FALSE))),"")</f>
        <v/>
      </c>
      <c r="Y110" s="63"/>
      <c r="Z110" s="149" t="str">
        <f ca="1">IFERROR(VALUE(IF(VLOOKUP($A110,数出表_Excel!$A$6:$T$150,COLUMN()/2+1,FALSE)=0,"",VLOOKUP($A110,数出表_Excel!$A$6:$T$150,COLUMN()/2+1,FALSE))),"")</f>
        <v/>
      </c>
      <c r="AA110" s="63"/>
      <c r="AB110" s="149" t="str">
        <f ca="1">IFERROR(VALUE(IF(VLOOKUP($A110,数出表_Excel!$A$6:$T$150,COLUMN()/2+1,FALSE)=0,"",VLOOKUP($A110,数出表_Excel!$A$6:$T$150,COLUMN()/2+1,FALSE))),"")</f>
        <v/>
      </c>
      <c r="AC110" s="63"/>
      <c r="AD110" s="149" t="str">
        <f ca="1">IFERROR(VALUE(IF(VLOOKUP($A110,数出表_Excel!$A$6:$T$150,COLUMN()/2+1,FALSE)=0,"",VLOOKUP($A110,数出表_Excel!$A$6:$T$150,COLUMN()/2+1,FALSE))),"")</f>
        <v/>
      </c>
      <c r="AE110" s="63"/>
      <c r="AF110" s="149" t="str">
        <f ca="1">IFERROR(VALUE(IF(VLOOKUP($A110,数出表_Excel!$A$6:$T$150,COLUMN()/2+1,FALSE)=0,"",VLOOKUP($A110,数出表_Excel!$A$6:$T$150,COLUMN()/2+1,FALSE))),"")</f>
        <v/>
      </c>
      <c r="AG110" s="63"/>
      <c r="AH110" s="149" t="str">
        <f ca="1">IFERROR(VALUE(IF(VLOOKUP($A110,数出表_Excel!$A$6:$T$150,COLUMN()/2+1,FALSE)=0,"",VLOOKUP($A110,数出表_Excel!$A$6:$T$150,COLUMN()/2+1,FALSE))),"")</f>
        <v/>
      </c>
      <c r="AI110" s="63"/>
      <c r="AJ110" s="149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 x14ac:dyDescent="0.45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 x14ac:dyDescent="0.45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49" t="str">
        <f ca="1">IFERROR(VALUE(IF(VLOOKUP($A112,数出表_Excel!$A$6:$T$150,COLUMN()/2+1,FALSE)=0,"",VLOOKUP($A112,数出表_Excel!$A$6:$T$150,COLUMN()/2+1,FALSE))),"")</f>
        <v/>
      </c>
      <c r="C112" s="63"/>
      <c r="D112" s="149" t="str">
        <f ca="1">IFERROR(VALUE(IF(VLOOKUP($A112,数出表_Excel!$A$6:$T$150,COLUMN()/2+1,FALSE)=0,"",VLOOKUP($A112,数出表_Excel!$A$6:$T$150,COLUMN()/2+1,FALSE))),"")</f>
        <v/>
      </c>
      <c r="E112" s="63"/>
      <c r="F112" s="149" t="str">
        <f ca="1">IFERROR(VALUE(IF(VLOOKUP($A112,数出表_Excel!$A$6:$T$150,COLUMN()/2+1,FALSE)=0,"",VLOOKUP($A112,数出表_Excel!$A$6:$T$150,COLUMN()/2+1,FALSE))),"")</f>
        <v/>
      </c>
      <c r="G112" s="63"/>
      <c r="H112" s="149" t="str">
        <f ca="1">IFERROR(VALUE(IF(VLOOKUP($A112,数出表_Excel!$A$6:$T$150,COLUMN()/2+1,FALSE)=0,"",VLOOKUP($A112,数出表_Excel!$A$6:$T$150,COLUMN()/2+1,FALSE))),"")</f>
        <v/>
      </c>
      <c r="I112" s="63"/>
      <c r="J112" s="149" t="str">
        <f ca="1">IFERROR(VALUE(IF(VLOOKUP($A112,数出表_Excel!$A$6:$T$150,COLUMN()/2+1,FALSE)=0,"",VLOOKUP($A112,数出表_Excel!$A$6:$T$150,COLUMN()/2+1,FALSE))),"")</f>
        <v/>
      </c>
      <c r="K112" s="63"/>
      <c r="L112" s="149" t="str">
        <f ca="1">IFERROR(VALUE(IF(VLOOKUP($A112,数出表_Excel!$A$6:$T$150,COLUMN()/2+1,FALSE)=0,"",VLOOKUP($A112,数出表_Excel!$A$6:$T$150,COLUMN()/2+1,FALSE))),"")</f>
        <v/>
      </c>
      <c r="M112" s="63"/>
      <c r="N112" s="149" t="str">
        <f ca="1">IFERROR(VALUE(IF(VLOOKUP($A112,数出表_Excel!$A$6:$T$150,COLUMN()/2+1,FALSE)=0,"",VLOOKUP($A112,数出表_Excel!$A$6:$T$150,COLUMN()/2+1,FALSE))),"")</f>
        <v/>
      </c>
      <c r="O112" s="63"/>
      <c r="P112" s="149" t="str">
        <f ca="1">IFERROR(VALUE(IF(VLOOKUP($A112,数出表_Excel!$A$6:$T$150,COLUMN()/2+1,FALSE)=0,"",VLOOKUP($A112,数出表_Excel!$A$6:$T$150,COLUMN()/2+1,FALSE))),"")</f>
        <v/>
      </c>
      <c r="Q112" s="63"/>
      <c r="R112" s="149" t="str">
        <f ca="1">IFERROR(VALUE(IF(VLOOKUP($A112,数出表_Excel!$A$6:$T$150,COLUMN()/2+1,FALSE)=0,"",VLOOKUP($A112,数出表_Excel!$A$6:$T$150,COLUMN()/2+1,FALSE))),"")</f>
        <v/>
      </c>
      <c r="S112" s="63"/>
      <c r="T112" s="149" t="str">
        <f ca="1">IFERROR(VALUE(IF(VLOOKUP($A112,数出表_Excel!$A$6:$T$150,COLUMN()/2+1,FALSE)=0,"",VLOOKUP($A112,数出表_Excel!$A$6:$T$150,COLUMN()/2+1,FALSE))),"")</f>
        <v/>
      </c>
      <c r="U112" s="63"/>
      <c r="V112" s="149" t="str">
        <f ca="1">IFERROR(VALUE(IF(VLOOKUP($A112,数出表_Excel!$A$6:$T$150,COLUMN()/2+1,FALSE)=0,"",VLOOKUP($A112,数出表_Excel!$A$6:$T$150,COLUMN()/2+1,FALSE))),"")</f>
        <v/>
      </c>
      <c r="W112" s="63"/>
      <c r="X112" s="149" t="str">
        <f ca="1">IFERROR(VALUE(IF(VLOOKUP($A112,数出表_Excel!$A$6:$T$150,COLUMN()/2+1,FALSE)=0,"",VLOOKUP($A112,数出表_Excel!$A$6:$T$150,COLUMN()/2+1,FALSE))),"")</f>
        <v/>
      </c>
      <c r="Y112" s="63"/>
      <c r="Z112" s="149" t="str">
        <f ca="1">IFERROR(VALUE(IF(VLOOKUP($A112,数出表_Excel!$A$6:$T$150,COLUMN()/2+1,FALSE)=0,"",VLOOKUP($A112,数出表_Excel!$A$6:$T$150,COLUMN()/2+1,FALSE))),"")</f>
        <v/>
      </c>
      <c r="AA112" s="63"/>
      <c r="AB112" s="149" t="str">
        <f ca="1">IFERROR(VALUE(IF(VLOOKUP($A112,数出表_Excel!$A$6:$T$150,COLUMN()/2+1,FALSE)=0,"",VLOOKUP($A112,数出表_Excel!$A$6:$T$150,COLUMN()/2+1,FALSE))),"")</f>
        <v/>
      </c>
      <c r="AC112" s="63"/>
      <c r="AD112" s="149" t="str">
        <f ca="1">IFERROR(VALUE(IF(VLOOKUP($A112,数出表_Excel!$A$6:$T$150,COLUMN()/2+1,FALSE)=0,"",VLOOKUP($A112,数出表_Excel!$A$6:$T$150,COLUMN()/2+1,FALSE))),"")</f>
        <v/>
      </c>
      <c r="AE112" s="63"/>
      <c r="AF112" s="149" t="str">
        <f ca="1">IFERROR(VALUE(IF(VLOOKUP($A112,数出表_Excel!$A$6:$T$150,COLUMN()/2+1,FALSE)=0,"",VLOOKUP($A112,数出表_Excel!$A$6:$T$150,COLUMN()/2+1,FALSE))),"")</f>
        <v/>
      </c>
      <c r="AG112" s="63"/>
      <c r="AH112" s="149" t="str">
        <f ca="1">IFERROR(VALUE(IF(VLOOKUP($A112,数出表_Excel!$A$6:$T$150,COLUMN()/2+1,FALSE)=0,"",VLOOKUP($A112,数出表_Excel!$A$6:$T$150,COLUMN()/2+1,FALSE))),"")</f>
        <v/>
      </c>
      <c r="AI112" s="63"/>
      <c r="AJ112" s="149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 x14ac:dyDescent="0.45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 x14ac:dyDescent="0.45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49" t="str">
        <f ca="1">IFERROR(VALUE(IF(VLOOKUP($A114,数出表_Excel!$A$6:$T$150,COLUMN()/2+1,FALSE)=0,"",VLOOKUP($A114,数出表_Excel!$A$6:$T$150,COLUMN()/2+1,FALSE))),"")</f>
        <v/>
      </c>
      <c r="C114" s="63"/>
      <c r="D114" s="149" t="str">
        <f ca="1">IFERROR(VALUE(IF(VLOOKUP($A114,数出表_Excel!$A$6:$T$150,COLUMN()/2+1,FALSE)=0,"",VLOOKUP($A114,数出表_Excel!$A$6:$T$150,COLUMN()/2+1,FALSE))),"")</f>
        <v/>
      </c>
      <c r="E114" s="63"/>
      <c r="F114" s="149" t="str">
        <f ca="1">IFERROR(VALUE(IF(VLOOKUP($A114,数出表_Excel!$A$6:$T$150,COLUMN()/2+1,FALSE)=0,"",VLOOKUP($A114,数出表_Excel!$A$6:$T$150,COLUMN()/2+1,FALSE))),"")</f>
        <v/>
      </c>
      <c r="G114" s="63"/>
      <c r="H114" s="149" t="str">
        <f ca="1">IFERROR(VALUE(IF(VLOOKUP($A114,数出表_Excel!$A$6:$T$150,COLUMN()/2+1,FALSE)=0,"",VLOOKUP($A114,数出表_Excel!$A$6:$T$150,COLUMN()/2+1,FALSE))),"")</f>
        <v/>
      </c>
      <c r="I114" s="63"/>
      <c r="J114" s="149" t="str">
        <f ca="1">IFERROR(VALUE(IF(VLOOKUP($A114,数出表_Excel!$A$6:$T$150,COLUMN()/2+1,FALSE)=0,"",VLOOKUP($A114,数出表_Excel!$A$6:$T$150,COLUMN()/2+1,FALSE))),"")</f>
        <v/>
      </c>
      <c r="K114" s="63"/>
      <c r="L114" s="149" t="str">
        <f ca="1">IFERROR(VALUE(IF(VLOOKUP($A114,数出表_Excel!$A$6:$T$150,COLUMN()/2+1,FALSE)=0,"",VLOOKUP($A114,数出表_Excel!$A$6:$T$150,COLUMN()/2+1,FALSE))),"")</f>
        <v/>
      </c>
      <c r="M114" s="63"/>
      <c r="N114" s="149" t="str">
        <f ca="1">IFERROR(VALUE(IF(VLOOKUP($A114,数出表_Excel!$A$6:$T$150,COLUMN()/2+1,FALSE)=0,"",VLOOKUP($A114,数出表_Excel!$A$6:$T$150,COLUMN()/2+1,FALSE))),"")</f>
        <v/>
      </c>
      <c r="O114" s="63"/>
      <c r="P114" s="149" t="str">
        <f ca="1">IFERROR(VALUE(IF(VLOOKUP($A114,数出表_Excel!$A$6:$T$150,COLUMN()/2+1,FALSE)=0,"",VLOOKUP($A114,数出表_Excel!$A$6:$T$150,COLUMN()/2+1,FALSE))),"")</f>
        <v/>
      </c>
      <c r="Q114" s="63"/>
      <c r="R114" s="149" t="str">
        <f ca="1">IFERROR(VALUE(IF(VLOOKUP($A114,数出表_Excel!$A$6:$T$150,COLUMN()/2+1,FALSE)=0,"",VLOOKUP($A114,数出表_Excel!$A$6:$T$150,COLUMN()/2+1,FALSE))),"")</f>
        <v/>
      </c>
      <c r="S114" s="63"/>
      <c r="T114" s="149" t="str">
        <f ca="1">IFERROR(VALUE(IF(VLOOKUP($A114,数出表_Excel!$A$6:$T$150,COLUMN()/2+1,FALSE)=0,"",VLOOKUP($A114,数出表_Excel!$A$6:$T$150,COLUMN()/2+1,FALSE))),"")</f>
        <v/>
      </c>
      <c r="U114" s="63"/>
      <c r="V114" s="149" t="str">
        <f ca="1">IFERROR(VALUE(IF(VLOOKUP($A114,数出表_Excel!$A$6:$T$150,COLUMN()/2+1,FALSE)=0,"",VLOOKUP($A114,数出表_Excel!$A$6:$T$150,COLUMN()/2+1,FALSE))),"")</f>
        <v/>
      </c>
      <c r="W114" s="63"/>
      <c r="X114" s="149" t="str">
        <f ca="1">IFERROR(VALUE(IF(VLOOKUP($A114,数出表_Excel!$A$6:$T$150,COLUMN()/2+1,FALSE)=0,"",VLOOKUP($A114,数出表_Excel!$A$6:$T$150,COLUMN()/2+1,FALSE))),"")</f>
        <v/>
      </c>
      <c r="Y114" s="63"/>
      <c r="Z114" s="149" t="str">
        <f ca="1">IFERROR(VALUE(IF(VLOOKUP($A114,数出表_Excel!$A$6:$T$150,COLUMN()/2+1,FALSE)=0,"",VLOOKUP($A114,数出表_Excel!$A$6:$T$150,COLUMN()/2+1,FALSE))),"")</f>
        <v/>
      </c>
      <c r="AA114" s="63"/>
      <c r="AB114" s="149" t="str">
        <f ca="1">IFERROR(VALUE(IF(VLOOKUP($A114,数出表_Excel!$A$6:$T$150,COLUMN()/2+1,FALSE)=0,"",VLOOKUP($A114,数出表_Excel!$A$6:$T$150,COLUMN()/2+1,FALSE))),"")</f>
        <v/>
      </c>
      <c r="AC114" s="63"/>
      <c r="AD114" s="149" t="str">
        <f ca="1">IFERROR(VALUE(IF(VLOOKUP($A114,数出表_Excel!$A$6:$T$150,COLUMN()/2+1,FALSE)=0,"",VLOOKUP($A114,数出表_Excel!$A$6:$T$150,COLUMN()/2+1,FALSE))),"")</f>
        <v/>
      </c>
      <c r="AE114" s="63"/>
      <c r="AF114" s="149" t="str">
        <f ca="1">IFERROR(VALUE(IF(VLOOKUP($A114,数出表_Excel!$A$6:$T$150,COLUMN()/2+1,FALSE)=0,"",VLOOKUP($A114,数出表_Excel!$A$6:$T$150,COLUMN()/2+1,FALSE))),"")</f>
        <v/>
      </c>
      <c r="AG114" s="63"/>
      <c r="AH114" s="149" t="str">
        <f ca="1">IFERROR(VALUE(IF(VLOOKUP($A114,数出表_Excel!$A$6:$T$150,COLUMN()/2+1,FALSE)=0,"",VLOOKUP($A114,数出表_Excel!$A$6:$T$150,COLUMN()/2+1,FALSE))),"")</f>
        <v/>
      </c>
      <c r="AI114" s="63"/>
      <c r="AJ114" s="149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 x14ac:dyDescent="0.45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 x14ac:dyDescent="0.45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49" t="str">
        <f ca="1">IFERROR(VALUE(IF(VLOOKUP($A116,数出表_Excel!$A$6:$T$150,COLUMN()/2+1,FALSE)=0,"",VLOOKUP($A116,数出表_Excel!$A$6:$T$150,COLUMN()/2+1,FALSE))),"")</f>
        <v/>
      </c>
      <c r="C116" s="63"/>
      <c r="D116" s="149" t="str">
        <f ca="1">IFERROR(VALUE(IF(VLOOKUP($A116,数出表_Excel!$A$6:$T$150,COLUMN()/2+1,FALSE)=0,"",VLOOKUP($A116,数出表_Excel!$A$6:$T$150,COLUMN()/2+1,FALSE))),"")</f>
        <v/>
      </c>
      <c r="E116" s="63"/>
      <c r="F116" s="149" t="str">
        <f ca="1">IFERROR(VALUE(IF(VLOOKUP($A116,数出表_Excel!$A$6:$T$150,COLUMN()/2+1,FALSE)=0,"",VLOOKUP($A116,数出表_Excel!$A$6:$T$150,COLUMN()/2+1,FALSE))),"")</f>
        <v/>
      </c>
      <c r="G116" s="63"/>
      <c r="H116" s="149" t="str">
        <f ca="1">IFERROR(VALUE(IF(VLOOKUP($A116,数出表_Excel!$A$6:$T$150,COLUMN()/2+1,FALSE)=0,"",VLOOKUP($A116,数出表_Excel!$A$6:$T$150,COLUMN()/2+1,FALSE))),"")</f>
        <v/>
      </c>
      <c r="I116" s="63"/>
      <c r="J116" s="149" t="str">
        <f ca="1">IFERROR(VALUE(IF(VLOOKUP($A116,数出表_Excel!$A$6:$T$150,COLUMN()/2+1,FALSE)=0,"",VLOOKUP($A116,数出表_Excel!$A$6:$T$150,COLUMN()/2+1,FALSE))),"")</f>
        <v/>
      </c>
      <c r="K116" s="63"/>
      <c r="L116" s="149" t="str">
        <f ca="1">IFERROR(VALUE(IF(VLOOKUP($A116,数出表_Excel!$A$6:$T$150,COLUMN()/2+1,FALSE)=0,"",VLOOKUP($A116,数出表_Excel!$A$6:$T$150,COLUMN()/2+1,FALSE))),"")</f>
        <v/>
      </c>
      <c r="M116" s="63"/>
      <c r="N116" s="149" t="str">
        <f ca="1">IFERROR(VALUE(IF(VLOOKUP($A116,数出表_Excel!$A$6:$T$150,COLUMN()/2+1,FALSE)=0,"",VLOOKUP($A116,数出表_Excel!$A$6:$T$150,COLUMN()/2+1,FALSE))),"")</f>
        <v/>
      </c>
      <c r="O116" s="63"/>
      <c r="P116" s="149" t="str">
        <f ca="1">IFERROR(VALUE(IF(VLOOKUP($A116,数出表_Excel!$A$6:$T$150,COLUMN()/2+1,FALSE)=0,"",VLOOKUP($A116,数出表_Excel!$A$6:$T$150,COLUMN()/2+1,FALSE))),"")</f>
        <v/>
      </c>
      <c r="Q116" s="63"/>
      <c r="R116" s="149" t="str">
        <f ca="1">IFERROR(VALUE(IF(VLOOKUP($A116,数出表_Excel!$A$6:$T$150,COLUMN()/2+1,FALSE)=0,"",VLOOKUP($A116,数出表_Excel!$A$6:$T$150,COLUMN()/2+1,FALSE))),"")</f>
        <v/>
      </c>
      <c r="S116" s="63"/>
      <c r="T116" s="149" t="str">
        <f ca="1">IFERROR(VALUE(IF(VLOOKUP($A116,数出表_Excel!$A$6:$T$150,COLUMN()/2+1,FALSE)=0,"",VLOOKUP($A116,数出表_Excel!$A$6:$T$150,COLUMN()/2+1,FALSE))),"")</f>
        <v/>
      </c>
      <c r="U116" s="63"/>
      <c r="V116" s="149" t="str">
        <f ca="1">IFERROR(VALUE(IF(VLOOKUP($A116,数出表_Excel!$A$6:$T$150,COLUMN()/2+1,FALSE)=0,"",VLOOKUP($A116,数出表_Excel!$A$6:$T$150,COLUMN()/2+1,FALSE))),"")</f>
        <v/>
      </c>
      <c r="W116" s="63"/>
      <c r="X116" s="149" t="str">
        <f ca="1">IFERROR(VALUE(IF(VLOOKUP($A116,数出表_Excel!$A$6:$T$150,COLUMN()/2+1,FALSE)=0,"",VLOOKUP($A116,数出表_Excel!$A$6:$T$150,COLUMN()/2+1,FALSE))),"")</f>
        <v/>
      </c>
      <c r="Y116" s="63"/>
      <c r="Z116" s="149" t="str">
        <f ca="1">IFERROR(VALUE(IF(VLOOKUP($A116,数出表_Excel!$A$6:$T$150,COLUMN()/2+1,FALSE)=0,"",VLOOKUP($A116,数出表_Excel!$A$6:$T$150,COLUMN()/2+1,FALSE))),"")</f>
        <v/>
      </c>
      <c r="AA116" s="63"/>
      <c r="AB116" s="149" t="str">
        <f ca="1">IFERROR(VALUE(IF(VLOOKUP($A116,数出表_Excel!$A$6:$T$150,COLUMN()/2+1,FALSE)=0,"",VLOOKUP($A116,数出表_Excel!$A$6:$T$150,COLUMN()/2+1,FALSE))),"")</f>
        <v/>
      </c>
      <c r="AC116" s="63"/>
      <c r="AD116" s="149" t="str">
        <f ca="1">IFERROR(VALUE(IF(VLOOKUP($A116,数出表_Excel!$A$6:$T$150,COLUMN()/2+1,FALSE)=0,"",VLOOKUP($A116,数出表_Excel!$A$6:$T$150,COLUMN()/2+1,FALSE))),"")</f>
        <v/>
      </c>
      <c r="AE116" s="63"/>
      <c r="AF116" s="149" t="str">
        <f ca="1">IFERROR(VALUE(IF(VLOOKUP($A116,数出表_Excel!$A$6:$T$150,COLUMN()/2+1,FALSE)=0,"",VLOOKUP($A116,数出表_Excel!$A$6:$T$150,COLUMN()/2+1,FALSE))),"")</f>
        <v/>
      </c>
      <c r="AG116" s="63"/>
      <c r="AH116" s="149" t="str">
        <f ca="1">IFERROR(VALUE(IF(VLOOKUP($A116,数出表_Excel!$A$6:$T$150,COLUMN()/2+1,FALSE)=0,"",VLOOKUP($A116,数出表_Excel!$A$6:$T$150,COLUMN()/2+1,FALSE))),"")</f>
        <v/>
      </c>
      <c r="AI116" s="63"/>
      <c r="AJ116" s="149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 x14ac:dyDescent="0.45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 x14ac:dyDescent="0.45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49" t="str">
        <f ca="1">IFERROR(VALUE(IF(VLOOKUP($A118,数出表_Excel!$A$6:$T$150,COLUMN()/2+1,FALSE)=0,"",VLOOKUP($A118,数出表_Excel!$A$6:$T$150,COLUMN()/2+1,FALSE))),"")</f>
        <v/>
      </c>
      <c r="C118" s="63"/>
      <c r="D118" s="149" t="str">
        <f ca="1">IFERROR(VALUE(IF(VLOOKUP($A118,数出表_Excel!$A$6:$T$150,COLUMN()/2+1,FALSE)=0,"",VLOOKUP($A118,数出表_Excel!$A$6:$T$150,COLUMN()/2+1,FALSE))),"")</f>
        <v/>
      </c>
      <c r="E118" s="63"/>
      <c r="F118" s="149" t="str">
        <f ca="1">IFERROR(VALUE(IF(VLOOKUP($A118,数出表_Excel!$A$6:$T$150,COLUMN()/2+1,FALSE)=0,"",VLOOKUP($A118,数出表_Excel!$A$6:$T$150,COLUMN()/2+1,FALSE))),"")</f>
        <v/>
      </c>
      <c r="G118" s="63"/>
      <c r="H118" s="149" t="str">
        <f ca="1">IFERROR(VALUE(IF(VLOOKUP($A118,数出表_Excel!$A$6:$T$150,COLUMN()/2+1,FALSE)=0,"",VLOOKUP($A118,数出表_Excel!$A$6:$T$150,COLUMN()/2+1,FALSE))),"")</f>
        <v/>
      </c>
      <c r="I118" s="63"/>
      <c r="J118" s="149" t="str">
        <f ca="1">IFERROR(VALUE(IF(VLOOKUP($A118,数出表_Excel!$A$6:$T$150,COLUMN()/2+1,FALSE)=0,"",VLOOKUP($A118,数出表_Excel!$A$6:$T$150,COLUMN()/2+1,FALSE))),"")</f>
        <v/>
      </c>
      <c r="K118" s="63"/>
      <c r="L118" s="149" t="str">
        <f ca="1">IFERROR(VALUE(IF(VLOOKUP($A118,数出表_Excel!$A$6:$T$150,COLUMN()/2+1,FALSE)=0,"",VLOOKUP($A118,数出表_Excel!$A$6:$T$150,COLUMN()/2+1,FALSE))),"")</f>
        <v/>
      </c>
      <c r="M118" s="63"/>
      <c r="N118" s="149" t="str">
        <f ca="1">IFERROR(VALUE(IF(VLOOKUP($A118,数出表_Excel!$A$6:$T$150,COLUMN()/2+1,FALSE)=0,"",VLOOKUP($A118,数出表_Excel!$A$6:$T$150,COLUMN()/2+1,FALSE))),"")</f>
        <v/>
      </c>
      <c r="O118" s="63"/>
      <c r="P118" s="149" t="str">
        <f ca="1">IFERROR(VALUE(IF(VLOOKUP($A118,数出表_Excel!$A$6:$T$150,COLUMN()/2+1,FALSE)=0,"",VLOOKUP($A118,数出表_Excel!$A$6:$T$150,COLUMN()/2+1,FALSE))),"")</f>
        <v/>
      </c>
      <c r="Q118" s="63"/>
      <c r="R118" s="149" t="str">
        <f ca="1">IFERROR(VALUE(IF(VLOOKUP($A118,数出表_Excel!$A$6:$T$150,COLUMN()/2+1,FALSE)=0,"",VLOOKUP($A118,数出表_Excel!$A$6:$T$150,COLUMN()/2+1,FALSE))),"")</f>
        <v/>
      </c>
      <c r="S118" s="63"/>
      <c r="T118" s="149" t="str">
        <f ca="1">IFERROR(VALUE(IF(VLOOKUP($A118,数出表_Excel!$A$6:$T$150,COLUMN()/2+1,FALSE)=0,"",VLOOKUP($A118,数出表_Excel!$A$6:$T$150,COLUMN()/2+1,FALSE))),"")</f>
        <v/>
      </c>
      <c r="U118" s="63"/>
      <c r="V118" s="149" t="str">
        <f ca="1">IFERROR(VALUE(IF(VLOOKUP($A118,数出表_Excel!$A$6:$T$150,COLUMN()/2+1,FALSE)=0,"",VLOOKUP($A118,数出表_Excel!$A$6:$T$150,COLUMN()/2+1,FALSE))),"")</f>
        <v/>
      </c>
      <c r="W118" s="63"/>
      <c r="X118" s="149" t="str">
        <f ca="1">IFERROR(VALUE(IF(VLOOKUP($A118,数出表_Excel!$A$6:$T$150,COLUMN()/2+1,FALSE)=0,"",VLOOKUP($A118,数出表_Excel!$A$6:$T$150,COLUMN()/2+1,FALSE))),"")</f>
        <v/>
      </c>
      <c r="Y118" s="63"/>
      <c r="Z118" s="149" t="str">
        <f ca="1">IFERROR(VALUE(IF(VLOOKUP($A118,数出表_Excel!$A$6:$T$150,COLUMN()/2+1,FALSE)=0,"",VLOOKUP($A118,数出表_Excel!$A$6:$T$150,COLUMN()/2+1,FALSE))),"")</f>
        <v/>
      </c>
      <c r="AA118" s="63"/>
      <c r="AB118" s="149" t="str">
        <f ca="1">IFERROR(VALUE(IF(VLOOKUP($A118,数出表_Excel!$A$6:$T$150,COLUMN()/2+1,FALSE)=0,"",VLOOKUP($A118,数出表_Excel!$A$6:$T$150,COLUMN()/2+1,FALSE))),"")</f>
        <v/>
      </c>
      <c r="AC118" s="63"/>
      <c r="AD118" s="149" t="str">
        <f ca="1">IFERROR(VALUE(IF(VLOOKUP($A118,数出表_Excel!$A$6:$T$150,COLUMN()/2+1,FALSE)=0,"",VLOOKUP($A118,数出表_Excel!$A$6:$T$150,COLUMN()/2+1,FALSE))),"")</f>
        <v/>
      </c>
      <c r="AE118" s="63"/>
      <c r="AF118" s="149" t="str">
        <f ca="1">IFERROR(VALUE(IF(VLOOKUP($A118,数出表_Excel!$A$6:$T$150,COLUMN()/2+1,FALSE)=0,"",VLOOKUP($A118,数出表_Excel!$A$6:$T$150,COLUMN()/2+1,FALSE))),"")</f>
        <v/>
      </c>
      <c r="AG118" s="63"/>
      <c r="AH118" s="149" t="str">
        <f ca="1">IFERROR(VALUE(IF(VLOOKUP($A118,数出表_Excel!$A$6:$T$150,COLUMN()/2+1,FALSE)=0,"",VLOOKUP($A118,数出表_Excel!$A$6:$T$150,COLUMN()/2+1,FALSE))),"")</f>
        <v/>
      </c>
      <c r="AI118" s="63"/>
      <c r="AJ118" s="149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 x14ac:dyDescent="0.45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 x14ac:dyDescent="0.45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49" t="str">
        <f ca="1">IFERROR(VALUE(IF(VLOOKUP($A120,数出表_Excel!$A$6:$T$150,COLUMN()/2+1,FALSE)=0,"",VLOOKUP($A120,数出表_Excel!$A$6:$T$150,COLUMN()/2+1,FALSE))),"")</f>
        <v/>
      </c>
      <c r="C120" s="63"/>
      <c r="D120" s="149" t="str">
        <f ca="1">IFERROR(VALUE(IF(VLOOKUP($A120,数出表_Excel!$A$6:$T$150,COLUMN()/2+1,FALSE)=0,"",VLOOKUP($A120,数出表_Excel!$A$6:$T$150,COLUMN()/2+1,FALSE))),"")</f>
        <v/>
      </c>
      <c r="E120" s="63"/>
      <c r="F120" s="149" t="str">
        <f ca="1">IFERROR(VALUE(IF(VLOOKUP($A120,数出表_Excel!$A$6:$T$150,COLUMN()/2+1,FALSE)=0,"",VLOOKUP($A120,数出表_Excel!$A$6:$T$150,COLUMN()/2+1,FALSE))),"")</f>
        <v/>
      </c>
      <c r="G120" s="63"/>
      <c r="H120" s="149" t="str">
        <f ca="1">IFERROR(VALUE(IF(VLOOKUP($A120,数出表_Excel!$A$6:$T$150,COLUMN()/2+1,FALSE)=0,"",VLOOKUP($A120,数出表_Excel!$A$6:$T$150,COLUMN()/2+1,FALSE))),"")</f>
        <v/>
      </c>
      <c r="I120" s="63"/>
      <c r="J120" s="149" t="str">
        <f ca="1">IFERROR(VALUE(IF(VLOOKUP($A120,数出表_Excel!$A$6:$T$150,COLUMN()/2+1,FALSE)=0,"",VLOOKUP($A120,数出表_Excel!$A$6:$T$150,COLUMN()/2+1,FALSE))),"")</f>
        <v/>
      </c>
      <c r="K120" s="63"/>
      <c r="L120" s="149" t="str">
        <f ca="1">IFERROR(VALUE(IF(VLOOKUP($A120,数出表_Excel!$A$6:$T$150,COLUMN()/2+1,FALSE)=0,"",VLOOKUP($A120,数出表_Excel!$A$6:$T$150,COLUMN()/2+1,FALSE))),"")</f>
        <v/>
      </c>
      <c r="M120" s="63"/>
      <c r="N120" s="149" t="str">
        <f ca="1">IFERROR(VALUE(IF(VLOOKUP($A120,数出表_Excel!$A$6:$T$150,COLUMN()/2+1,FALSE)=0,"",VLOOKUP($A120,数出表_Excel!$A$6:$T$150,COLUMN()/2+1,FALSE))),"")</f>
        <v/>
      </c>
      <c r="O120" s="63"/>
      <c r="P120" s="149" t="str">
        <f ca="1">IFERROR(VALUE(IF(VLOOKUP($A120,数出表_Excel!$A$6:$T$150,COLUMN()/2+1,FALSE)=0,"",VLOOKUP($A120,数出表_Excel!$A$6:$T$150,COLUMN()/2+1,FALSE))),"")</f>
        <v/>
      </c>
      <c r="Q120" s="63"/>
      <c r="R120" s="149" t="str">
        <f ca="1">IFERROR(VALUE(IF(VLOOKUP($A120,数出表_Excel!$A$6:$T$150,COLUMN()/2+1,FALSE)=0,"",VLOOKUP($A120,数出表_Excel!$A$6:$T$150,COLUMN()/2+1,FALSE))),"")</f>
        <v/>
      </c>
      <c r="S120" s="63"/>
      <c r="T120" s="149" t="str">
        <f ca="1">IFERROR(VALUE(IF(VLOOKUP($A120,数出表_Excel!$A$6:$T$150,COLUMN()/2+1,FALSE)=0,"",VLOOKUP($A120,数出表_Excel!$A$6:$T$150,COLUMN()/2+1,FALSE))),"")</f>
        <v/>
      </c>
      <c r="U120" s="63"/>
      <c r="V120" s="149" t="str">
        <f ca="1">IFERROR(VALUE(IF(VLOOKUP($A120,数出表_Excel!$A$6:$T$150,COLUMN()/2+1,FALSE)=0,"",VLOOKUP($A120,数出表_Excel!$A$6:$T$150,COLUMN()/2+1,FALSE))),"")</f>
        <v/>
      </c>
      <c r="W120" s="63"/>
      <c r="X120" s="149" t="str">
        <f ca="1">IFERROR(VALUE(IF(VLOOKUP($A120,数出表_Excel!$A$6:$T$150,COLUMN()/2+1,FALSE)=0,"",VLOOKUP($A120,数出表_Excel!$A$6:$T$150,COLUMN()/2+1,FALSE))),"")</f>
        <v/>
      </c>
      <c r="Y120" s="63"/>
      <c r="Z120" s="149" t="str">
        <f ca="1">IFERROR(VALUE(IF(VLOOKUP($A120,数出表_Excel!$A$6:$T$150,COLUMN()/2+1,FALSE)=0,"",VLOOKUP($A120,数出表_Excel!$A$6:$T$150,COLUMN()/2+1,FALSE))),"")</f>
        <v/>
      </c>
      <c r="AA120" s="63"/>
      <c r="AB120" s="149" t="str">
        <f ca="1">IFERROR(VALUE(IF(VLOOKUP($A120,数出表_Excel!$A$6:$T$150,COLUMN()/2+1,FALSE)=0,"",VLOOKUP($A120,数出表_Excel!$A$6:$T$150,COLUMN()/2+1,FALSE))),"")</f>
        <v/>
      </c>
      <c r="AC120" s="63"/>
      <c r="AD120" s="149" t="str">
        <f ca="1">IFERROR(VALUE(IF(VLOOKUP($A120,数出表_Excel!$A$6:$T$150,COLUMN()/2+1,FALSE)=0,"",VLOOKUP($A120,数出表_Excel!$A$6:$T$150,COLUMN()/2+1,FALSE))),"")</f>
        <v/>
      </c>
      <c r="AE120" s="63"/>
      <c r="AF120" s="149" t="str">
        <f ca="1">IFERROR(VALUE(IF(VLOOKUP($A120,数出表_Excel!$A$6:$T$150,COLUMN()/2+1,FALSE)=0,"",VLOOKUP($A120,数出表_Excel!$A$6:$T$150,COLUMN()/2+1,FALSE))),"")</f>
        <v/>
      </c>
      <c r="AG120" s="63"/>
      <c r="AH120" s="149" t="str">
        <f ca="1">IFERROR(VALUE(IF(VLOOKUP($A120,数出表_Excel!$A$6:$T$150,COLUMN()/2+1,FALSE)=0,"",VLOOKUP($A120,数出表_Excel!$A$6:$T$150,COLUMN()/2+1,FALSE))),"")</f>
        <v/>
      </c>
      <c r="AI120" s="63"/>
      <c r="AJ120" s="149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 x14ac:dyDescent="0.45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 x14ac:dyDescent="0.45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49" t="str">
        <f ca="1">IFERROR(VALUE(IF(VLOOKUP($A122,数出表_Excel!$A$6:$T$150,COLUMN()/2+1,FALSE)=0,"",VLOOKUP($A122,数出表_Excel!$A$6:$T$150,COLUMN()/2+1,FALSE))),"")</f>
        <v/>
      </c>
      <c r="C122" s="63"/>
      <c r="D122" s="149" t="str">
        <f ca="1">IFERROR(VALUE(IF(VLOOKUP($A122,数出表_Excel!$A$6:$T$150,COLUMN()/2+1,FALSE)=0,"",VLOOKUP($A122,数出表_Excel!$A$6:$T$150,COLUMN()/2+1,FALSE))),"")</f>
        <v/>
      </c>
      <c r="E122" s="63"/>
      <c r="F122" s="149" t="str">
        <f ca="1">IFERROR(VALUE(IF(VLOOKUP($A122,数出表_Excel!$A$6:$T$150,COLUMN()/2+1,FALSE)=0,"",VLOOKUP($A122,数出表_Excel!$A$6:$T$150,COLUMN()/2+1,FALSE))),"")</f>
        <v/>
      </c>
      <c r="G122" s="63"/>
      <c r="H122" s="149" t="str">
        <f ca="1">IFERROR(VALUE(IF(VLOOKUP($A122,数出表_Excel!$A$6:$T$150,COLUMN()/2+1,FALSE)=0,"",VLOOKUP($A122,数出表_Excel!$A$6:$T$150,COLUMN()/2+1,FALSE))),"")</f>
        <v/>
      </c>
      <c r="I122" s="63"/>
      <c r="J122" s="149" t="str">
        <f ca="1">IFERROR(VALUE(IF(VLOOKUP($A122,数出表_Excel!$A$6:$T$150,COLUMN()/2+1,FALSE)=0,"",VLOOKUP($A122,数出表_Excel!$A$6:$T$150,COLUMN()/2+1,FALSE))),"")</f>
        <v/>
      </c>
      <c r="K122" s="63"/>
      <c r="L122" s="149" t="str">
        <f ca="1">IFERROR(VALUE(IF(VLOOKUP($A122,数出表_Excel!$A$6:$T$150,COLUMN()/2+1,FALSE)=0,"",VLOOKUP($A122,数出表_Excel!$A$6:$T$150,COLUMN()/2+1,FALSE))),"")</f>
        <v/>
      </c>
      <c r="M122" s="63"/>
      <c r="N122" s="149" t="str">
        <f ca="1">IFERROR(VALUE(IF(VLOOKUP($A122,数出表_Excel!$A$6:$T$150,COLUMN()/2+1,FALSE)=0,"",VLOOKUP($A122,数出表_Excel!$A$6:$T$150,COLUMN()/2+1,FALSE))),"")</f>
        <v/>
      </c>
      <c r="O122" s="63"/>
      <c r="P122" s="149" t="str">
        <f ca="1">IFERROR(VALUE(IF(VLOOKUP($A122,数出表_Excel!$A$6:$T$150,COLUMN()/2+1,FALSE)=0,"",VLOOKUP($A122,数出表_Excel!$A$6:$T$150,COLUMN()/2+1,FALSE))),"")</f>
        <v/>
      </c>
      <c r="Q122" s="63"/>
      <c r="R122" s="149" t="str">
        <f ca="1">IFERROR(VALUE(IF(VLOOKUP($A122,数出表_Excel!$A$6:$T$150,COLUMN()/2+1,FALSE)=0,"",VLOOKUP($A122,数出表_Excel!$A$6:$T$150,COLUMN()/2+1,FALSE))),"")</f>
        <v/>
      </c>
      <c r="S122" s="63"/>
      <c r="T122" s="149" t="str">
        <f ca="1">IFERROR(VALUE(IF(VLOOKUP($A122,数出表_Excel!$A$6:$T$150,COLUMN()/2+1,FALSE)=0,"",VLOOKUP($A122,数出表_Excel!$A$6:$T$150,COLUMN()/2+1,FALSE))),"")</f>
        <v/>
      </c>
      <c r="U122" s="63"/>
      <c r="V122" s="149" t="str">
        <f ca="1">IFERROR(VALUE(IF(VLOOKUP($A122,数出表_Excel!$A$6:$T$150,COLUMN()/2+1,FALSE)=0,"",VLOOKUP($A122,数出表_Excel!$A$6:$T$150,COLUMN()/2+1,FALSE))),"")</f>
        <v/>
      </c>
      <c r="W122" s="63"/>
      <c r="X122" s="149" t="str">
        <f ca="1">IFERROR(VALUE(IF(VLOOKUP($A122,数出表_Excel!$A$6:$T$150,COLUMN()/2+1,FALSE)=0,"",VLOOKUP($A122,数出表_Excel!$A$6:$T$150,COLUMN()/2+1,FALSE))),"")</f>
        <v/>
      </c>
      <c r="Y122" s="63"/>
      <c r="Z122" s="149" t="str">
        <f ca="1">IFERROR(VALUE(IF(VLOOKUP($A122,数出表_Excel!$A$6:$T$150,COLUMN()/2+1,FALSE)=0,"",VLOOKUP($A122,数出表_Excel!$A$6:$T$150,COLUMN()/2+1,FALSE))),"")</f>
        <v/>
      </c>
      <c r="AA122" s="63"/>
      <c r="AB122" s="149" t="str">
        <f ca="1">IFERROR(VALUE(IF(VLOOKUP($A122,数出表_Excel!$A$6:$T$150,COLUMN()/2+1,FALSE)=0,"",VLOOKUP($A122,数出表_Excel!$A$6:$T$150,COLUMN()/2+1,FALSE))),"")</f>
        <v/>
      </c>
      <c r="AC122" s="63"/>
      <c r="AD122" s="149" t="str">
        <f ca="1">IFERROR(VALUE(IF(VLOOKUP($A122,数出表_Excel!$A$6:$T$150,COLUMN()/2+1,FALSE)=0,"",VLOOKUP($A122,数出表_Excel!$A$6:$T$150,COLUMN()/2+1,FALSE))),"")</f>
        <v/>
      </c>
      <c r="AE122" s="63"/>
      <c r="AF122" s="149" t="str">
        <f ca="1">IFERROR(VALUE(IF(VLOOKUP($A122,数出表_Excel!$A$6:$T$150,COLUMN()/2+1,FALSE)=0,"",VLOOKUP($A122,数出表_Excel!$A$6:$T$150,COLUMN()/2+1,FALSE))),"")</f>
        <v/>
      </c>
      <c r="AG122" s="63"/>
      <c r="AH122" s="149" t="str">
        <f ca="1">IFERROR(VALUE(IF(VLOOKUP($A122,数出表_Excel!$A$6:$T$150,COLUMN()/2+1,FALSE)=0,"",VLOOKUP($A122,数出表_Excel!$A$6:$T$150,COLUMN()/2+1,FALSE))),"")</f>
        <v/>
      </c>
      <c r="AI122" s="63"/>
      <c r="AJ122" s="149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 x14ac:dyDescent="0.45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 x14ac:dyDescent="0.45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49" t="str">
        <f ca="1">IFERROR(VALUE(IF(VLOOKUP($A124,数出表_Excel!$A$6:$T$150,COLUMN()/2+1,FALSE)=0,"",VLOOKUP($A124,数出表_Excel!$A$6:$T$150,COLUMN()/2+1,FALSE))),"")</f>
        <v/>
      </c>
      <c r="C124" s="63"/>
      <c r="D124" s="149" t="str">
        <f ca="1">IFERROR(VALUE(IF(VLOOKUP($A124,数出表_Excel!$A$6:$T$150,COLUMN()/2+1,FALSE)=0,"",VLOOKUP($A124,数出表_Excel!$A$6:$T$150,COLUMN()/2+1,FALSE))),"")</f>
        <v/>
      </c>
      <c r="E124" s="63"/>
      <c r="F124" s="149" t="str">
        <f ca="1">IFERROR(VALUE(IF(VLOOKUP($A124,数出表_Excel!$A$6:$T$150,COLUMN()/2+1,FALSE)=0,"",VLOOKUP($A124,数出表_Excel!$A$6:$T$150,COLUMN()/2+1,FALSE))),"")</f>
        <v/>
      </c>
      <c r="G124" s="63"/>
      <c r="H124" s="149" t="str">
        <f ca="1">IFERROR(VALUE(IF(VLOOKUP($A124,数出表_Excel!$A$6:$T$150,COLUMN()/2+1,FALSE)=0,"",VLOOKUP($A124,数出表_Excel!$A$6:$T$150,COLUMN()/2+1,FALSE))),"")</f>
        <v/>
      </c>
      <c r="I124" s="63"/>
      <c r="J124" s="149" t="str">
        <f ca="1">IFERROR(VALUE(IF(VLOOKUP($A124,数出表_Excel!$A$6:$T$150,COLUMN()/2+1,FALSE)=0,"",VLOOKUP($A124,数出表_Excel!$A$6:$T$150,COLUMN()/2+1,FALSE))),"")</f>
        <v/>
      </c>
      <c r="K124" s="63"/>
      <c r="L124" s="149" t="str">
        <f ca="1">IFERROR(VALUE(IF(VLOOKUP($A124,数出表_Excel!$A$6:$T$150,COLUMN()/2+1,FALSE)=0,"",VLOOKUP($A124,数出表_Excel!$A$6:$T$150,COLUMN()/2+1,FALSE))),"")</f>
        <v/>
      </c>
      <c r="M124" s="63"/>
      <c r="N124" s="149" t="str">
        <f ca="1">IFERROR(VALUE(IF(VLOOKUP($A124,数出表_Excel!$A$6:$T$150,COLUMN()/2+1,FALSE)=0,"",VLOOKUP($A124,数出表_Excel!$A$6:$T$150,COLUMN()/2+1,FALSE))),"")</f>
        <v/>
      </c>
      <c r="O124" s="63"/>
      <c r="P124" s="149" t="str">
        <f ca="1">IFERROR(VALUE(IF(VLOOKUP($A124,数出表_Excel!$A$6:$T$150,COLUMN()/2+1,FALSE)=0,"",VLOOKUP($A124,数出表_Excel!$A$6:$T$150,COLUMN()/2+1,FALSE))),"")</f>
        <v/>
      </c>
      <c r="Q124" s="63"/>
      <c r="R124" s="149" t="str">
        <f ca="1">IFERROR(VALUE(IF(VLOOKUP($A124,数出表_Excel!$A$6:$T$150,COLUMN()/2+1,FALSE)=0,"",VLOOKUP($A124,数出表_Excel!$A$6:$T$150,COLUMN()/2+1,FALSE))),"")</f>
        <v/>
      </c>
      <c r="S124" s="63"/>
      <c r="T124" s="149" t="str">
        <f ca="1">IFERROR(VALUE(IF(VLOOKUP($A124,数出表_Excel!$A$6:$T$150,COLUMN()/2+1,FALSE)=0,"",VLOOKUP($A124,数出表_Excel!$A$6:$T$150,COLUMN()/2+1,FALSE))),"")</f>
        <v/>
      </c>
      <c r="U124" s="63"/>
      <c r="V124" s="149" t="str">
        <f ca="1">IFERROR(VALUE(IF(VLOOKUP($A124,数出表_Excel!$A$6:$T$150,COLUMN()/2+1,FALSE)=0,"",VLOOKUP($A124,数出表_Excel!$A$6:$T$150,COLUMN()/2+1,FALSE))),"")</f>
        <v/>
      </c>
      <c r="W124" s="63"/>
      <c r="X124" s="149" t="str">
        <f ca="1">IFERROR(VALUE(IF(VLOOKUP($A124,数出表_Excel!$A$6:$T$150,COLUMN()/2+1,FALSE)=0,"",VLOOKUP($A124,数出表_Excel!$A$6:$T$150,COLUMN()/2+1,FALSE))),"")</f>
        <v/>
      </c>
      <c r="Y124" s="63"/>
      <c r="Z124" s="149" t="str">
        <f ca="1">IFERROR(VALUE(IF(VLOOKUP($A124,数出表_Excel!$A$6:$T$150,COLUMN()/2+1,FALSE)=0,"",VLOOKUP($A124,数出表_Excel!$A$6:$T$150,COLUMN()/2+1,FALSE))),"")</f>
        <v/>
      </c>
      <c r="AA124" s="63"/>
      <c r="AB124" s="149" t="str">
        <f ca="1">IFERROR(VALUE(IF(VLOOKUP($A124,数出表_Excel!$A$6:$T$150,COLUMN()/2+1,FALSE)=0,"",VLOOKUP($A124,数出表_Excel!$A$6:$T$150,COLUMN()/2+1,FALSE))),"")</f>
        <v/>
      </c>
      <c r="AC124" s="63"/>
      <c r="AD124" s="149" t="str">
        <f ca="1">IFERROR(VALUE(IF(VLOOKUP($A124,数出表_Excel!$A$6:$T$150,COLUMN()/2+1,FALSE)=0,"",VLOOKUP($A124,数出表_Excel!$A$6:$T$150,COLUMN()/2+1,FALSE))),"")</f>
        <v/>
      </c>
      <c r="AE124" s="63"/>
      <c r="AF124" s="149" t="str">
        <f ca="1">IFERROR(VALUE(IF(VLOOKUP($A124,数出表_Excel!$A$6:$T$150,COLUMN()/2+1,FALSE)=0,"",VLOOKUP($A124,数出表_Excel!$A$6:$T$150,COLUMN()/2+1,FALSE))),"")</f>
        <v/>
      </c>
      <c r="AG124" s="63"/>
      <c r="AH124" s="149" t="str">
        <f ca="1">IFERROR(VALUE(IF(VLOOKUP($A124,数出表_Excel!$A$6:$T$150,COLUMN()/2+1,FALSE)=0,"",VLOOKUP($A124,数出表_Excel!$A$6:$T$150,COLUMN()/2+1,FALSE))),"")</f>
        <v/>
      </c>
      <c r="AI124" s="63"/>
      <c r="AJ124" s="149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 x14ac:dyDescent="0.45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 x14ac:dyDescent="0.45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49" t="str">
        <f ca="1">IFERROR(VALUE(IF(VLOOKUP($A126,数出表_Excel!$A$6:$T$150,COLUMN()/2+1,FALSE)=0,"",VLOOKUP($A126,数出表_Excel!$A$6:$T$150,COLUMN()/2+1,FALSE))),"")</f>
        <v/>
      </c>
      <c r="C126" s="63"/>
      <c r="D126" s="149" t="str">
        <f ca="1">IFERROR(VALUE(IF(VLOOKUP($A126,数出表_Excel!$A$6:$T$150,COLUMN()/2+1,FALSE)=0,"",VLOOKUP($A126,数出表_Excel!$A$6:$T$150,COLUMN()/2+1,FALSE))),"")</f>
        <v/>
      </c>
      <c r="E126" s="63"/>
      <c r="F126" s="149" t="str">
        <f ca="1">IFERROR(VALUE(IF(VLOOKUP($A126,数出表_Excel!$A$6:$T$150,COLUMN()/2+1,FALSE)=0,"",VLOOKUP($A126,数出表_Excel!$A$6:$T$150,COLUMN()/2+1,FALSE))),"")</f>
        <v/>
      </c>
      <c r="G126" s="63"/>
      <c r="H126" s="149" t="str">
        <f ca="1">IFERROR(VALUE(IF(VLOOKUP($A126,数出表_Excel!$A$6:$T$150,COLUMN()/2+1,FALSE)=0,"",VLOOKUP($A126,数出表_Excel!$A$6:$T$150,COLUMN()/2+1,FALSE))),"")</f>
        <v/>
      </c>
      <c r="I126" s="63"/>
      <c r="J126" s="149" t="str">
        <f ca="1">IFERROR(VALUE(IF(VLOOKUP($A126,数出表_Excel!$A$6:$T$150,COLUMN()/2+1,FALSE)=0,"",VLOOKUP($A126,数出表_Excel!$A$6:$T$150,COLUMN()/2+1,FALSE))),"")</f>
        <v/>
      </c>
      <c r="K126" s="63"/>
      <c r="L126" s="149" t="str">
        <f ca="1">IFERROR(VALUE(IF(VLOOKUP($A126,数出表_Excel!$A$6:$T$150,COLUMN()/2+1,FALSE)=0,"",VLOOKUP($A126,数出表_Excel!$A$6:$T$150,COLUMN()/2+1,FALSE))),"")</f>
        <v/>
      </c>
      <c r="M126" s="63"/>
      <c r="N126" s="149" t="str">
        <f ca="1">IFERROR(VALUE(IF(VLOOKUP($A126,数出表_Excel!$A$6:$T$150,COLUMN()/2+1,FALSE)=0,"",VLOOKUP($A126,数出表_Excel!$A$6:$T$150,COLUMN()/2+1,FALSE))),"")</f>
        <v/>
      </c>
      <c r="O126" s="63"/>
      <c r="P126" s="149" t="str">
        <f ca="1">IFERROR(VALUE(IF(VLOOKUP($A126,数出表_Excel!$A$6:$T$150,COLUMN()/2+1,FALSE)=0,"",VLOOKUP($A126,数出表_Excel!$A$6:$T$150,COLUMN()/2+1,FALSE))),"")</f>
        <v/>
      </c>
      <c r="Q126" s="63"/>
      <c r="R126" s="149" t="str">
        <f ca="1">IFERROR(VALUE(IF(VLOOKUP($A126,数出表_Excel!$A$6:$T$150,COLUMN()/2+1,FALSE)=0,"",VLOOKUP($A126,数出表_Excel!$A$6:$T$150,COLUMN()/2+1,FALSE))),"")</f>
        <v/>
      </c>
      <c r="S126" s="63"/>
      <c r="T126" s="149" t="str">
        <f ca="1">IFERROR(VALUE(IF(VLOOKUP($A126,数出表_Excel!$A$6:$T$150,COLUMN()/2+1,FALSE)=0,"",VLOOKUP($A126,数出表_Excel!$A$6:$T$150,COLUMN()/2+1,FALSE))),"")</f>
        <v/>
      </c>
      <c r="U126" s="63"/>
      <c r="V126" s="149" t="str">
        <f ca="1">IFERROR(VALUE(IF(VLOOKUP($A126,数出表_Excel!$A$6:$T$150,COLUMN()/2+1,FALSE)=0,"",VLOOKUP($A126,数出表_Excel!$A$6:$T$150,COLUMN()/2+1,FALSE))),"")</f>
        <v/>
      </c>
      <c r="W126" s="63"/>
      <c r="X126" s="149" t="str">
        <f ca="1">IFERROR(VALUE(IF(VLOOKUP($A126,数出表_Excel!$A$6:$T$150,COLUMN()/2+1,FALSE)=0,"",VLOOKUP($A126,数出表_Excel!$A$6:$T$150,COLUMN()/2+1,FALSE))),"")</f>
        <v/>
      </c>
      <c r="Y126" s="63"/>
      <c r="Z126" s="149" t="str">
        <f ca="1">IFERROR(VALUE(IF(VLOOKUP($A126,数出表_Excel!$A$6:$T$150,COLUMN()/2+1,FALSE)=0,"",VLOOKUP($A126,数出表_Excel!$A$6:$T$150,COLUMN()/2+1,FALSE))),"")</f>
        <v/>
      </c>
      <c r="AA126" s="63"/>
      <c r="AB126" s="149" t="str">
        <f ca="1">IFERROR(VALUE(IF(VLOOKUP($A126,数出表_Excel!$A$6:$T$150,COLUMN()/2+1,FALSE)=0,"",VLOOKUP($A126,数出表_Excel!$A$6:$T$150,COLUMN()/2+1,FALSE))),"")</f>
        <v/>
      </c>
      <c r="AC126" s="63"/>
      <c r="AD126" s="149" t="str">
        <f ca="1">IFERROR(VALUE(IF(VLOOKUP($A126,数出表_Excel!$A$6:$T$150,COLUMN()/2+1,FALSE)=0,"",VLOOKUP($A126,数出表_Excel!$A$6:$T$150,COLUMN()/2+1,FALSE))),"")</f>
        <v/>
      </c>
      <c r="AE126" s="63"/>
      <c r="AF126" s="149" t="str">
        <f ca="1">IFERROR(VALUE(IF(VLOOKUP($A126,数出表_Excel!$A$6:$T$150,COLUMN()/2+1,FALSE)=0,"",VLOOKUP($A126,数出表_Excel!$A$6:$T$150,COLUMN()/2+1,FALSE))),"")</f>
        <v/>
      </c>
      <c r="AG126" s="63"/>
      <c r="AH126" s="149" t="str">
        <f ca="1">IFERROR(VALUE(IF(VLOOKUP($A126,数出表_Excel!$A$6:$T$150,COLUMN()/2+1,FALSE)=0,"",VLOOKUP($A126,数出表_Excel!$A$6:$T$150,COLUMN()/2+1,FALSE))),"")</f>
        <v/>
      </c>
      <c r="AI126" s="63"/>
      <c r="AJ126" s="149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 x14ac:dyDescent="0.45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 x14ac:dyDescent="0.45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49" t="str">
        <f ca="1">IFERROR(VALUE(IF(VLOOKUP($A128,数出表_Excel!$A$6:$T$150,COLUMN()/2+1,FALSE)=0,"",VLOOKUP($A128,数出表_Excel!$A$6:$T$150,COLUMN()/2+1,FALSE))),"")</f>
        <v/>
      </c>
      <c r="C128" s="63"/>
      <c r="D128" s="149" t="str">
        <f ca="1">IFERROR(VALUE(IF(VLOOKUP($A128,数出表_Excel!$A$6:$T$150,COLUMN()/2+1,FALSE)=0,"",VLOOKUP($A128,数出表_Excel!$A$6:$T$150,COLUMN()/2+1,FALSE))),"")</f>
        <v/>
      </c>
      <c r="E128" s="63"/>
      <c r="F128" s="149" t="str">
        <f ca="1">IFERROR(VALUE(IF(VLOOKUP($A128,数出表_Excel!$A$6:$T$150,COLUMN()/2+1,FALSE)=0,"",VLOOKUP($A128,数出表_Excel!$A$6:$T$150,COLUMN()/2+1,FALSE))),"")</f>
        <v/>
      </c>
      <c r="G128" s="63"/>
      <c r="H128" s="149" t="str">
        <f ca="1">IFERROR(VALUE(IF(VLOOKUP($A128,数出表_Excel!$A$6:$T$150,COLUMN()/2+1,FALSE)=0,"",VLOOKUP($A128,数出表_Excel!$A$6:$T$150,COLUMN()/2+1,FALSE))),"")</f>
        <v/>
      </c>
      <c r="I128" s="63"/>
      <c r="J128" s="149" t="str">
        <f ca="1">IFERROR(VALUE(IF(VLOOKUP($A128,数出表_Excel!$A$6:$T$150,COLUMN()/2+1,FALSE)=0,"",VLOOKUP($A128,数出表_Excel!$A$6:$T$150,COLUMN()/2+1,FALSE))),"")</f>
        <v/>
      </c>
      <c r="K128" s="63"/>
      <c r="L128" s="149" t="str">
        <f ca="1">IFERROR(VALUE(IF(VLOOKUP($A128,数出表_Excel!$A$6:$T$150,COLUMN()/2+1,FALSE)=0,"",VLOOKUP($A128,数出表_Excel!$A$6:$T$150,COLUMN()/2+1,FALSE))),"")</f>
        <v/>
      </c>
      <c r="M128" s="63"/>
      <c r="N128" s="149" t="str">
        <f ca="1">IFERROR(VALUE(IF(VLOOKUP($A128,数出表_Excel!$A$6:$T$150,COLUMN()/2+1,FALSE)=0,"",VLOOKUP($A128,数出表_Excel!$A$6:$T$150,COLUMN()/2+1,FALSE))),"")</f>
        <v/>
      </c>
      <c r="O128" s="63"/>
      <c r="P128" s="149" t="str">
        <f ca="1">IFERROR(VALUE(IF(VLOOKUP($A128,数出表_Excel!$A$6:$T$150,COLUMN()/2+1,FALSE)=0,"",VLOOKUP($A128,数出表_Excel!$A$6:$T$150,COLUMN()/2+1,FALSE))),"")</f>
        <v/>
      </c>
      <c r="Q128" s="63"/>
      <c r="R128" s="149" t="str">
        <f ca="1">IFERROR(VALUE(IF(VLOOKUP($A128,数出表_Excel!$A$6:$T$150,COLUMN()/2+1,FALSE)=0,"",VLOOKUP($A128,数出表_Excel!$A$6:$T$150,COLUMN()/2+1,FALSE))),"")</f>
        <v/>
      </c>
      <c r="S128" s="63"/>
      <c r="T128" s="149" t="str">
        <f ca="1">IFERROR(VALUE(IF(VLOOKUP($A128,数出表_Excel!$A$6:$T$150,COLUMN()/2+1,FALSE)=0,"",VLOOKUP($A128,数出表_Excel!$A$6:$T$150,COLUMN()/2+1,FALSE))),"")</f>
        <v/>
      </c>
      <c r="U128" s="63"/>
      <c r="V128" s="149" t="str">
        <f ca="1">IFERROR(VALUE(IF(VLOOKUP($A128,数出表_Excel!$A$6:$T$150,COLUMN()/2+1,FALSE)=0,"",VLOOKUP($A128,数出表_Excel!$A$6:$T$150,COLUMN()/2+1,FALSE))),"")</f>
        <v/>
      </c>
      <c r="W128" s="63"/>
      <c r="X128" s="149" t="str">
        <f ca="1">IFERROR(VALUE(IF(VLOOKUP($A128,数出表_Excel!$A$6:$T$150,COLUMN()/2+1,FALSE)=0,"",VLOOKUP($A128,数出表_Excel!$A$6:$T$150,COLUMN()/2+1,FALSE))),"")</f>
        <v/>
      </c>
      <c r="Y128" s="63"/>
      <c r="Z128" s="149" t="str">
        <f ca="1">IFERROR(VALUE(IF(VLOOKUP($A128,数出表_Excel!$A$6:$T$150,COLUMN()/2+1,FALSE)=0,"",VLOOKUP($A128,数出表_Excel!$A$6:$T$150,COLUMN()/2+1,FALSE))),"")</f>
        <v/>
      </c>
      <c r="AA128" s="63"/>
      <c r="AB128" s="149" t="str">
        <f ca="1">IFERROR(VALUE(IF(VLOOKUP($A128,数出表_Excel!$A$6:$T$150,COLUMN()/2+1,FALSE)=0,"",VLOOKUP($A128,数出表_Excel!$A$6:$T$150,COLUMN()/2+1,FALSE))),"")</f>
        <v/>
      </c>
      <c r="AC128" s="63"/>
      <c r="AD128" s="149" t="str">
        <f ca="1">IFERROR(VALUE(IF(VLOOKUP($A128,数出表_Excel!$A$6:$T$150,COLUMN()/2+1,FALSE)=0,"",VLOOKUP($A128,数出表_Excel!$A$6:$T$150,COLUMN()/2+1,FALSE))),"")</f>
        <v/>
      </c>
      <c r="AE128" s="63"/>
      <c r="AF128" s="149" t="str">
        <f ca="1">IFERROR(VALUE(IF(VLOOKUP($A128,数出表_Excel!$A$6:$T$150,COLUMN()/2+1,FALSE)=0,"",VLOOKUP($A128,数出表_Excel!$A$6:$T$150,COLUMN()/2+1,FALSE))),"")</f>
        <v/>
      </c>
      <c r="AG128" s="63"/>
      <c r="AH128" s="149" t="str">
        <f ca="1">IFERROR(VALUE(IF(VLOOKUP($A128,数出表_Excel!$A$6:$T$150,COLUMN()/2+1,FALSE)=0,"",VLOOKUP($A128,数出表_Excel!$A$6:$T$150,COLUMN()/2+1,FALSE))),"")</f>
        <v/>
      </c>
      <c r="AI128" s="63"/>
      <c r="AJ128" s="149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 x14ac:dyDescent="0.45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 x14ac:dyDescent="0.45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49" t="str">
        <f ca="1">IFERROR(VALUE(IF(VLOOKUP($A130,数出表_Excel!$A$6:$T$150,COLUMN()/2+1,FALSE)=0,"",VLOOKUP($A130,数出表_Excel!$A$6:$T$150,COLUMN()/2+1,FALSE))),"")</f>
        <v/>
      </c>
      <c r="C130" s="63"/>
      <c r="D130" s="149" t="str">
        <f ca="1">IFERROR(VALUE(IF(VLOOKUP($A130,数出表_Excel!$A$6:$T$150,COLUMN()/2+1,FALSE)=0,"",VLOOKUP($A130,数出表_Excel!$A$6:$T$150,COLUMN()/2+1,FALSE))),"")</f>
        <v/>
      </c>
      <c r="E130" s="63"/>
      <c r="F130" s="149" t="str">
        <f ca="1">IFERROR(VALUE(IF(VLOOKUP($A130,数出表_Excel!$A$6:$T$150,COLUMN()/2+1,FALSE)=0,"",VLOOKUP($A130,数出表_Excel!$A$6:$T$150,COLUMN()/2+1,FALSE))),"")</f>
        <v/>
      </c>
      <c r="G130" s="63"/>
      <c r="H130" s="149" t="str">
        <f ca="1">IFERROR(VALUE(IF(VLOOKUP($A130,数出表_Excel!$A$6:$T$150,COLUMN()/2+1,FALSE)=0,"",VLOOKUP($A130,数出表_Excel!$A$6:$T$150,COLUMN()/2+1,FALSE))),"")</f>
        <v/>
      </c>
      <c r="I130" s="63"/>
      <c r="J130" s="149" t="str">
        <f ca="1">IFERROR(VALUE(IF(VLOOKUP($A130,数出表_Excel!$A$6:$T$150,COLUMN()/2+1,FALSE)=0,"",VLOOKUP($A130,数出表_Excel!$A$6:$T$150,COLUMN()/2+1,FALSE))),"")</f>
        <v/>
      </c>
      <c r="K130" s="63"/>
      <c r="L130" s="149" t="str">
        <f ca="1">IFERROR(VALUE(IF(VLOOKUP($A130,数出表_Excel!$A$6:$T$150,COLUMN()/2+1,FALSE)=0,"",VLOOKUP($A130,数出表_Excel!$A$6:$T$150,COLUMN()/2+1,FALSE))),"")</f>
        <v/>
      </c>
      <c r="M130" s="63"/>
      <c r="N130" s="149" t="str">
        <f ca="1">IFERROR(VALUE(IF(VLOOKUP($A130,数出表_Excel!$A$6:$T$150,COLUMN()/2+1,FALSE)=0,"",VLOOKUP($A130,数出表_Excel!$A$6:$T$150,COLUMN()/2+1,FALSE))),"")</f>
        <v/>
      </c>
      <c r="O130" s="63"/>
      <c r="P130" s="149" t="str">
        <f ca="1">IFERROR(VALUE(IF(VLOOKUP($A130,数出表_Excel!$A$6:$T$150,COLUMN()/2+1,FALSE)=0,"",VLOOKUP($A130,数出表_Excel!$A$6:$T$150,COLUMN()/2+1,FALSE))),"")</f>
        <v/>
      </c>
      <c r="Q130" s="63"/>
      <c r="R130" s="149" t="str">
        <f ca="1">IFERROR(VALUE(IF(VLOOKUP($A130,数出表_Excel!$A$6:$T$150,COLUMN()/2+1,FALSE)=0,"",VLOOKUP($A130,数出表_Excel!$A$6:$T$150,COLUMN()/2+1,FALSE))),"")</f>
        <v/>
      </c>
      <c r="S130" s="63"/>
      <c r="T130" s="149" t="str">
        <f ca="1">IFERROR(VALUE(IF(VLOOKUP($A130,数出表_Excel!$A$6:$T$150,COLUMN()/2+1,FALSE)=0,"",VLOOKUP($A130,数出表_Excel!$A$6:$T$150,COLUMN()/2+1,FALSE))),"")</f>
        <v/>
      </c>
      <c r="U130" s="63"/>
      <c r="V130" s="149" t="str">
        <f ca="1">IFERROR(VALUE(IF(VLOOKUP($A130,数出表_Excel!$A$6:$T$150,COLUMN()/2+1,FALSE)=0,"",VLOOKUP($A130,数出表_Excel!$A$6:$T$150,COLUMN()/2+1,FALSE))),"")</f>
        <v/>
      </c>
      <c r="W130" s="63"/>
      <c r="X130" s="149" t="str">
        <f ca="1">IFERROR(VALUE(IF(VLOOKUP($A130,数出表_Excel!$A$6:$T$150,COLUMN()/2+1,FALSE)=0,"",VLOOKUP($A130,数出表_Excel!$A$6:$T$150,COLUMN()/2+1,FALSE))),"")</f>
        <v/>
      </c>
      <c r="Y130" s="63"/>
      <c r="Z130" s="149" t="str">
        <f ca="1">IFERROR(VALUE(IF(VLOOKUP($A130,数出表_Excel!$A$6:$T$150,COLUMN()/2+1,FALSE)=0,"",VLOOKUP($A130,数出表_Excel!$A$6:$T$150,COLUMN()/2+1,FALSE))),"")</f>
        <v/>
      </c>
      <c r="AA130" s="63"/>
      <c r="AB130" s="149" t="str">
        <f ca="1">IFERROR(VALUE(IF(VLOOKUP($A130,数出表_Excel!$A$6:$T$150,COLUMN()/2+1,FALSE)=0,"",VLOOKUP($A130,数出表_Excel!$A$6:$T$150,COLUMN()/2+1,FALSE))),"")</f>
        <v/>
      </c>
      <c r="AC130" s="63"/>
      <c r="AD130" s="149" t="str">
        <f ca="1">IFERROR(VALUE(IF(VLOOKUP($A130,数出表_Excel!$A$6:$T$150,COLUMN()/2+1,FALSE)=0,"",VLOOKUP($A130,数出表_Excel!$A$6:$T$150,COLUMN()/2+1,FALSE))),"")</f>
        <v/>
      </c>
      <c r="AE130" s="63"/>
      <c r="AF130" s="149" t="str">
        <f ca="1">IFERROR(VALUE(IF(VLOOKUP($A130,数出表_Excel!$A$6:$T$150,COLUMN()/2+1,FALSE)=0,"",VLOOKUP($A130,数出表_Excel!$A$6:$T$150,COLUMN()/2+1,FALSE))),"")</f>
        <v/>
      </c>
      <c r="AG130" s="63"/>
      <c r="AH130" s="149" t="str">
        <f ca="1">IFERROR(VALUE(IF(VLOOKUP($A130,数出表_Excel!$A$6:$T$150,COLUMN()/2+1,FALSE)=0,"",VLOOKUP($A130,数出表_Excel!$A$6:$T$150,COLUMN()/2+1,FALSE))),"")</f>
        <v/>
      </c>
      <c r="AI130" s="63"/>
      <c r="AJ130" s="149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 x14ac:dyDescent="0.45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 x14ac:dyDescent="0.45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49" t="str">
        <f ca="1">IFERROR(VALUE(IF(VLOOKUP($A132,数出表_Excel!$A$6:$T$150,COLUMN()/2+1,FALSE)=0,"",VLOOKUP($A132,数出表_Excel!$A$6:$T$150,COLUMN()/2+1,FALSE))),"")</f>
        <v/>
      </c>
      <c r="C132" s="63"/>
      <c r="D132" s="149" t="str">
        <f ca="1">IFERROR(VALUE(IF(VLOOKUP($A132,数出表_Excel!$A$6:$T$150,COLUMN()/2+1,FALSE)=0,"",VLOOKUP($A132,数出表_Excel!$A$6:$T$150,COLUMN()/2+1,FALSE))),"")</f>
        <v/>
      </c>
      <c r="E132" s="63"/>
      <c r="F132" s="149" t="str">
        <f ca="1">IFERROR(VALUE(IF(VLOOKUP($A132,数出表_Excel!$A$6:$T$150,COLUMN()/2+1,FALSE)=0,"",VLOOKUP($A132,数出表_Excel!$A$6:$T$150,COLUMN()/2+1,FALSE))),"")</f>
        <v/>
      </c>
      <c r="G132" s="63"/>
      <c r="H132" s="149" t="str">
        <f ca="1">IFERROR(VALUE(IF(VLOOKUP($A132,数出表_Excel!$A$6:$T$150,COLUMN()/2+1,FALSE)=0,"",VLOOKUP($A132,数出表_Excel!$A$6:$T$150,COLUMN()/2+1,FALSE))),"")</f>
        <v/>
      </c>
      <c r="I132" s="63"/>
      <c r="J132" s="149" t="str">
        <f ca="1">IFERROR(VALUE(IF(VLOOKUP($A132,数出表_Excel!$A$6:$T$150,COLUMN()/2+1,FALSE)=0,"",VLOOKUP($A132,数出表_Excel!$A$6:$T$150,COLUMN()/2+1,FALSE))),"")</f>
        <v/>
      </c>
      <c r="K132" s="63"/>
      <c r="L132" s="149" t="str">
        <f ca="1">IFERROR(VALUE(IF(VLOOKUP($A132,数出表_Excel!$A$6:$T$150,COLUMN()/2+1,FALSE)=0,"",VLOOKUP($A132,数出表_Excel!$A$6:$T$150,COLUMN()/2+1,FALSE))),"")</f>
        <v/>
      </c>
      <c r="M132" s="63"/>
      <c r="N132" s="149" t="str">
        <f ca="1">IFERROR(VALUE(IF(VLOOKUP($A132,数出表_Excel!$A$6:$T$150,COLUMN()/2+1,FALSE)=0,"",VLOOKUP($A132,数出表_Excel!$A$6:$T$150,COLUMN()/2+1,FALSE))),"")</f>
        <v/>
      </c>
      <c r="O132" s="63"/>
      <c r="P132" s="149" t="str">
        <f ca="1">IFERROR(VALUE(IF(VLOOKUP($A132,数出表_Excel!$A$6:$T$150,COLUMN()/2+1,FALSE)=0,"",VLOOKUP($A132,数出表_Excel!$A$6:$T$150,COLUMN()/2+1,FALSE))),"")</f>
        <v/>
      </c>
      <c r="Q132" s="63"/>
      <c r="R132" s="149" t="str">
        <f ca="1">IFERROR(VALUE(IF(VLOOKUP($A132,数出表_Excel!$A$6:$T$150,COLUMN()/2+1,FALSE)=0,"",VLOOKUP($A132,数出表_Excel!$A$6:$T$150,COLUMN()/2+1,FALSE))),"")</f>
        <v/>
      </c>
      <c r="S132" s="63"/>
      <c r="T132" s="149" t="str">
        <f ca="1">IFERROR(VALUE(IF(VLOOKUP($A132,数出表_Excel!$A$6:$T$150,COLUMN()/2+1,FALSE)=0,"",VLOOKUP($A132,数出表_Excel!$A$6:$T$150,COLUMN()/2+1,FALSE))),"")</f>
        <v/>
      </c>
      <c r="U132" s="63"/>
      <c r="V132" s="149" t="str">
        <f ca="1">IFERROR(VALUE(IF(VLOOKUP($A132,数出表_Excel!$A$6:$T$150,COLUMN()/2+1,FALSE)=0,"",VLOOKUP($A132,数出表_Excel!$A$6:$T$150,COLUMN()/2+1,FALSE))),"")</f>
        <v/>
      </c>
      <c r="W132" s="63"/>
      <c r="X132" s="149" t="str">
        <f ca="1">IFERROR(VALUE(IF(VLOOKUP($A132,数出表_Excel!$A$6:$T$150,COLUMN()/2+1,FALSE)=0,"",VLOOKUP($A132,数出表_Excel!$A$6:$T$150,COLUMN()/2+1,FALSE))),"")</f>
        <v/>
      </c>
      <c r="Y132" s="63"/>
      <c r="Z132" s="149" t="str">
        <f ca="1">IFERROR(VALUE(IF(VLOOKUP($A132,数出表_Excel!$A$6:$T$150,COLUMN()/2+1,FALSE)=0,"",VLOOKUP($A132,数出表_Excel!$A$6:$T$150,COLUMN()/2+1,FALSE))),"")</f>
        <v/>
      </c>
      <c r="AA132" s="63"/>
      <c r="AB132" s="149" t="str">
        <f ca="1">IFERROR(VALUE(IF(VLOOKUP($A132,数出表_Excel!$A$6:$T$150,COLUMN()/2+1,FALSE)=0,"",VLOOKUP($A132,数出表_Excel!$A$6:$T$150,COLUMN()/2+1,FALSE))),"")</f>
        <v/>
      </c>
      <c r="AC132" s="63"/>
      <c r="AD132" s="149" t="str">
        <f ca="1">IFERROR(VALUE(IF(VLOOKUP($A132,数出表_Excel!$A$6:$T$150,COLUMN()/2+1,FALSE)=0,"",VLOOKUP($A132,数出表_Excel!$A$6:$T$150,COLUMN()/2+1,FALSE))),"")</f>
        <v/>
      </c>
      <c r="AE132" s="63"/>
      <c r="AF132" s="149" t="str">
        <f ca="1">IFERROR(VALUE(IF(VLOOKUP($A132,数出表_Excel!$A$6:$T$150,COLUMN()/2+1,FALSE)=0,"",VLOOKUP($A132,数出表_Excel!$A$6:$T$150,COLUMN()/2+1,FALSE))),"")</f>
        <v/>
      </c>
      <c r="AG132" s="63"/>
      <c r="AH132" s="149" t="str">
        <f ca="1">IFERROR(VALUE(IF(VLOOKUP($A132,数出表_Excel!$A$6:$T$150,COLUMN()/2+1,FALSE)=0,"",VLOOKUP($A132,数出表_Excel!$A$6:$T$150,COLUMN()/2+1,FALSE))),"")</f>
        <v/>
      </c>
      <c r="AI132" s="63"/>
      <c r="AJ132" s="149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 x14ac:dyDescent="0.45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 x14ac:dyDescent="0.45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49" t="str">
        <f ca="1">IFERROR(VALUE(IF(VLOOKUP($A134,数出表_Excel!$A$6:$T$150,COLUMN()/2+1,FALSE)=0,"",VLOOKUP($A134,数出表_Excel!$A$6:$T$150,COLUMN()/2+1,FALSE))),"")</f>
        <v/>
      </c>
      <c r="C134" s="63"/>
      <c r="D134" s="149" t="str">
        <f ca="1">IFERROR(VALUE(IF(VLOOKUP($A134,数出表_Excel!$A$6:$T$150,COLUMN()/2+1,FALSE)=0,"",VLOOKUP($A134,数出表_Excel!$A$6:$T$150,COLUMN()/2+1,FALSE))),"")</f>
        <v/>
      </c>
      <c r="E134" s="63"/>
      <c r="F134" s="149" t="str">
        <f ca="1">IFERROR(VALUE(IF(VLOOKUP($A134,数出表_Excel!$A$6:$T$150,COLUMN()/2+1,FALSE)=0,"",VLOOKUP($A134,数出表_Excel!$A$6:$T$150,COLUMN()/2+1,FALSE))),"")</f>
        <v/>
      </c>
      <c r="G134" s="63"/>
      <c r="H134" s="149" t="str">
        <f ca="1">IFERROR(VALUE(IF(VLOOKUP($A134,数出表_Excel!$A$6:$T$150,COLUMN()/2+1,FALSE)=0,"",VLOOKUP($A134,数出表_Excel!$A$6:$T$150,COLUMN()/2+1,FALSE))),"")</f>
        <v/>
      </c>
      <c r="I134" s="63"/>
      <c r="J134" s="149" t="str">
        <f ca="1">IFERROR(VALUE(IF(VLOOKUP($A134,数出表_Excel!$A$6:$T$150,COLUMN()/2+1,FALSE)=0,"",VLOOKUP($A134,数出表_Excel!$A$6:$T$150,COLUMN()/2+1,FALSE))),"")</f>
        <v/>
      </c>
      <c r="K134" s="63"/>
      <c r="L134" s="149" t="str">
        <f ca="1">IFERROR(VALUE(IF(VLOOKUP($A134,数出表_Excel!$A$6:$T$150,COLUMN()/2+1,FALSE)=0,"",VLOOKUP($A134,数出表_Excel!$A$6:$T$150,COLUMN()/2+1,FALSE))),"")</f>
        <v/>
      </c>
      <c r="M134" s="63"/>
      <c r="N134" s="149" t="str">
        <f ca="1">IFERROR(VALUE(IF(VLOOKUP($A134,数出表_Excel!$A$6:$T$150,COLUMN()/2+1,FALSE)=0,"",VLOOKUP($A134,数出表_Excel!$A$6:$T$150,COLUMN()/2+1,FALSE))),"")</f>
        <v/>
      </c>
      <c r="O134" s="63"/>
      <c r="P134" s="149" t="str">
        <f ca="1">IFERROR(VALUE(IF(VLOOKUP($A134,数出表_Excel!$A$6:$T$150,COLUMN()/2+1,FALSE)=0,"",VLOOKUP($A134,数出表_Excel!$A$6:$T$150,COLUMN()/2+1,FALSE))),"")</f>
        <v/>
      </c>
      <c r="Q134" s="63"/>
      <c r="R134" s="149" t="str">
        <f ca="1">IFERROR(VALUE(IF(VLOOKUP($A134,数出表_Excel!$A$6:$T$150,COLUMN()/2+1,FALSE)=0,"",VLOOKUP($A134,数出表_Excel!$A$6:$T$150,COLUMN()/2+1,FALSE))),"")</f>
        <v/>
      </c>
      <c r="S134" s="63"/>
      <c r="T134" s="149" t="str">
        <f ca="1">IFERROR(VALUE(IF(VLOOKUP($A134,数出表_Excel!$A$6:$T$150,COLUMN()/2+1,FALSE)=0,"",VLOOKUP($A134,数出表_Excel!$A$6:$T$150,COLUMN()/2+1,FALSE))),"")</f>
        <v/>
      </c>
      <c r="U134" s="63"/>
      <c r="V134" s="149" t="str">
        <f ca="1">IFERROR(VALUE(IF(VLOOKUP($A134,数出表_Excel!$A$6:$T$150,COLUMN()/2+1,FALSE)=0,"",VLOOKUP($A134,数出表_Excel!$A$6:$T$150,COLUMN()/2+1,FALSE))),"")</f>
        <v/>
      </c>
      <c r="W134" s="63"/>
      <c r="X134" s="149" t="str">
        <f ca="1">IFERROR(VALUE(IF(VLOOKUP($A134,数出表_Excel!$A$6:$T$150,COLUMN()/2+1,FALSE)=0,"",VLOOKUP($A134,数出表_Excel!$A$6:$T$150,COLUMN()/2+1,FALSE))),"")</f>
        <v/>
      </c>
      <c r="Y134" s="63"/>
      <c r="Z134" s="149" t="str">
        <f ca="1">IFERROR(VALUE(IF(VLOOKUP($A134,数出表_Excel!$A$6:$T$150,COLUMN()/2+1,FALSE)=0,"",VLOOKUP($A134,数出表_Excel!$A$6:$T$150,COLUMN()/2+1,FALSE))),"")</f>
        <v/>
      </c>
      <c r="AA134" s="63"/>
      <c r="AB134" s="149" t="str">
        <f ca="1">IFERROR(VALUE(IF(VLOOKUP($A134,数出表_Excel!$A$6:$T$150,COLUMN()/2+1,FALSE)=0,"",VLOOKUP($A134,数出表_Excel!$A$6:$T$150,COLUMN()/2+1,FALSE))),"")</f>
        <v/>
      </c>
      <c r="AC134" s="63"/>
      <c r="AD134" s="149" t="str">
        <f ca="1">IFERROR(VALUE(IF(VLOOKUP($A134,数出表_Excel!$A$6:$T$150,COLUMN()/2+1,FALSE)=0,"",VLOOKUP($A134,数出表_Excel!$A$6:$T$150,COLUMN()/2+1,FALSE))),"")</f>
        <v/>
      </c>
      <c r="AE134" s="63"/>
      <c r="AF134" s="149" t="str">
        <f ca="1">IFERROR(VALUE(IF(VLOOKUP($A134,数出表_Excel!$A$6:$T$150,COLUMN()/2+1,FALSE)=0,"",VLOOKUP($A134,数出表_Excel!$A$6:$T$150,COLUMN()/2+1,FALSE))),"")</f>
        <v/>
      </c>
      <c r="AG134" s="63"/>
      <c r="AH134" s="149" t="str">
        <f ca="1">IFERROR(VALUE(IF(VLOOKUP($A134,数出表_Excel!$A$6:$T$150,COLUMN()/2+1,FALSE)=0,"",VLOOKUP($A134,数出表_Excel!$A$6:$T$150,COLUMN()/2+1,FALSE))),"")</f>
        <v/>
      </c>
      <c r="AI134" s="63"/>
      <c r="AJ134" s="149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 x14ac:dyDescent="0.45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 x14ac:dyDescent="0.45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49" t="str">
        <f ca="1">IFERROR(VALUE(IF(VLOOKUP($A136,数出表_Excel!$A$6:$T$150,COLUMN()/2+1,FALSE)=0,"",VLOOKUP($A136,数出表_Excel!$A$6:$T$150,COLUMN()/2+1,FALSE))),"")</f>
        <v/>
      </c>
      <c r="C136" s="63"/>
      <c r="D136" s="149" t="str">
        <f ca="1">IFERROR(VALUE(IF(VLOOKUP($A136,数出表_Excel!$A$6:$T$150,COLUMN()/2+1,FALSE)=0,"",VLOOKUP($A136,数出表_Excel!$A$6:$T$150,COLUMN()/2+1,FALSE))),"")</f>
        <v/>
      </c>
      <c r="E136" s="63"/>
      <c r="F136" s="149" t="str">
        <f ca="1">IFERROR(VALUE(IF(VLOOKUP($A136,数出表_Excel!$A$6:$T$150,COLUMN()/2+1,FALSE)=0,"",VLOOKUP($A136,数出表_Excel!$A$6:$T$150,COLUMN()/2+1,FALSE))),"")</f>
        <v/>
      </c>
      <c r="G136" s="63"/>
      <c r="H136" s="149" t="str">
        <f ca="1">IFERROR(VALUE(IF(VLOOKUP($A136,数出表_Excel!$A$6:$T$150,COLUMN()/2+1,FALSE)=0,"",VLOOKUP($A136,数出表_Excel!$A$6:$T$150,COLUMN()/2+1,FALSE))),"")</f>
        <v/>
      </c>
      <c r="I136" s="63"/>
      <c r="J136" s="149" t="str">
        <f ca="1">IFERROR(VALUE(IF(VLOOKUP($A136,数出表_Excel!$A$6:$T$150,COLUMN()/2+1,FALSE)=0,"",VLOOKUP($A136,数出表_Excel!$A$6:$T$150,COLUMN()/2+1,FALSE))),"")</f>
        <v/>
      </c>
      <c r="K136" s="63"/>
      <c r="L136" s="149" t="str">
        <f ca="1">IFERROR(VALUE(IF(VLOOKUP($A136,数出表_Excel!$A$6:$T$150,COLUMN()/2+1,FALSE)=0,"",VLOOKUP($A136,数出表_Excel!$A$6:$T$150,COLUMN()/2+1,FALSE))),"")</f>
        <v/>
      </c>
      <c r="M136" s="63"/>
      <c r="N136" s="149" t="str">
        <f ca="1">IFERROR(VALUE(IF(VLOOKUP($A136,数出表_Excel!$A$6:$T$150,COLUMN()/2+1,FALSE)=0,"",VLOOKUP($A136,数出表_Excel!$A$6:$T$150,COLUMN()/2+1,FALSE))),"")</f>
        <v/>
      </c>
      <c r="O136" s="63"/>
      <c r="P136" s="149" t="str">
        <f ca="1">IFERROR(VALUE(IF(VLOOKUP($A136,数出表_Excel!$A$6:$T$150,COLUMN()/2+1,FALSE)=0,"",VLOOKUP($A136,数出表_Excel!$A$6:$T$150,COLUMN()/2+1,FALSE))),"")</f>
        <v/>
      </c>
      <c r="Q136" s="63"/>
      <c r="R136" s="149" t="str">
        <f ca="1">IFERROR(VALUE(IF(VLOOKUP($A136,数出表_Excel!$A$6:$T$150,COLUMN()/2+1,FALSE)=0,"",VLOOKUP($A136,数出表_Excel!$A$6:$T$150,COLUMN()/2+1,FALSE))),"")</f>
        <v/>
      </c>
      <c r="S136" s="63"/>
      <c r="T136" s="149" t="str">
        <f ca="1">IFERROR(VALUE(IF(VLOOKUP($A136,数出表_Excel!$A$6:$T$150,COLUMN()/2+1,FALSE)=0,"",VLOOKUP($A136,数出表_Excel!$A$6:$T$150,COLUMN()/2+1,FALSE))),"")</f>
        <v/>
      </c>
      <c r="U136" s="63"/>
      <c r="V136" s="149" t="str">
        <f ca="1">IFERROR(VALUE(IF(VLOOKUP($A136,数出表_Excel!$A$6:$T$150,COLUMN()/2+1,FALSE)=0,"",VLOOKUP($A136,数出表_Excel!$A$6:$T$150,COLUMN()/2+1,FALSE))),"")</f>
        <v/>
      </c>
      <c r="W136" s="63"/>
      <c r="X136" s="149" t="str">
        <f ca="1">IFERROR(VALUE(IF(VLOOKUP($A136,数出表_Excel!$A$6:$T$150,COLUMN()/2+1,FALSE)=0,"",VLOOKUP($A136,数出表_Excel!$A$6:$T$150,COLUMN()/2+1,FALSE))),"")</f>
        <v/>
      </c>
      <c r="Y136" s="63"/>
      <c r="Z136" s="149" t="str">
        <f ca="1">IFERROR(VALUE(IF(VLOOKUP($A136,数出表_Excel!$A$6:$T$150,COLUMN()/2+1,FALSE)=0,"",VLOOKUP($A136,数出表_Excel!$A$6:$T$150,COLUMN()/2+1,FALSE))),"")</f>
        <v/>
      </c>
      <c r="AA136" s="63"/>
      <c r="AB136" s="149" t="str">
        <f ca="1">IFERROR(VALUE(IF(VLOOKUP($A136,数出表_Excel!$A$6:$T$150,COLUMN()/2+1,FALSE)=0,"",VLOOKUP($A136,数出表_Excel!$A$6:$T$150,COLUMN()/2+1,FALSE))),"")</f>
        <v/>
      </c>
      <c r="AC136" s="63"/>
      <c r="AD136" s="149" t="str">
        <f ca="1">IFERROR(VALUE(IF(VLOOKUP($A136,数出表_Excel!$A$6:$T$150,COLUMN()/2+1,FALSE)=0,"",VLOOKUP($A136,数出表_Excel!$A$6:$T$150,COLUMN()/2+1,FALSE))),"")</f>
        <v/>
      </c>
      <c r="AE136" s="63"/>
      <c r="AF136" s="149" t="str">
        <f ca="1">IFERROR(VALUE(IF(VLOOKUP($A136,数出表_Excel!$A$6:$T$150,COLUMN()/2+1,FALSE)=0,"",VLOOKUP($A136,数出表_Excel!$A$6:$T$150,COLUMN()/2+1,FALSE))),"")</f>
        <v/>
      </c>
      <c r="AG136" s="63"/>
      <c r="AH136" s="149" t="str">
        <f ca="1">IFERROR(VALUE(IF(VLOOKUP($A136,数出表_Excel!$A$6:$T$150,COLUMN()/2+1,FALSE)=0,"",VLOOKUP($A136,数出表_Excel!$A$6:$T$150,COLUMN()/2+1,FALSE))),"")</f>
        <v/>
      </c>
      <c r="AI136" s="63"/>
      <c r="AJ136" s="149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 x14ac:dyDescent="0.45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 x14ac:dyDescent="0.45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49" t="str">
        <f ca="1">IFERROR(VALUE(IF(VLOOKUP($A138,数出表_Excel!$A$6:$T$150,COLUMN()/2+1,FALSE)=0,"",VLOOKUP($A138,数出表_Excel!$A$6:$T$150,COLUMN()/2+1,FALSE))),"")</f>
        <v/>
      </c>
      <c r="C138" s="63"/>
      <c r="D138" s="149" t="str">
        <f ca="1">IFERROR(VALUE(IF(VLOOKUP($A138,数出表_Excel!$A$6:$T$150,COLUMN()/2+1,FALSE)=0,"",VLOOKUP($A138,数出表_Excel!$A$6:$T$150,COLUMN()/2+1,FALSE))),"")</f>
        <v/>
      </c>
      <c r="E138" s="63"/>
      <c r="F138" s="149" t="str">
        <f ca="1">IFERROR(VALUE(IF(VLOOKUP($A138,数出表_Excel!$A$6:$T$150,COLUMN()/2+1,FALSE)=0,"",VLOOKUP($A138,数出表_Excel!$A$6:$T$150,COLUMN()/2+1,FALSE))),"")</f>
        <v/>
      </c>
      <c r="G138" s="63"/>
      <c r="H138" s="149" t="str">
        <f ca="1">IFERROR(VALUE(IF(VLOOKUP($A138,数出表_Excel!$A$6:$T$150,COLUMN()/2+1,FALSE)=0,"",VLOOKUP($A138,数出表_Excel!$A$6:$T$150,COLUMN()/2+1,FALSE))),"")</f>
        <v/>
      </c>
      <c r="I138" s="63"/>
      <c r="J138" s="149" t="str">
        <f ca="1">IFERROR(VALUE(IF(VLOOKUP($A138,数出表_Excel!$A$6:$T$150,COLUMN()/2+1,FALSE)=0,"",VLOOKUP($A138,数出表_Excel!$A$6:$T$150,COLUMN()/2+1,FALSE))),"")</f>
        <v/>
      </c>
      <c r="K138" s="63"/>
      <c r="L138" s="149" t="str">
        <f ca="1">IFERROR(VALUE(IF(VLOOKUP($A138,数出表_Excel!$A$6:$T$150,COLUMN()/2+1,FALSE)=0,"",VLOOKUP($A138,数出表_Excel!$A$6:$T$150,COLUMN()/2+1,FALSE))),"")</f>
        <v/>
      </c>
      <c r="M138" s="63"/>
      <c r="N138" s="149" t="str">
        <f ca="1">IFERROR(VALUE(IF(VLOOKUP($A138,数出表_Excel!$A$6:$T$150,COLUMN()/2+1,FALSE)=0,"",VLOOKUP($A138,数出表_Excel!$A$6:$T$150,COLUMN()/2+1,FALSE))),"")</f>
        <v/>
      </c>
      <c r="O138" s="63"/>
      <c r="P138" s="149" t="str">
        <f ca="1">IFERROR(VALUE(IF(VLOOKUP($A138,数出表_Excel!$A$6:$T$150,COLUMN()/2+1,FALSE)=0,"",VLOOKUP($A138,数出表_Excel!$A$6:$T$150,COLUMN()/2+1,FALSE))),"")</f>
        <v/>
      </c>
      <c r="Q138" s="63"/>
      <c r="R138" s="149" t="str">
        <f ca="1">IFERROR(VALUE(IF(VLOOKUP($A138,数出表_Excel!$A$6:$T$150,COLUMN()/2+1,FALSE)=0,"",VLOOKUP($A138,数出表_Excel!$A$6:$T$150,COLUMN()/2+1,FALSE))),"")</f>
        <v/>
      </c>
      <c r="S138" s="63"/>
      <c r="T138" s="149" t="str">
        <f ca="1">IFERROR(VALUE(IF(VLOOKUP($A138,数出表_Excel!$A$6:$T$150,COLUMN()/2+1,FALSE)=0,"",VLOOKUP($A138,数出表_Excel!$A$6:$T$150,COLUMN()/2+1,FALSE))),"")</f>
        <v/>
      </c>
      <c r="U138" s="63"/>
      <c r="V138" s="149" t="str">
        <f ca="1">IFERROR(VALUE(IF(VLOOKUP($A138,数出表_Excel!$A$6:$T$150,COLUMN()/2+1,FALSE)=0,"",VLOOKUP($A138,数出表_Excel!$A$6:$T$150,COLUMN()/2+1,FALSE))),"")</f>
        <v/>
      </c>
      <c r="W138" s="63"/>
      <c r="X138" s="149" t="str">
        <f ca="1">IFERROR(VALUE(IF(VLOOKUP($A138,数出表_Excel!$A$6:$T$150,COLUMN()/2+1,FALSE)=0,"",VLOOKUP($A138,数出表_Excel!$A$6:$T$150,COLUMN()/2+1,FALSE))),"")</f>
        <v/>
      </c>
      <c r="Y138" s="63"/>
      <c r="Z138" s="149" t="str">
        <f ca="1">IFERROR(VALUE(IF(VLOOKUP($A138,数出表_Excel!$A$6:$T$150,COLUMN()/2+1,FALSE)=0,"",VLOOKUP($A138,数出表_Excel!$A$6:$T$150,COLUMN()/2+1,FALSE))),"")</f>
        <v/>
      </c>
      <c r="AA138" s="63"/>
      <c r="AB138" s="149" t="str">
        <f ca="1">IFERROR(VALUE(IF(VLOOKUP($A138,数出表_Excel!$A$6:$T$150,COLUMN()/2+1,FALSE)=0,"",VLOOKUP($A138,数出表_Excel!$A$6:$T$150,COLUMN()/2+1,FALSE))),"")</f>
        <v/>
      </c>
      <c r="AC138" s="63"/>
      <c r="AD138" s="149" t="str">
        <f ca="1">IFERROR(VALUE(IF(VLOOKUP($A138,数出表_Excel!$A$6:$T$150,COLUMN()/2+1,FALSE)=0,"",VLOOKUP($A138,数出表_Excel!$A$6:$T$150,COLUMN()/2+1,FALSE))),"")</f>
        <v/>
      </c>
      <c r="AE138" s="63"/>
      <c r="AF138" s="149" t="str">
        <f ca="1">IFERROR(VALUE(IF(VLOOKUP($A138,数出表_Excel!$A$6:$T$150,COLUMN()/2+1,FALSE)=0,"",VLOOKUP($A138,数出表_Excel!$A$6:$T$150,COLUMN()/2+1,FALSE))),"")</f>
        <v/>
      </c>
      <c r="AG138" s="63"/>
      <c r="AH138" s="149" t="str">
        <f ca="1">IFERROR(VALUE(IF(VLOOKUP($A138,数出表_Excel!$A$6:$T$150,COLUMN()/2+1,FALSE)=0,"",VLOOKUP($A138,数出表_Excel!$A$6:$T$150,COLUMN()/2+1,FALSE))),"")</f>
        <v/>
      </c>
      <c r="AI138" s="63"/>
      <c r="AJ138" s="149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 x14ac:dyDescent="0.45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 x14ac:dyDescent="0.45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49" t="str">
        <f ca="1">IFERROR(VALUE(IF(VLOOKUP($A140,数出表_Excel!$A$6:$T$150,COLUMN()/2+1,FALSE)=0,"",VLOOKUP($A140,数出表_Excel!$A$6:$T$150,COLUMN()/2+1,FALSE))),"")</f>
        <v/>
      </c>
      <c r="C140" s="63"/>
      <c r="D140" s="149" t="str">
        <f ca="1">IFERROR(VALUE(IF(VLOOKUP($A140,数出表_Excel!$A$6:$T$150,COLUMN()/2+1,FALSE)=0,"",VLOOKUP($A140,数出表_Excel!$A$6:$T$150,COLUMN()/2+1,FALSE))),"")</f>
        <v/>
      </c>
      <c r="E140" s="63"/>
      <c r="F140" s="149" t="str">
        <f ca="1">IFERROR(VALUE(IF(VLOOKUP($A140,数出表_Excel!$A$6:$T$150,COLUMN()/2+1,FALSE)=0,"",VLOOKUP($A140,数出表_Excel!$A$6:$T$150,COLUMN()/2+1,FALSE))),"")</f>
        <v/>
      </c>
      <c r="G140" s="63"/>
      <c r="H140" s="149" t="str">
        <f ca="1">IFERROR(VALUE(IF(VLOOKUP($A140,数出表_Excel!$A$6:$T$150,COLUMN()/2+1,FALSE)=0,"",VLOOKUP($A140,数出表_Excel!$A$6:$T$150,COLUMN()/2+1,FALSE))),"")</f>
        <v/>
      </c>
      <c r="I140" s="63"/>
      <c r="J140" s="149" t="str">
        <f ca="1">IFERROR(VALUE(IF(VLOOKUP($A140,数出表_Excel!$A$6:$T$150,COLUMN()/2+1,FALSE)=0,"",VLOOKUP($A140,数出表_Excel!$A$6:$T$150,COLUMN()/2+1,FALSE))),"")</f>
        <v/>
      </c>
      <c r="K140" s="63"/>
      <c r="L140" s="149" t="str">
        <f ca="1">IFERROR(VALUE(IF(VLOOKUP($A140,数出表_Excel!$A$6:$T$150,COLUMN()/2+1,FALSE)=0,"",VLOOKUP($A140,数出表_Excel!$A$6:$T$150,COLUMN()/2+1,FALSE))),"")</f>
        <v/>
      </c>
      <c r="M140" s="63"/>
      <c r="N140" s="149" t="str">
        <f ca="1">IFERROR(VALUE(IF(VLOOKUP($A140,数出表_Excel!$A$6:$T$150,COLUMN()/2+1,FALSE)=0,"",VLOOKUP($A140,数出表_Excel!$A$6:$T$150,COLUMN()/2+1,FALSE))),"")</f>
        <v/>
      </c>
      <c r="O140" s="63"/>
      <c r="P140" s="149" t="str">
        <f ca="1">IFERROR(VALUE(IF(VLOOKUP($A140,数出表_Excel!$A$6:$T$150,COLUMN()/2+1,FALSE)=0,"",VLOOKUP($A140,数出表_Excel!$A$6:$T$150,COLUMN()/2+1,FALSE))),"")</f>
        <v/>
      </c>
      <c r="Q140" s="63"/>
      <c r="R140" s="149" t="str">
        <f ca="1">IFERROR(VALUE(IF(VLOOKUP($A140,数出表_Excel!$A$6:$T$150,COLUMN()/2+1,FALSE)=0,"",VLOOKUP($A140,数出表_Excel!$A$6:$T$150,COLUMN()/2+1,FALSE))),"")</f>
        <v/>
      </c>
      <c r="S140" s="63"/>
      <c r="T140" s="149" t="str">
        <f ca="1">IFERROR(VALUE(IF(VLOOKUP($A140,数出表_Excel!$A$6:$T$150,COLUMN()/2+1,FALSE)=0,"",VLOOKUP($A140,数出表_Excel!$A$6:$T$150,COLUMN()/2+1,FALSE))),"")</f>
        <v/>
      </c>
      <c r="U140" s="63"/>
      <c r="V140" s="149" t="str">
        <f ca="1">IFERROR(VALUE(IF(VLOOKUP($A140,数出表_Excel!$A$6:$T$150,COLUMN()/2+1,FALSE)=0,"",VLOOKUP($A140,数出表_Excel!$A$6:$T$150,COLUMN()/2+1,FALSE))),"")</f>
        <v/>
      </c>
      <c r="W140" s="63"/>
      <c r="X140" s="149" t="str">
        <f ca="1">IFERROR(VALUE(IF(VLOOKUP($A140,数出表_Excel!$A$6:$T$150,COLUMN()/2+1,FALSE)=0,"",VLOOKUP($A140,数出表_Excel!$A$6:$T$150,COLUMN()/2+1,FALSE))),"")</f>
        <v/>
      </c>
      <c r="Y140" s="63"/>
      <c r="Z140" s="149" t="str">
        <f ca="1">IFERROR(VALUE(IF(VLOOKUP($A140,数出表_Excel!$A$6:$T$150,COLUMN()/2+1,FALSE)=0,"",VLOOKUP($A140,数出表_Excel!$A$6:$T$150,COLUMN()/2+1,FALSE))),"")</f>
        <v/>
      </c>
      <c r="AA140" s="63"/>
      <c r="AB140" s="149" t="str">
        <f ca="1">IFERROR(VALUE(IF(VLOOKUP($A140,数出表_Excel!$A$6:$T$150,COLUMN()/2+1,FALSE)=0,"",VLOOKUP($A140,数出表_Excel!$A$6:$T$150,COLUMN()/2+1,FALSE))),"")</f>
        <v/>
      </c>
      <c r="AC140" s="63"/>
      <c r="AD140" s="149" t="str">
        <f ca="1">IFERROR(VALUE(IF(VLOOKUP($A140,数出表_Excel!$A$6:$T$150,COLUMN()/2+1,FALSE)=0,"",VLOOKUP($A140,数出表_Excel!$A$6:$T$150,COLUMN()/2+1,FALSE))),"")</f>
        <v/>
      </c>
      <c r="AE140" s="63"/>
      <c r="AF140" s="149" t="str">
        <f ca="1">IFERROR(VALUE(IF(VLOOKUP($A140,数出表_Excel!$A$6:$T$150,COLUMN()/2+1,FALSE)=0,"",VLOOKUP($A140,数出表_Excel!$A$6:$T$150,COLUMN()/2+1,FALSE))),"")</f>
        <v/>
      </c>
      <c r="AG140" s="63"/>
      <c r="AH140" s="149" t="str">
        <f ca="1">IFERROR(VALUE(IF(VLOOKUP($A140,数出表_Excel!$A$6:$T$150,COLUMN()/2+1,FALSE)=0,"",VLOOKUP($A140,数出表_Excel!$A$6:$T$150,COLUMN()/2+1,FALSE))),"")</f>
        <v/>
      </c>
      <c r="AI140" s="63"/>
      <c r="AJ140" s="149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 x14ac:dyDescent="0.45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 x14ac:dyDescent="0.45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49" t="str">
        <f ca="1">IFERROR(VALUE(IF(VLOOKUP($A142,数出表_Excel!$A$6:$T$150,COLUMN()/2+1,FALSE)=0,"",VLOOKUP($A142,数出表_Excel!$A$6:$T$150,COLUMN()/2+1,FALSE))),"")</f>
        <v/>
      </c>
      <c r="C142" s="63"/>
      <c r="D142" s="149" t="str">
        <f ca="1">IFERROR(VALUE(IF(VLOOKUP($A142,数出表_Excel!$A$6:$T$150,COLUMN()/2+1,FALSE)=0,"",VLOOKUP($A142,数出表_Excel!$A$6:$T$150,COLUMN()/2+1,FALSE))),"")</f>
        <v/>
      </c>
      <c r="E142" s="63"/>
      <c r="F142" s="149" t="str">
        <f ca="1">IFERROR(VALUE(IF(VLOOKUP($A142,数出表_Excel!$A$6:$T$150,COLUMN()/2+1,FALSE)=0,"",VLOOKUP($A142,数出表_Excel!$A$6:$T$150,COLUMN()/2+1,FALSE))),"")</f>
        <v/>
      </c>
      <c r="G142" s="63"/>
      <c r="H142" s="149" t="str">
        <f ca="1">IFERROR(VALUE(IF(VLOOKUP($A142,数出表_Excel!$A$6:$T$150,COLUMN()/2+1,FALSE)=0,"",VLOOKUP($A142,数出表_Excel!$A$6:$T$150,COLUMN()/2+1,FALSE))),"")</f>
        <v/>
      </c>
      <c r="I142" s="63"/>
      <c r="J142" s="149" t="str">
        <f ca="1">IFERROR(VALUE(IF(VLOOKUP($A142,数出表_Excel!$A$6:$T$150,COLUMN()/2+1,FALSE)=0,"",VLOOKUP($A142,数出表_Excel!$A$6:$T$150,COLUMN()/2+1,FALSE))),"")</f>
        <v/>
      </c>
      <c r="K142" s="63"/>
      <c r="L142" s="149" t="str">
        <f ca="1">IFERROR(VALUE(IF(VLOOKUP($A142,数出表_Excel!$A$6:$T$150,COLUMN()/2+1,FALSE)=0,"",VLOOKUP($A142,数出表_Excel!$A$6:$T$150,COLUMN()/2+1,FALSE))),"")</f>
        <v/>
      </c>
      <c r="M142" s="63"/>
      <c r="N142" s="149" t="str">
        <f ca="1">IFERROR(VALUE(IF(VLOOKUP($A142,数出表_Excel!$A$6:$T$150,COLUMN()/2+1,FALSE)=0,"",VLOOKUP($A142,数出表_Excel!$A$6:$T$150,COLUMN()/2+1,FALSE))),"")</f>
        <v/>
      </c>
      <c r="O142" s="63"/>
      <c r="P142" s="149" t="str">
        <f ca="1">IFERROR(VALUE(IF(VLOOKUP($A142,数出表_Excel!$A$6:$T$150,COLUMN()/2+1,FALSE)=0,"",VLOOKUP($A142,数出表_Excel!$A$6:$T$150,COLUMN()/2+1,FALSE))),"")</f>
        <v/>
      </c>
      <c r="Q142" s="63"/>
      <c r="R142" s="149" t="str">
        <f ca="1">IFERROR(VALUE(IF(VLOOKUP($A142,数出表_Excel!$A$6:$T$150,COLUMN()/2+1,FALSE)=0,"",VLOOKUP($A142,数出表_Excel!$A$6:$T$150,COLUMN()/2+1,FALSE))),"")</f>
        <v/>
      </c>
      <c r="S142" s="63"/>
      <c r="T142" s="149" t="str">
        <f ca="1">IFERROR(VALUE(IF(VLOOKUP($A142,数出表_Excel!$A$6:$T$150,COLUMN()/2+1,FALSE)=0,"",VLOOKUP($A142,数出表_Excel!$A$6:$T$150,COLUMN()/2+1,FALSE))),"")</f>
        <v/>
      </c>
      <c r="U142" s="63"/>
      <c r="V142" s="149" t="str">
        <f ca="1">IFERROR(VALUE(IF(VLOOKUP($A142,数出表_Excel!$A$6:$T$150,COLUMN()/2+1,FALSE)=0,"",VLOOKUP($A142,数出表_Excel!$A$6:$T$150,COLUMN()/2+1,FALSE))),"")</f>
        <v/>
      </c>
      <c r="W142" s="63"/>
      <c r="X142" s="149" t="str">
        <f ca="1">IFERROR(VALUE(IF(VLOOKUP($A142,数出表_Excel!$A$6:$T$150,COLUMN()/2+1,FALSE)=0,"",VLOOKUP($A142,数出表_Excel!$A$6:$T$150,COLUMN()/2+1,FALSE))),"")</f>
        <v/>
      </c>
      <c r="Y142" s="63"/>
      <c r="Z142" s="149" t="str">
        <f ca="1">IFERROR(VALUE(IF(VLOOKUP($A142,数出表_Excel!$A$6:$T$150,COLUMN()/2+1,FALSE)=0,"",VLOOKUP($A142,数出表_Excel!$A$6:$T$150,COLUMN()/2+1,FALSE))),"")</f>
        <v/>
      </c>
      <c r="AA142" s="63"/>
      <c r="AB142" s="149" t="str">
        <f ca="1">IFERROR(VALUE(IF(VLOOKUP($A142,数出表_Excel!$A$6:$T$150,COLUMN()/2+1,FALSE)=0,"",VLOOKUP($A142,数出表_Excel!$A$6:$T$150,COLUMN()/2+1,FALSE))),"")</f>
        <v/>
      </c>
      <c r="AC142" s="63"/>
      <c r="AD142" s="149" t="str">
        <f ca="1">IFERROR(VALUE(IF(VLOOKUP($A142,数出表_Excel!$A$6:$T$150,COLUMN()/2+1,FALSE)=0,"",VLOOKUP($A142,数出表_Excel!$A$6:$T$150,COLUMN()/2+1,FALSE))),"")</f>
        <v/>
      </c>
      <c r="AE142" s="63"/>
      <c r="AF142" s="149" t="str">
        <f ca="1">IFERROR(VALUE(IF(VLOOKUP($A142,数出表_Excel!$A$6:$T$150,COLUMN()/2+1,FALSE)=0,"",VLOOKUP($A142,数出表_Excel!$A$6:$T$150,COLUMN()/2+1,FALSE))),"")</f>
        <v/>
      </c>
      <c r="AG142" s="63"/>
      <c r="AH142" s="149" t="str">
        <f ca="1">IFERROR(VALUE(IF(VLOOKUP($A142,数出表_Excel!$A$6:$T$150,COLUMN()/2+1,FALSE)=0,"",VLOOKUP($A142,数出表_Excel!$A$6:$T$150,COLUMN()/2+1,FALSE))),"")</f>
        <v/>
      </c>
      <c r="AI142" s="63"/>
      <c r="AJ142" s="149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 x14ac:dyDescent="0.45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 x14ac:dyDescent="0.45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49" t="str">
        <f ca="1">IFERROR(VALUE(IF(VLOOKUP($A144,数出表_Excel!$A$6:$T$150,COLUMN()/2+1,FALSE)=0,"",VLOOKUP($A144,数出表_Excel!$A$6:$T$150,COLUMN()/2+1,FALSE))),"")</f>
        <v/>
      </c>
      <c r="C144" s="63"/>
      <c r="D144" s="149" t="str">
        <f ca="1">IFERROR(VALUE(IF(VLOOKUP($A144,数出表_Excel!$A$6:$T$150,COLUMN()/2+1,FALSE)=0,"",VLOOKUP($A144,数出表_Excel!$A$6:$T$150,COLUMN()/2+1,FALSE))),"")</f>
        <v/>
      </c>
      <c r="E144" s="63"/>
      <c r="F144" s="149" t="str">
        <f ca="1">IFERROR(VALUE(IF(VLOOKUP($A144,数出表_Excel!$A$6:$T$150,COLUMN()/2+1,FALSE)=0,"",VLOOKUP($A144,数出表_Excel!$A$6:$T$150,COLUMN()/2+1,FALSE))),"")</f>
        <v/>
      </c>
      <c r="G144" s="63"/>
      <c r="H144" s="149" t="str">
        <f ca="1">IFERROR(VALUE(IF(VLOOKUP($A144,数出表_Excel!$A$6:$T$150,COLUMN()/2+1,FALSE)=0,"",VLOOKUP($A144,数出表_Excel!$A$6:$T$150,COLUMN()/2+1,FALSE))),"")</f>
        <v/>
      </c>
      <c r="I144" s="63"/>
      <c r="J144" s="149" t="str">
        <f ca="1">IFERROR(VALUE(IF(VLOOKUP($A144,数出表_Excel!$A$6:$T$150,COLUMN()/2+1,FALSE)=0,"",VLOOKUP($A144,数出表_Excel!$A$6:$T$150,COLUMN()/2+1,FALSE))),"")</f>
        <v/>
      </c>
      <c r="K144" s="63"/>
      <c r="L144" s="149" t="str">
        <f ca="1">IFERROR(VALUE(IF(VLOOKUP($A144,数出表_Excel!$A$6:$T$150,COLUMN()/2+1,FALSE)=0,"",VLOOKUP($A144,数出表_Excel!$A$6:$T$150,COLUMN()/2+1,FALSE))),"")</f>
        <v/>
      </c>
      <c r="M144" s="63"/>
      <c r="N144" s="149" t="str">
        <f ca="1">IFERROR(VALUE(IF(VLOOKUP($A144,数出表_Excel!$A$6:$T$150,COLUMN()/2+1,FALSE)=0,"",VLOOKUP($A144,数出表_Excel!$A$6:$T$150,COLUMN()/2+1,FALSE))),"")</f>
        <v/>
      </c>
      <c r="O144" s="63"/>
      <c r="P144" s="149" t="str">
        <f ca="1">IFERROR(VALUE(IF(VLOOKUP($A144,数出表_Excel!$A$6:$T$150,COLUMN()/2+1,FALSE)=0,"",VLOOKUP($A144,数出表_Excel!$A$6:$T$150,COLUMN()/2+1,FALSE))),"")</f>
        <v/>
      </c>
      <c r="Q144" s="63"/>
      <c r="R144" s="149" t="str">
        <f ca="1">IFERROR(VALUE(IF(VLOOKUP($A144,数出表_Excel!$A$6:$T$150,COLUMN()/2+1,FALSE)=0,"",VLOOKUP($A144,数出表_Excel!$A$6:$T$150,COLUMN()/2+1,FALSE))),"")</f>
        <v/>
      </c>
      <c r="S144" s="63"/>
      <c r="T144" s="149" t="str">
        <f ca="1">IFERROR(VALUE(IF(VLOOKUP($A144,数出表_Excel!$A$6:$T$150,COLUMN()/2+1,FALSE)=0,"",VLOOKUP($A144,数出表_Excel!$A$6:$T$150,COLUMN()/2+1,FALSE))),"")</f>
        <v/>
      </c>
      <c r="U144" s="63"/>
      <c r="V144" s="149" t="str">
        <f ca="1">IFERROR(VALUE(IF(VLOOKUP($A144,数出表_Excel!$A$6:$T$150,COLUMN()/2+1,FALSE)=0,"",VLOOKUP($A144,数出表_Excel!$A$6:$T$150,COLUMN()/2+1,FALSE))),"")</f>
        <v/>
      </c>
      <c r="W144" s="63"/>
      <c r="X144" s="149" t="str">
        <f ca="1">IFERROR(VALUE(IF(VLOOKUP($A144,数出表_Excel!$A$6:$T$150,COLUMN()/2+1,FALSE)=0,"",VLOOKUP($A144,数出表_Excel!$A$6:$T$150,COLUMN()/2+1,FALSE))),"")</f>
        <v/>
      </c>
      <c r="Y144" s="63"/>
      <c r="Z144" s="149" t="str">
        <f ca="1">IFERROR(VALUE(IF(VLOOKUP($A144,数出表_Excel!$A$6:$T$150,COLUMN()/2+1,FALSE)=0,"",VLOOKUP($A144,数出表_Excel!$A$6:$T$150,COLUMN()/2+1,FALSE))),"")</f>
        <v/>
      </c>
      <c r="AA144" s="63"/>
      <c r="AB144" s="149" t="str">
        <f ca="1">IFERROR(VALUE(IF(VLOOKUP($A144,数出表_Excel!$A$6:$T$150,COLUMN()/2+1,FALSE)=0,"",VLOOKUP($A144,数出表_Excel!$A$6:$T$150,COLUMN()/2+1,FALSE))),"")</f>
        <v/>
      </c>
      <c r="AC144" s="63"/>
      <c r="AD144" s="149" t="str">
        <f ca="1">IFERROR(VALUE(IF(VLOOKUP($A144,数出表_Excel!$A$6:$T$150,COLUMN()/2+1,FALSE)=0,"",VLOOKUP($A144,数出表_Excel!$A$6:$T$150,COLUMN()/2+1,FALSE))),"")</f>
        <v/>
      </c>
      <c r="AE144" s="63"/>
      <c r="AF144" s="149" t="str">
        <f ca="1">IFERROR(VALUE(IF(VLOOKUP($A144,数出表_Excel!$A$6:$T$150,COLUMN()/2+1,FALSE)=0,"",VLOOKUP($A144,数出表_Excel!$A$6:$T$150,COLUMN()/2+1,FALSE))),"")</f>
        <v/>
      </c>
      <c r="AG144" s="63"/>
      <c r="AH144" s="149" t="str">
        <f ca="1">IFERROR(VALUE(IF(VLOOKUP($A144,数出表_Excel!$A$6:$T$150,COLUMN()/2+1,FALSE)=0,"",VLOOKUP($A144,数出表_Excel!$A$6:$T$150,COLUMN()/2+1,FALSE))),"")</f>
        <v/>
      </c>
      <c r="AI144" s="63"/>
      <c r="AJ144" s="149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 x14ac:dyDescent="0.45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 x14ac:dyDescent="0.45">
      <c r="A146" s="68" t="e">
        <f>数出表_Excel!A146</f>
        <v>#N/A</v>
      </c>
      <c r="B146" s="194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95"/>
      <c r="D146" s="194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96"/>
      <c r="F146" s="194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96"/>
      <c r="H146" s="197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95"/>
      <c r="J146" s="194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96"/>
      <c r="L146" s="197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95"/>
      <c r="N146" s="194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96"/>
      <c r="P146" s="197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95"/>
      <c r="R146" s="194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96"/>
      <c r="T146" s="197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95"/>
      <c r="V146" s="194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96"/>
      <c r="X146" s="197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95"/>
      <c r="Z146" s="194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96"/>
      <c r="AB146" s="197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95"/>
      <c r="AD146" s="194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96"/>
      <c r="AF146" s="197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95"/>
      <c r="AH146" s="194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96"/>
      <c r="AJ146" s="197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95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 x14ac:dyDescent="0.45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98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9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98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9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98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9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98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9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98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9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98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9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98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9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98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9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98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 x14ac:dyDescent="0.45">
      <c r="A148"/>
      <c r="B148" s="186"/>
      <c r="C148" s="190"/>
      <c r="D148" s="186"/>
      <c r="E148" s="183"/>
      <c r="F148" s="192"/>
      <c r="G148" s="190"/>
      <c r="H148" s="186"/>
      <c r="I148" s="183"/>
      <c r="J148" s="192"/>
      <c r="K148" s="190"/>
      <c r="L148" s="186"/>
      <c r="M148" s="183"/>
      <c r="N148" s="192"/>
      <c r="O148" s="190"/>
      <c r="P148" s="186"/>
      <c r="Q148" s="183"/>
      <c r="R148" s="192"/>
      <c r="S148" s="190"/>
      <c r="T148" s="186"/>
      <c r="U148" s="183"/>
      <c r="V148" s="188"/>
      <c r="W148" s="190"/>
      <c r="X148" s="182"/>
      <c r="Y148" s="183"/>
      <c r="Z148" s="188"/>
      <c r="AA148" s="183"/>
      <c r="AB148" s="182"/>
      <c r="AC148" s="183"/>
      <c r="AD148" s="182"/>
      <c r="AE148" s="183"/>
      <c r="AF148" s="182"/>
      <c r="AG148" s="183"/>
      <c r="AH148" s="182"/>
      <c r="AI148" s="183"/>
      <c r="AJ148" s="182"/>
      <c r="AK148" s="183"/>
      <c r="AL148" s="179"/>
    </row>
    <row r="149" spans="1:40" ht="23.4" customHeight="1" x14ac:dyDescent="0.2">
      <c r="A149" s="181" t="s">
        <v>164</v>
      </c>
      <c r="B149" s="184"/>
      <c r="C149" s="187"/>
      <c r="D149" s="184"/>
      <c r="E149" s="185"/>
      <c r="F149" s="189" t="str">
        <f>IF(OR(F150&lt;&gt;"",F153&lt;&gt;""),F146-F150-F151-F152-F153,"")</f>
        <v/>
      </c>
      <c r="G149" s="191"/>
      <c r="H149" s="184" t="str">
        <f>IF(OR(H150&lt;&gt;"",H153&lt;&gt;""),H146-H150-H151-H152-H153,"")</f>
        <v/>
      </c>
      <c r="I149" s="193"/>
      <c r="J149" s="189" t="str">
        <f>IF(OR(J150&lt;&gt;"",J153&lt;&gt;""),J146-J150-J151-J152-J153,"")</f>
        <v/>
      </c>
      <c r="K149" s="187"/>
      <c r="L149" s="184" t="str">
        <f>IF(OR(L150&lt;&gt;"",L153&lt;&gt;""),L146-L150-L151-L152-L153,"")</f>
        <v/>
      </c>
      <c r="M149" s="193"/>
      <c r="N149" s="189" t="str">
        <f>IF(OR(N150&lt;&gt;"",N153&lt;&gt;""),N146-N150-N151-N152-N153,"")</f>
        <v/>
      </c>
      <c r="O149" s="191"/>
      <c r="P149" s="184" t="str">
        <f>IF(OR(P150&lt;&gt;"",P153&lt;&gt;""),P146-P150-P151-P152-P153,"")</f>
        <v/>
      </c>
      <c r="Q149" s="193"/>
      <c r="R149" s="189" t="str">
        <f>IF(OR(R150&lt;&gt;"",R153&lt;&gt;""),R146-R150-R151-R152-R153,"")</f>
        <v/>
      </c>
      <c r="S149" s="191"/>
      <c r="T149" s="184" t="str">
        <f>IF(OR(T150&lt;&gt;"",T153&lt;&gt;""),T146-T150-T151-T152-T153,"")</f>
        <v/>
      </c>
      <c r="U149" s="185"/>
      <c r="V149" s="189" t="str">
        <f>IF(OR(V150&lt;&gt;"",V153&lt;&gt;""),V146-V150-V151-V152-V153,"")</f>
        <v/>
      </c>
      <c r="W149" s="187"/>
      <c r="X149" s="184" t="str">
        <f>IF(OR(X150&lt;&gt;"",X153&lt;&gt;""),X146-X150-X151-X152-X153,"")</f>
        <v/>
      </c>
      <c r="Y149" s="185"/>
      <c r="Z149" s="189" t="str">
        <f>IF(OR(Z150&lt;&gt;"",Z153&lt;&gt;""),Z146-Z150-Z151-Z152-Z153,"")</f>
        <v/>
      </c>
      <c r="AA149" s="185"/>
      <c r="AB149" s="184" t="str">
        <f>IF(OR(AB150&lt;&gt;"",AB153&lt;&gt;""),AB146-AB150-AB151-AB152-AB153,"")</f>
        <v/>
      </c>
      <c r="AC149" s="185"/>
      <c r="AD149" s="184" t="str">
        <f>IF(OR(AD150&lt;&gt;"",AD153&lt;&gt;""),AD146-AD150-AD151-AD152-AD153,"")</f>
        <v/>
      </c>
      <c r="AE149" s="185"/>
      <c r="AF149" s="184" t="str">
        <f>IF(OR(AF150&lt;&gt;"",AF153&lt;&gt;""),AF146-AF150-AF151-AF152-AF153,"")</f>
        <v/>
      </c>
      <c r="AG149" s="185"/>
      <c r="AH149" s="184" t="str">
        <f>IF(OR(AH150&lt;&gt;"",AH153&lt;&gt;""),AH146-AH150-AH151-AH152-AH153,"")</f>
        <v/>
      </c>
      <c r="AI149" s="185"/>
      <c r="AJ149" s="184" t="str">
        <f>IF(OR(AJ150&lt;&gt;"",AJ153&lt;&gt;""),AJ146-AJ150-AJ151-AJ152-AJ153,"")</f>
        <v/>
      </c>
      <c r="AK149" s="185"/>
      <c r="AL149" s="180"/>
    </row>
    <row r="150" spans="1:40" ht="16.2" customHeight="1" x14ac:dyDescent="0.45">
      <c r="A150" s="126" t="s">
        <v>165</v>
      </c>
      <c r="B150" s="175"/>
      <c r="C150" s="200">
        <f>SUM(C6:C145)</f>
        <v>0</v>
      </c>
      <c r="D150" s="175"/>
      <c r="E150" s="200">
        <f>SUM(E6:E145)</f>
        <v>0</v>
      </c>
      <c r="F150" s="168"/>
      <c r="G150" s="200">
        <f>SUM(G6:G145)</f>
        <v>0</v>
      </c>
      <c r="H150" s="167"/>
      <c r="I150" s="200">
        <f>SUM(I6:I145)</f>
        <v>0</v>
      </c>
      <c r="J150" s="168"/>
      <c r="K150" s="200">
        <f>SUM(K6:K145)</f>
        <v>0</v>
      </c>
      <c r="L150" s="167"/>
      <c r="M150" s="200">
        <f>SUM(M6:M145)</f>
        <v>0</v>
      </c>
      <c r="N150" s="177"/>
      <c r="O150" s="200">
        <f>SUM(O6:O145)</f>
        <v>0</v>
      </c>
      <c r="P150" s="167"/>
      <c r="Q150" s="200">
        <f>SUM(Q6:Q145)</f>
        <v>0</v>
      </c>
      <c r="R150" s="168"/>
      <c r="S150" s="200">
        <f>SUM(S6:S145)</f>
        <v>0</v>
      </c>
      <c r="T150" s="167"/>
      <c r="U150" s="200">
        <f>SUM(U6:U145)</f>
        <v>0</v>
      </c>
      <c r="V150" s="168"/>
      <c r="W150" s="200">
        <f>SUM(W6:W145)</f>
        <v>0</v>
      </c>
      <c r="X150" s="167"/>
      <c r="Y150" s="200">
        <f>SUM(Y6:Y145)</f>
        <v>0</v>
      </c>
      <c r="Z150" s="168"/>
      <c r="AA150" s="200">
        <f>SUM(AA6:AA145)</f>
        <v>0</v>
      </c>
      <c r="AB150" s="167"/>
      <c r="AC150" s="200">
        <f>SUM(AC6:AC145)</f>
        <v>0</v>
      </c>
      <c r="AD150" s="167"/>
      <c r="AE150" s="200">
        <f>SUM(AE6:AE145)</f>
        <v>0</v>
      </c>
      <c r="AF150" s="169"/>
      <c r="AG150" s="200">
        <f>SUM(AG6:AG145)</f>
        <v>0</v>
      </c>
      <c r="AH150" s="169"/>
      <c r="AI150" s="200">
        <f>SUM(AI6:AI145)</f>
        <v>0</v>
      </c>
      <c r="AJ150" s="169"/>
      <c r="AK150" s="200">
        <f>SUM(AK6:AK145)</f>
        <v>0</v>
      </c>
      <c r="AL150" s="170"/>
      <c r="AM150" s="81"/>
      <c r="AN150" s="82"/>
    </row>
    <row r="151" spans="1:40" ht="16.2" customHeight="1" x14ac:dyDescent="0.45">
      <c r="A151" s="126" t="s">
        <v>166</v>
      </c>
      <c r="B151" s="175"/>
      <c r="C151" s="201"/>
      <c r="D151" s="175"/>
      <c r="E151" s="201"/>
      <c r="F151" s="168"/>
      <c r="G151" s="201"/>
      <c r="H151" s="167"/>
      <c r="I151" s="201"/>
      <c r="J151" s="168"/>
      <c r="K151" s="201"/>
      <c r="L151" s="167"/>
      <c r="M151" s="201"/>
      <c r="N151" s="177"/>
      <c r="O151" s="201"/>
      <c r="P151" s="167"/>
      <c r="Q151" s="201"/>
      <c r="R151" s="168"/>
      <c r="S151" s="201"/>
      <c r="T151" s="167"/>
      <c r="U151" s="201"/>
      <c r="V151" s="168"/>
      <c r="W151" s="201"/>
      <c r="X151" s="167"/>
      <c r="Y151" s="201"/>
      <c r="Z151" s="168"/>
      <c r="AA151" s="201"/>
      <c r="AB151" s="167"/>
      <c r="AC151" s="201"/>
      <c r="AD151" s="167"/>
      <c r="AE151" s="201"/>
      <c r="AF151" s="169"/>
      <c r="AG151" s="201"/>
      <c r="AH151" s="169"/>
      <c r="AI151" s="201"/>
      <c r="AJ151" s="169"/>
      <c r="AK151" s="201"/>
      <c r="AL151" s="170"/>
      <c r="AM151" s="81"/>
      <c r="AN151" s="82"/>
    </row>
    <row r="152" spans="1:40" ht="16.2" customHeight="1" x14ac:dyDescent="0.45">
      <c r="A152" s="126" t="s">
        <v>167</v>
      </c>
      <c r="B152" s="175"/>
      <c r="C152" s="201"/>
      <c r="D152" s="175"/>
      <c r="E152" s="201"/>
      <c r="F152" s="168"/>
      <c r="G152" s="201"/>
      <c r="H152" s="167"/>
      <c r="I152" s="201"/>
      <c r="J152" s="168"/>
      <c r="K152" s="201"/>
      <c r="L152" s="167"/>
      <c r="M152" s="201"/>
      <c r="N152" s="177"/>
      <c r="O152" s="201"/>
      <c r="P152" s="167"/>
      <c r="Q152" s="201"/>
      <c r="R152" s="168"/>
      <c r="S152" s="201"/>
      <c r="T152" s="167"/>
      <c r="U152" s="201"/>
      <c r="V152" s="168"/>
      <c r="W152" s="201"/>
      <c r="X152" s="167"/>
      <c r="Y152" s="201"/>
      <c r="Z152" s="168"/>
      <c r="AA152" s="201"/>
      <c r="AB152" s="167"/>
      <c r="AC152" s="201"/>
      <c r="AD152" s="167"/>
      <c r="AE152" s="201"/>
      <c r="AF152" s="169"/>
      <c r="AG152" s="201"/>
      <c r="AH152" s="169"/>
      <c r="AI152" s="201"/>
      <c r="AJ152" s="169"/>
      <c r="AK152" s="201"/>
      <c r="AL152" s="170"/>
    </row>
    <row r="153" spans="1:40" s="59" customFormat="1" ht="16.2" customHeight="1" x14ac:dyDescent="0.45">
      <c r="A153" s="127" t="s">
        <v>168</v>
      </c>
      <c r="B153" s="176"/>
      <c r="C153" s="202"/>
      <c r="D153" s="176"/>
      <c r="E153" s="202"/>
      <c r="F153" s="172"/>
      <c r="G153" s="202"/>
      <c r="H153" s="171"/>
      <c r="I153" s="202"/>
      <c r="J153" s="172"/>
      <c r="K153" s="202"/>
      <c r="L153" s="171"/>
      <c r="M153" s="202"/>
      <c r="N153" s="178"/>
      <c r="O153" s="202"/>
      <c r="P153" s="171"/>
      <c r="Q153" s="202"/>
      <c r="R153" s="172"/>
      <c r="S153" s="202"/>
      <c r="T153" s="171"/>
      <c r="U153" s="202"/>
      <c r="V153" s="172"/>
      <c r="W153" s="202"/>
      <c r="X153" s="171"/>
      <c r="Y153" s="202"/>
      <c r="Z153" s="172"/>
      <c r="AA153" s="202"/>
      <c r="AB153" s="171"/>
      <c r="AC153" s="202"/>
      <c r="AD153" s="171"/>
      <c r="AE153" s="202"/>
      <c r="AF153" s="173"/>
      <c r="AG153" s="202"/>
      <c r="AH153" s="173"/>
      <c r="AI153" s="202"/>
      <c r="AJ153" s="173"/>
      <c r="AK153" s="202"/>
      <c r="AL153" s="174"/>
      <c r="AM153" s="83"/>
      <c r="AN153" s="83"/>
    </row>
    <row r="154" spans="1:40" ht="16.2" customHeight="1" x14ac:dyDescent="0.2">
      <c r="A154" s="71" t="s">
        <v>169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Q150:Q153"/>
    <mergeCell ref="U150:U153"/>
    <mergeCell ref="E150:E153"/>
    <mergeCell ref="Y150:Y153"/>
    <mergeCell ref="G150:G153"/>
    <mergeCell ref="M150:M153"/>
    <mergeCell ref="K150:K153"/>
    <mergeCell ref="AG150:AG153"/>
    <mergeCell ref="O150:O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AY26" sqref="AY26"/>
    </sheetView>
  </sheetViews>
  <sheetFormatPr defaultRowHeight="22.2" x14ac:dyDescent="0.55000000000000004"/>
  <cols>
    <col min="1" max="1" width="2.89843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19921875" style="38" customWidth="1"/>
    <col min="8" max="8" width="8.5" style="147" hidden="1" customWidth="1"/>
    <col min="9" max="9" width="8.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19921875" style="38" customWidth="1"/>
    <col min="23" max="23" width="8.5" style="147" hidden="1" customWidth="1"/>
    <col min="24" max="24" width="8.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19921875" style="38" customWidth="1"/>
    <col min="38" max="38" width="8.5" style="147" hidden="1" customWidth="1"/>
    <col min="39" max="39" width="8.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19921875" style="38" customWidth="1"/>
    <col min="53" max="53" width="8.5" style="147" hidden="1" customWidth="1"/>
    <col min="54" max="54" width="8.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89843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19921875" style="38" customWidth="1"/>
    <col min="68" max="68" width="8.5" style="147" hidden="1" customWidth="1"/>
    <col min="69" max="69" width="8.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19921875" style="38" customWidth="1"/>
    <col min="83" max="83" width="8.5" style="147" hidden="1" customWidth="1"/>
    <col min="84" max="84" width="8.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19921875" style="38" customWidth="1"/>
    <col min="98" max="98" width="8.5" style="147" hidden="1" customWidth="1"/>
    <col min="99" max="99" width="8.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19921875" style="38" customWidth="1"/>
    <col min="113" max="113" width="8.5" style="147" hidden="1" customWidth="1"/>
    <col min="114" max="114" width="8.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19921875" style="38" customWidth="1"/>
    <col min="128" max="128" width="8.5" style="147" hidden="1" customWidth="1"/>
    <col min="129" max="129" width="8.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19921875" style="38" customWidth="1"/>
    <col min="143" max="143" width="8.5" style="147" hidden="1" customWidth="1"/>
    <col min="144" max="144" width="8.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12"/>
      <c r="E1" s="212"/>
      <c r="F1" s="212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2"/>
      <c r="L1" s="212"/>
      <c r="M1" s="212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2"/>
      <c r="T1" s="212"/>
      <c r="U1" s="212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2"/>
      <c r="AA1" s="212"/>
      <c r="AB1" s="212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2"/>
      <c r="AI1" s="212"/>
      <c r="AJ1" s="212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2"/>
      <c r="AP1" s="212"/>
      <c r="AQ1" s="212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2"/>
      <c r="AX1" s="212"/>
      <c r="AY1" s="212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2"/>
      <c r="BE1" s="212"/>
      <c r="BF1" s="212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2"/>
      <c r="BM1" s="212"/>
      <c r="BN1" s="212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2"/>
      <c r="BT1" s="212"/>
      <c r="BU1" s="212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2"/>
      <c r="CB1" s="212"/>
      <c r="CC1" s="212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2"/>
      <c r="CI1" s="212"/>
      <c r="CJ1" s="212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2"/>
      <c r="CQ1" s="212"/>
      <c r="CR1" s="212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2"/>
      <c r="CX1" s="212"/>
      <c r="CY1" s="212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2"/>
      <c r="DF1" s="212"/>
      <c r="DG1" s="212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2"/>
      <c r="DM1" s="212"/>
      <c r="DN1" s="212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2"/>
      <c r="DU1" s="212"/>
      <c r="DV1" s="212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2"/>
      <c r="EB1" s="212"/>
      <c r="EC1" s="212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2"/>
      <c r="EJ1" s="212"/>
      <c r="EK1" s="212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2"/>
      <c r="EQ1" s="212"/>
      <c r="ER1" s="212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48" customFormat="1" x14ac:dyDescent="0.55000000000000004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57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57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57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57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57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57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57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57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57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57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57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57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57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57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57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57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57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57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57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57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48" customFormat="1" x14ac:dyDescent="0.55000000000000004">
      <c r="A3" s="30"/>
      <c r="B3" s="31"/>
      <c r="C3" s="209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0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9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0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9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0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9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0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9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0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9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0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9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0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9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0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9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0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9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0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9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0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9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0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9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0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9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0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9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0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9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0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9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0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9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0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9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0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9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0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 x14ac:dyDescent="1.05">
      <c r="B4" s="25"/>
      <c r="C4" s="207" t="str">
        <f t="array" aca="1" ref="C4" ca="1">IF(C1&lt;&gt;"",INDIRECT("'盛付札（関数）'!AJ"&amp;A1),"")</f>
        <v/>
      </c>
      <c r="D4" s="208"/>
      <c r="E4" s="44"/>
      <c r="F4" s="203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4"/>
      <c r="H4" s="26"/>
      <c r="I4" s="25"/>
      <c r="J4" s="207" t="str">
        <f t="array" aca="1" ref="J4" ca="1">IF(J1&lt;&gt;"",INDIRECT("'盛付札（関数）'!AJ"&amp;H1),"")</f>
        <v/>
      </c>
      <c r="K4" s="208"/>
      <c r="L4" s="44"/>
      <c r="M4" s="203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4"/>
      <c r="Q4" s="25"/>
      <c r="R4" s="207" t="str">
        <f t="array" aca="1" ref="R4" ca="1">IF(R1&lt;&gt;"",INDIRECT("'盛付札（関数）'!AJ"&amp;P1),"")</f>
        <v/>
      </c>
      <c r="S4" s="208"/>
      <c r="T4" s="44"/>
      <c r="U4" s="203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4"/>
      <c r="W4" s="26"/>
      <c r="X4" s="25"/>
      <c r="Y4" s="207" t="str">
        <f t="array" aca="1" ref="Y4" ca="1">IF(Y1&lt;&gt;"",INDIRECT("'盛付札（関数）'!AJ"&amp;W1),"")</f>
        <v/>
      </c>
      <c r="Z4" s="208"/>
      <c r="AA4" s="44"/>
      <c r="AB4" s="203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4"/>
      <c r="AF4" s="25"/>
      <c r="AG4" s="207" t="str">
        <f t="array" aca="1" ref="AG4" ca="1">IF(AG1&lt;&gt;"",INDIRECT("'盛付札（関数）'!AJ"&amp;AE1),"")</f>
        <v/>
      </c>
      <c r="AH4" s="208"/>
      <c r="AI4" s="44"/>
      <c r="AJ4" s="203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4"/>
      <c r="AL4" s="26"/>
      <c r="AM4" s="25"/>
      <c r="AN4" s="207" t="str">
        <f t="array" aca="1" ref="AN4" ca="1">IF(AN1&lt;&gt;"",INDIRECT("'盛付札（関数）'!AJ"&amp;AL1),"")</f>
        <v/>
      </c>
      <c r="AO4" s="208"/>
      <c r="AP4" s="44"/>
      <c r="AQ4" s="203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4"/>
      <c r="AU4" s="25"/>
      <c r="AV4" s="207" t="str">
        <f t="array" aca="1" ref="AV4" ca="1">IF(AV1&lt;&gt;"",INDIRECT("'盛付札（関数）'!AJ"&amp;AT1),"")</f>
        <v/>
      </c>
      <c r="AW4" s="208"/>
      <c r="AX4" s="44"/>
      <c r="AY4" s="203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4"/>
      <c r="BA4" s="26"/>
      <c r="BB4" s="25"/>
      <c r="BC4" s="207" t="str">
        <f t="array" aca="1" ref="BC4" ca="1">IF(BC1&lt;&gt;"",INDIRECT("'盛付札（関数）'!AJ"&amp;BA1),"")</f>
        <v/>
      </c>
      <c r="BD4" s="208"/>
      <c r="BE4" s="44"/>
      <c r="BF4" s="203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4"/>
      <c r="BJ4" s="25"/>
      <c r="BK4" s="207" t="str">
        <f t="array" aca="1" ref="BK4" ca="1">IF(BK1&lt;&gt;"",INDIRECT("'盛付札（関数）'!AJ"&amp;BI1),"")</f>
        <v/>
      </c>
      <c r="BL4" s="208"/>
      <c r="BM4" s="44"/>
      <c r="BN4" s="203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4"/>
      <c r="BP4" s="26"/>
      <c r="BQ4" s="25"/>
      <c r="BR4" s="207" t="str">
        <f t="array" aca="1" ref="BR4" ca="1">IF(BR1&lt;&gt;"",INDIRECT("'盛付札（関数）'!AJ"&amp;BP1),"")</f>
        <v/>
      </c>
      <c r="BS4" s="208"/>
      <c r="BT4" s="44"/>
      <c r="BU4" s="203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4"/>
      <c r="BY4" s="25"/>
      <c r="BZ4" s="207" t="str">
        <f t="array" aca="1" ref="BZ4" ca="1">IF(BZ1&lt;&gt;"",INDIRECT("'盛付札（関数）'!AJ"&amp;BX1),"")</f>
        <v/>
      </c>
      <c r="CA4" s="208"/>
      <c r="CB4" s="44"/>
      <c r="CC4" s="203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4"/>
      <c r="CE4" s="26"/>
      <c r="CF4" s="25"/>
      <c r="CG4" s="207" t="str">
        <f t="array" aca="1" ref="CG4" ca="1">IF(CG1&lt;&gt;"",INDIRECT("'盛付札（関数）'!AJ"&amp;CE1),"")</f>
        <v/>
      </c>
      <c r="CH4" s="208"/>
      <c r="CI4" s="44"/>
      <c r="CJ4" s="203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4"/>
      <c r="CN4" s="25"/>
      <c r="CO4" s="207" t="str">
        <f t="array" aca="1" ref="CO4" ca="1">IF(CO1&lt;&gt;"",INDIRECT("'盛付札（関数）'!AJ"&amp;CM1),"")</f>
        <v/>
      </c>
      <c r="CP4" s="208"/>
      <c r="CQ4" s="44"/>
      <c r="CR4" s="203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4"/>
      <c r="CT4" s="26"/>
      <c r="CU4" s="25"/>
      <c r="CV4" s="207" t="str">
        <f t="array" aca="1" ref="CV4" ca="1">IF(CV1&lt;&gt;"",INDIRECT("'盛付札（関数）'!AJ"&amp;CT1),"")</f>
        <v/>
      </c>
      <c r="CW4" s="208"/>
      <c r="CX4" s="44"/>
      <c r="CY4" s="203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4"/>
      <c r="DC4" s="25"/>
      <c r="DD4" s="207" t="str">
        <f t="array" aca="1" ref="DD4" ca="1">IF(DD1&lt;&gt;"",INDIRECT("'盛付札（関数）'!AJ"&amp;DB1),"")</f>
        <v/>
      </c>
      <c r="DE4" s="208"/>
      <c r="DF4" s="44"/>
      <c r="DG4" s="203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4"/>
      <c r="DI4" s="26"/>
      <c r="DJ4" s="25"/>
      <c r="DK4" s="207" t="str">
        <f t="array" aca="1" ref="DK4" ca="1">IF(DK1&lt;&gt;"",INDIRECT("'盛付札（関数）'!AJ"&amp;DI1),"")</f>
        <v/>
      </c>
      <c r="DL4" s="208"/>
      <c r="DM4" s="44"/>
      <c r="DN4" s="203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4"/>
      <c r="DR4" s="25"/>
      <c r="DS4" s="207" t="str">
        <f t="array" aca="1" ref="DS4" ca="1">IF(DS1&lt;&gt;"",INDIRECT("'盛付札（関数）'!AJ"&amp;DQ1),"")</f>
        <v/>
      </c>
      <c r="DT4" s="208"/>
      <c r="DU4" s="44"/>
      <c r="DV4" s="203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4"/>
      <c r="DX4" s="26"/>
      <c r="DY4" s="25"/>
      <c r="DZ4" s="207" t="str">
        <f t="array" aca="1" ref="DZ4" ca="1">IF(DZ1&lt;&gt;"",INDIRECT("'盛付札（関数）'!AJ"&amp;DX1),"")</f>
        <v/>
      </c>
      <c r="EA4" s="208"/>
      <c r="EB4" s="44"/>
      <c r="EC4" s="203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4"/>
      <c r="EG4" s="25"/>
      <c r="EH4" s="207" t="str">
        <f t="array" aca="1" ref="EH4" ca="1">IF(EH1&lt;&gt;"",INDIRECT("'盛付札（関数）'!AJ"&amp;EF1),"")</f>
        <v/>
      </c>
      <c r="EI4" s="208"/>
      <c r="EJ4" s="44"/>
      <c r="EK4" s="203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4"/>
      <c r="EM4" s="26"/>
      <c r="EN4" s="25"/>
      <c r="EO4" s="207" t="str">
        <f t="array" aca="1" ref="EO4" ca="1">IF(EO1&lt;&gt;"",INDIRECT("'盛付札（関数）'!AJ"&amp;EM1),"")</f>
        <v/>
      </c>
      <c r="EP4" s="208"/>
      <c r="EQ4" s="44"/>
      <c r="ER4" s="203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4"/>
    </row>
    <row r="5" spans="1:150" ht="15.6" customHeight="1" x14ac:dyDescent="0.45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 x14ac:dyDescent="0.55000000000000004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IF(AND(C1&lt;&gt;"",C1&lt;&gt;"社食",C3&lt;&gt;"先生"),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IF(AND(J1&lt;&gt;"",J1&lt;&gt;"社食",J3&lt;&gt;"先生"),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IF(AND(R1&lt;&gt;"",R1&lt;&gt;"社食",R3&lt;&gt;"先生"),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IF(AND(Y1&lt;&gt;"",Y1&lt;&gt;"社食",Y3&lt;&gt;"先生"),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IF(AND(AG1&lt;&gt;"",AG1&lt;&gt;"社食",AG3&lt;&gt;"先生"),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IF(AND(AN1&lt;&gt;"",AN1&lt;&gt;"社食",AN3&lt;&gt;"先生"),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IF(AND(AV1&lt;&gt;"",AV1&lt;&gt;"社食",AV3&lt;&gt;"先生"),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IF(AND(BC1&lt;&gt;"",BC1&lt;&gt;"社食",BC3&lt;&gt;"先生"),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IF(AND(BK1&lt;&gt;"",BK1&lt;&gt;"社食",BK3&lt;&gt;"先生"),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IF(AND(BR1&lt;&gt;"",BR1&lt;&gt;"社食",BR3&lt;&gt;"先生"),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 x14ac:dyDescent="0.45">
      <c r="B7" s="213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6"/>
      <c r="D7" s="213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6"/>
      <c r="F7" s="214" t="str">
        <f t="array" aca="1" ref="F7" ca="1">IF(AND(C1&lt;&gt;"",C1&lt;&gt;"社食",C3&lt;&gt;"先生"),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/>
      </c>
      <c r="G7" s="206"/>
      <c r="I7" s="213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6"/>
      <c r="K7" s="213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6"/>
      <c r="M7" s="214" t="str">
        <f t="array" aca="1" ref="M7" ca="1">IF(AND(J1&lt;&gt;"",J1&lt;&gt;"社食",J3&lt;&gt;"先生"),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6"/>
      <c r="Q7" s="213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6"/>
      <c r="S7" s="213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6"/>
      <c r="U7" s="214" t="str">
        <f t="array" aca="1" ref="U7" ca="1">IF(AND(R1&lt;&gt;"",R1&lt;&gt;"社食",R3&lt;&gt;"先生"),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6"/>
      <c r="X7" s="213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6"/>
      <c r="Z7" s="213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6"/>
      <c r="AB7" s="214" t="str">
        <f t="array" aca="1" ref="AB7" ca="1">IF(AND(Y1&lt;&gt;"",Y1&lt;&gt;"社食",Y3&lt;&gt;"先生"),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6"/>
      <c r="AF7" s="213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6"/>
      <c r="AH7" s="213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6"/>
      <c r="AJ7" s="214" t="str">
        <f t="array" aca="1" ref="AJ7" ca="1">IF(AND(AG1&lt;&gt;"",AG1&lt;&gt;"社食",AG3&lt;&gt;"先生"),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6"/>
      <c r="AM7" s="213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6"/>
      <c r="AO7" s="213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6"/>
      <c r="AQ7" s="214" t="str">
        <f t="array" aca="1" ref="AQ7" ca="1">IF(AND(AN1&lt;&gt;"",AN1&lt;&gt;"社食",AN3&lt;&gt;"先生"),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6"/>
      <c r="AU7" s="213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6"/>
      <c r="AW7" s="213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6"/>
      <c r="AY7" s="214" t="str">
        <f t="array" aca="1" ref="AY7" ca="1">IF(AND(AV1&lt;&gt;"",AV1&lt;&gt;"社食",AV3&lt;&gt;"先生"),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6"/>
      <c r="BB7" s="213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6"/>
      <c r="BD7" s="213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6"/>
      <c r="BF7" s="214" t="str">
        <f t="array" aca="1" ref="BF7" ca="1">IF(AND(BC1&lt;&gt;"",BC1&lt;&gt;"社食",BC3&lt;&gt;"先生"),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6"/>
      <c r="BJ7" s="213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6"/>
      <c r="BL7" s="213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6"/>
      <c r="BN7" s="214" t="str">
        <f t="array" aca="1" ref="BN7" ca="1">IF(AND(BK1&lt;&gt;"",BK1&lt;&gt;"社食",BK3&lt;&gt;"先生"),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6"/>
      <c r="BQ7" s="213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6"/>
      <c r="BS7" s="213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6"/>
      <c r="BU7" s="214" t="str">
        <f t="array" aca="1" ref="BU7" ca="1">IF(AND(BR1&lt;&gt;"",BR1&lt;&gt;"社食",BR3&lt;&gt;"先生"),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6"/>
      <c r="BY7" s="213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6"/>
      <c r="CA7" s="213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6"/>
      <c r="CC7" s="214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6"/>
      <c r="CF7" s="213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6"/>
      <c r="CH7" s="213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6"/>
      <c r="CJ7" s="214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6"/>
      <c r="CN7" s="213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6"/>
      <c r="CP7" s="213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6"/>
      <c r="CR7" s="214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6"/>
      <c r="CU7" s="213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6"/>
      <c r="CW7" s="213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6"/>
      <c r="CY7" s="214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6"/>
      <c r="DC7" s="213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6"/>
      <c r="DE7" s="213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6"/>
      <c r="DG7" s="214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6"/>
      <c r="DJ7" s="213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6"/>
      <c r="DL7" s="213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6"/>
      <c r="DN7" s="214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6"/>
      <c r="DR7" s="213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6"/>
      <c r="DT7" s="213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6"/>
      <c r="DV7" s="214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6"/>
      <c r="DY7" s="213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6"/>
      <c r="EA7" s="213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6"/>
      <c r="EC7" s="214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6"/>
      <c r="EG7" s="213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6"/>
      <c r="EI7" s="213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6"/>
      <c r="EK7" s="214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6"/>
      <c r="EN7" s="213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6"/>
      <c r="EP7" s="213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6"/>
      <c r="ER7" s="214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6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 x14ac:dyDescent="0.55000000000000004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2"/>
      <c r="E9" s="212"/>
      <c r="F9" s="212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2"/>
      <c r="L9" s="212"/>
      <c r="M9" s="212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2"/>
      <c r="T9" s="212"/>
      <c r="U9" s="212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2"/>
      <c r="AA9" s="212"/>
      <c r="AB9" s="212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2"/>
      <c r="AI9" s="212"/>
      <c r="AJ9" s="212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2"/>
      <c r="AP9" s="212"/>
      <c r="AQ9" s="212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2"/>
      <c r="AX9" s="212"/>
      <c r="AY9" s="212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2"/>
      <c r="BE9" s="212"/>
      <c r="BF9" s="212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2"/>
      <c r="BM9" s="212"/>
      <c r="BN9" s="212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2"/>
      <c r="BT9" s="212"/>
      <c r="BU9" s="212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2"/>
      <c r="CB9" s="212"/>
      <c r="CC9" s="212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2"/>
      <c r="CI9" s="212"/>
      <c r="CJ9" s="212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2"/>
      <c r="CQ9" s="212"/>
      <c r="CR9" s="212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2"/>
      <c r="CX9" s="212"/>
      <c r="CY9" s="212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2"/>
      <c r="DF9" s="212"/>
      <c r="DG9" s="212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2"/>
      <c r="DM9" s="212"/>
      <c r="DN9" s="212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2"/>
      <c r="DU9" s="212"/>
      <c r="DV9" s="212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2"/>
      <c r="EB9" s="212"/>
      <c r="EC9" s="212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2"/>
      <c r="EJ9" s="212"/>
      <c r="EK9" s="212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2"/>
      <c r="EQ9" s="212"/>
      <c r="ER9" s="212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48" customFormat="1" x14ac:dyDescent="0.55000000000000004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57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57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57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57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57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57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57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57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57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57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57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57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57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57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57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57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57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57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57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57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48" customFormat="1" x14ac:dyDescent="0.55000000000000004">
      <c r="A11" s="30"/>
      <c r="B11" s="31"/>
      <c r="C11" s="209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0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9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0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9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0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9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0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9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0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9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0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9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0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9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0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9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0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9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0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9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0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9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0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9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0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9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0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9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0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9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0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9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0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9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0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9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0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9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0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 x14ac:dyDescent="1.05">
      <c r="B12" s="25"/>
      <c r="C12" s="207" t="str">
        <f t="array" aca="1" ref="C12" ca="1">IF(C9&lt;&gt;"",INDIRECT("'盛付札（関数）'!AJ"&amp;A9),"")</f>
        <v/>
      </c>
      <c r="D12" s="208"/>
      <c r="E12" s="44"/>
      <c r="F12" s="203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4"/>
      <c r="H12" s="26"/>
      <c r="I12" s="25"/>
      <c r="J12" s="207" t="str">
        <f t="array" aca="1" ref="J12" ca="1">IF(J9&lt;&gt;"",INDIRECT("'盛付札（関数）'!AJ"&amp;H9),"")</f>
        <v/>
      </c>
      <c r="K12" s="208"/>
      <c r="L12" s="44"/>
      <c r="M12" s="203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4"/>
      <c r="Q12" s="25"/>
      <c r="R12" s="207" t="str">
        <f t="array" aca="1" ref="R12" ca="1">IF(R9&lt;&gt;"",INDIRECT("'盛付札（関数）'!AJ"&amp;P9),"")</f>
        <v/>
      </c>
      <c r="S12" s="208"/>
      <c r="T12" s="44"/>
      <c r="U12" s="203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4"/>
      <c r="W12" s="26"/>
      <c r="X12" s="25"/>
      <c r="Y12" s="207" t="str">
        <f t="array" aca="1" ref="Y12" ca="1">IF(Y9&lt;&gt;"",INDIRECT("'盛付札（関数）'!AJ"&amp;W9),"")</f>
        <v/>
      </c>
      <c r="Z12" s="208"/>
      <c r="AA12" s="44"/>
      <c r="AB12" s="203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4"/>
      <c r="AF12" s="25"/>
      <c r="AG12" s="207" t="str">
        <f t="array" aca="1" ref="AG12" ca="1">IF(AG9&lt;&gt;"",INDIRECT("'盛付札（関数）'!AJ"&amp;AE9),"")</f>
        <v/>
      </c>
      <c r="AH12" s="208"/>
      <c r="AI12" s="44"/>
      <c r="AJ12" s="203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4"/>
      <c r="AL12" s="26"/>
      <c r="AM12" s="25"/>
      <c r="AN12" s="207" t="str">
        <f t="array" aca="1" ref="AN12" ca="1">IF(AN9&lt;&gt;"",INDIRECT("'盛付札（関数）'!AJ"&amp;AL9),"")</f>
        <v/>
      </c>
      <c r="AO12" s="208"/>
      <c r="AP12" s="44"/>
      <c r="AQ12" s="203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4"/>
      <c r="AU12" s="25"/>
      <c r="AV12" s="207" t="str">
        <f t="array" aca="1" ref="AV12" ca="1">IF(AV9&lt;&gt;"",INDIRECT("'盛付札（関数）'!AJ"&amp;AT9),"")</f>
        <v/>
      </c>
      <c r="AW12" s="208"/>
      <c r="AX12" s="44"/>
      <c r="AY12" s="203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4"/>
      <c r="BA12" s="26"/>
      <c r="BB12" s="25"/>
      <c r="BC12" s="207" t="str">
        <f t="array" aca="1" ref="BC12" ca="1">IF(BC9&lt;&gt;"",INDIRECT("'盛付札（関数）'!AJ"&amp;BA9),"")</f>
        <v/>
      </c>
      <c r="BD12" s="208"/>
      <c r="BE12" s="44"/>
      <c r="BF12" s="203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4"/>
      <c r="BJ12" s="25"/>
      <c r="BK12" s="207" t="str">
        <f t="array" aca="1" ref="BK12" ca="1">IF(BK9&lt;&gt;"",INDIRECT("'盛付札（関数）'!AJ"&amp;BI9),"")</f>
        <v/>
      </c>
      <c r="BL12" s="208"/>
      <c r="BM12" s="44"/>
      <c r="BN12" s="203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4"/>
      <c r="BP12" s="26"/>
      <c r="BQ12" s="25"/>
      <c r="BR12" s="207" t="str">
        <f t="array" aca="1" ref="BR12" ca="1">IF(BR9&lt;&gt;"",INDIRECT("'盛付札（関数）'!AJ"&amp;BP9),"")</f>
        <v/>
      </c>
      <c r="BS12" s="208"/>
      <c r="BT12" s="44"/>
      <c r="BU12" s="203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4"/>
      <c r="BY12" s="25"/>
      <c r="BZ12" s="207" t="str">
        <f t="array" aca="1" ref="BZ12" ca="1">IF(BZ9&lt;&gt;"",INDIRECT("'盛付札（関数）'!AJ"&amp;BX9),"")</f>
        <v/>
      </c>
      <c r="CA12" s="208"/>
      <c r="CB12" s="44"/>
      <c r="CC12" s="203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4"/>
      <c r="CE12" s="26"/>
      <c r="CF12" s="25"/>
      <c r="CG12" s="207" t="str">
        <f t="array" aca="1" ref="CG12" ca="1">IF(CG9&lt;&gt;"",INDIRECT("'盛付札（関数）'!AJ"&amp;CE9),"")</f>
        <v/>
      </c>
      <c r="CH12" s="208"/>
      <c r="CI12" s="44"/>
      <c r="CJ12" s="203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4"/>
      <c r="CN12" s="25"/>
      <c r="CO12" s="207" t="str">
        <f t="array" aca="1" ref="CO12" ca="1">IF(CO9&lt;&gt;"",INDIRECT("'盛付札（関数）'!AJ"&amp;CM9),"")</f>
        <v/>
      </c>
      <c r="CP12" s="208"/>
      <c r="CQ12" s="44"/>
      <c r="CR12" s="203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4"/>
      <c r="CT12" s="26"/>
      <c r="CU12" s="25"/>
      <c r="CV12" s="207" t="str">
        <f t="array" aca="1" ref="CV12" ca="1">IF(CV9&lt;&gt;"",INDIRECT("'盛付札（関数）'!AJ"&amp;CT9),"")</f>
        <v/>
      </c>
      <c r="CW12" s="208"/>
      <c r="CX12" s="44"/>
      <c r="CY12" s="203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4"/>
      <c r="DC12" s="25"/>
      <c r="DD12" s="207" t="str">
        <f t="array" aca="1" ref="DD12" ca="1">IF(DD9&lt;&gt;"",INDIRECT("'盛付札（関数）'!AJ"&amp;DB9),"")</f>
        <v/>
      </c>
      <c r="DE12" s="208"/>
      <c r="DF12" s="44"/>
      <c r="DG12" s="203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4"/>
      <c r="DI12" s="26"/>
      <c r="DJ12" s="25"/>
      <c r="DK12" s="207" t="str">
        <f t="array" aca="1" ref="DK12" ca="1">IF(DK9&lt;&gt;"",INDIRECT("'盛付札（関数）'!AJ"&amp;DI9),"")</f>
        <v/>
      </c>
      <c r="DL12" s="208"/>
      <c r="DM12" s="44"/>
      <c r="DN12" s="203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4"/>
      <c r="DR12" s="25"/>
      <c r="DS12" s="207" t="str">
        <f t="array" aca="1" ref="DS12" ca="1">IF(DS9&lt;&gt;"",INDIRECT("'盛付札（関数）'!AJ"&amp;DQ9),"")</f>
        <v/>
      </c>
      <c r="DT12" s="208"/>
      <c r="DU12" s="44"/>
      <c r="DV12" s="203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4"/>
      <c r="DX12" s="26"/>
      <c r="DY12" s="25"/>
      <c r="DZ12" s="207" t="str">
        <f t="array" aca="1" ref="DZ12" ca="1">IF(DZ9&lt;&gt;"",INDIRECT("'盛付札（関数）'!AJ"&amp;DX9),"")</f>
        <v/>
      </c>
      <c r="EA12" s="208"/>
      <c r="EB12" s="44"/>
      <c r="EC12" s="203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4"/>
      <c r="EG12" s="25"/>
      <c r="EH12" s="207" t="str">
        <f t="array" aca="1" ref="EH12" ca="1">IF(EH9&lt;&gt;"",INDIRECT("'盛付札（関数）'!AJ"&amp;EF9),"")</f>
        <v/>
      </c>
      <c r="EI12" s="208"/>
      <c r="EJ12" s="44"/>
      <c r="EK12" s="203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4"/>
      <c r="EM12" s="26"/>
      <c r="EN12" s="25"/>
      <c r="EO12" s="207" t="str">
        <f t="array" aca="1" ref="EO12" ca="1">IF(EO9&lt;&gt;"",INDIRECT("'盛付札（関数）'!AJ"&amp;EM9),"")</f>
        <v/>
      </c>
      <c r="EP12" s="208"/>
      <c r="EQ12" s="44"/>
      <c r="ER12" s="203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4"/>
    </row>
    <row r="13" spans="1:150" ht="15.6" customHeight="1" x14ac:dyDescent="0.45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 x14ac:dyDescent="0.55000000000000004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IF(AND(C9&lt;&gt;"",C9&lt;&gt;"社食",C11&lt;&gt;"先生"),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IF(AND(J9&lt;&gt;"",J9&lt;&gt;"社食",J11&lt;&gt;"先生"),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IF(AND(R9&lt;&gt;"",R9&lt;&gt;"社食",R11&lt;&gt;"先生"),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IF(AND(Y9&lt;&gt;"",Y9&lt;&gt;"社食",Y11&lt;&gt;"先生"),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IF(AND(AG9&lt;&gt;"",AG9&lt;&gt;"社食",AG11&lt;&gt;"先生"),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IF(AND(AN9&lt;&gt;"",AN9&lt;&gt;"社食",AN11&lt;&gt;"先生"),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IF(AND(AV9&lt;&gt;"",AV9&lt;&gt;"社食",AV11&lt;&gt;"先生"),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IF(AND(BC9&lt;&gt;"",BC9&lt;&gt;"社食",BC11&lt;&gt;"先生"),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IF(AND(BK9&lt;&gt;"",BK9&lt;&gt;"社食",BK11&lt;&gt;"先生"),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IF(AND(BR9&lt;&gt;"",BR9&lt;&gt;"社食",BR11&lt;&gt;"先生"),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 x14ac:dyDescent="0.45">
      <c r="B15" s="213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6"/>
      <c r="D15" s="213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6"/>
      <c r="F15" s="214" t="str">
        <f t="array" aca="1" ref="F15" ca="1">IF(AND(C9&lt;&gt;"",C9&lt;&gt;"社食",C11&lt;&gt;"先生"),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6"/>
      <c r="I15" s="213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6"/>
      <c r="K15" s="213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6"/>
      <c r="M15" s="214" t="str">
        <f t="array" aca="1" ref="M15" ca="1">IF(AND(J9&lt;&gt;"",J9&lt;&gt;"社食",J11&lt;&gt;"先生"),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6"/>
      <c r="Q15" s="213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6"/>
      <c r="S15" s="213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6"/>
      <c r="U15" s="214" t="str">
        <f t="array" aca="1" ref="U15" ca="1">IF(AND(R9&lt;&gt;"",R9&lt;&gt;"社食",R11&lt;&gt;"先生"),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6"/>
      <c r="X15" s="213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6"/>
      <c r="Z15" s="213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6"/>
      <c r="AB15" s="214" t="str">
        <f t="array" aca="1" ref="AB15" ca="1">IF(AND(Y9&lt;&gt;"",Y9&lt;&gt;"社食",Y11&lt;&gt;"先生"),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6"/>
      <c r="AF15" s="213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6"/>
      <c r="AH15" s="213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6"/>
      <c r="AJ15" s="214" t="str">
        <f t="array" aca="1" ref="AJ15" ca="1">IF(AND(AG9&lt;&gt;"",AG9&lt;&gt;"社食",AG11&lt;&gt;"先生"),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6"/>
      <c r="AM15" s="213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6"/>
      <c r="AO15" s="213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6"/>
      <c r="AQ15" s="214" t="str">
        <f t="array" aca="1" ref="AQ15" ca="1">IF(AND(AN9&lt;&gt;"",AN9&lt;&gt;"社食",AN11&lt;&gt;"先生"),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6"/>
      <c r="AU15" s="213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6"/>
      <c r="AW15" s="213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6"/>
      <c r="AY15" s="214" t="str">
        <f t="array" aca="1" ref="AY15" ca="1">IF(AND(AV9&lt;&gt;"",AV9&lt;&gt;"社食",AV11&lt;&gt;"先生"),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6"/>
      <c r="BB15" s="213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6"/>
      <c r="BD15" s="213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6"/>
      <c r="BF15" s="214" t="str">
        <f t="array" aca="1" ref="BF15" ca="1">IF(AND(BC9&lt;&gt;"",BC9&lt;&gt;"社食",BC11&lt;&gt;"先生"),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6"/>
      <c r="BJ15" s="213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6"/>
      <c r="BL15" s="213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6"/>
      <c r="BN15" s="214" t="str">
        <f t="array" aca="1" ref="BN15" ca="1">IF(AND(BK9&lt;&gt;"",BK9&lt;&gt;"社食",BK11&lt;&gt;"先生"),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6"/>
      <c r="BQ15" s="213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6"/>
      <c r="BS15" s="213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6"/>
      <c r="BU15" s="214" t="str">
        <f t="array" aca="1" ref="BU15" ca="1">IF(AND(BR9&lt;&gt;"",BR9&lt;&gt;"社食",BR11&lt;&gt;"先生"),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6"/>
      <c r="BY15" s="213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6"/>
      <c r="CA15" s="213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6"/>
      <c r="CC15" s="214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6"/>
      <c r="CF15" s="213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6"/>
      <c r="CH15" s="213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6"/>
      <c r="CJ15" s="214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6"/>
      <c r="CN15" s="213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6"/>
      <c r="CP15" s="213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6"/>
      <c r="CR15" s="214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6"/>
      <c r="CU15" s="213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6"/>
      <c r="CW15" s="213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6"/>
      <c r="CY15" s="214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6"/>
      <c r="DC15" s="213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6"/>
      <c r="DE15" s="213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6"/>
      <c r="DG15" s="214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6"/>
      <c r="DJ15" s="213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6"/>
      <c r="DL15" s="213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6"/>
      <c r="DN15" s="214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6"/>
      <c r="DR15" s="213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6"/>
      <c r="DT15" s="213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6"/>
      <c r="DV15" s="214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6"/>
      <c r="DY15" s="213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6"/>
      <c r="EA15" s="213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6"/>
      <c r="EC15" s="214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6"/>
      <c r="EG15" s="213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6"/>
      <c r="EI15" s="213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6"/>
      <c r="EK15" s="214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6"/>
      <c r="EN15" s="213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6"/>
      <c r="EP15" s="213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6"/>
      <c r="ER15" s="214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6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 x14ac:dyDescent="0.55000000000000004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2"/>
      <c r="E17" s="212"/>
      <c r="F17" s="212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2"/>
      <c r="L17" s="212"/>
      <c r="M17" s="212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2"/>
      <c r="T17" s="212"/>
      <c r="U17" s="212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2"/>
      <c r="AA17" s="212"/>
      <c r="AB17" s="212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2"/>
      <c r="AI17" s="212"/>
      <c r="AJ17" s="212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2"/>
      <c r="AP17" s="212"/>
      <c r="AQ17" s="212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2"/>
      <c r="AX17" s="212"/>
      <c r="AY17" s="212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2"/>
      <c r="BE17" s="212"/>
      <c r="BF17" s="212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2"/>
      <c r="BM17" s="212"/>
      <c r="BN17" s="212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2"/>
      <c r="BT17" s="212"/>
      <c r="BU17" s="212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2"/>
      <c r="CB17" s="212"/>
      <c r="CC17" s="212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2"/>
      <c r="CI17" s="212"/>
      <c r="CJ17" s="212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2"/>
      <c r="CQ17" s="212"/>
      <c r="CR17" s="212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2"/>
      <c r="CX17" s="212"/>
      <c r="CY17" s="212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2"/>
      <c r="DF17" s="212"/>
      <c r="DG17" s="212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2"/>
      <c r="DM17" s="212"/>
      <c r="DN17" s="212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2"/>
      <c r="DU17" s="212"/>
      <c r="DV17" s="212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2"/>
      <c r="EB17" s="212"/>
      <c r="EC17" s="212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2"/>
      <c r="EJ17" s="212"/>
      <c r="EK17" s="212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2"/>
      <c r="EQ17" s="212"/>
      <c r="ER17" s="212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48" customFormat="1" x14ac:dyDescent="0.55000000000000004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57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57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57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57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57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57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57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57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57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57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57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57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57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57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57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57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57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57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57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57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48" customFormat="1" x14ac:dyDescent="0.55000000000000004">
      <c r="A19" s="30"/>
      <c r="B19" s="31"/>
      <c r="C19" s="209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0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9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0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9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0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9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0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9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0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9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0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9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0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9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0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9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0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9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0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9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0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9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0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9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0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9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0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9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0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9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0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9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0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9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0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9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0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9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0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 x14ac:dyDescent="1.05">
      <c r="B20" s="25"/>
      <c r="C20" s="207" t="str">
        <f t="array" aca="1" ref="C20" ca="1">IF(C17&lt;&gt;"",INDIRECT("'盛付札（関数）'!AJ"&amp;A17),"")</f>
        <v/>
      </c>
      <c r="D20" s="208"/>
      <c r="E20" s="44"/>
      <c r="F20" s="203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4"/>
      <c r="H20" s="26"/>
      <c r="I20" s="25"/>
      <c r="J20" s="207" t="str">
        <f t="array" aca="1" ref="J20" ca="1">IF(J17&lt;&gt;"",INDIRECT("'盛付札（関数）'!AJ"&amp;H17),"")</f>
        <v/>
      </c>
      <c r="K20" s="208"/>
      <c r="L20" s="44"/>
      <c r="M20" s="203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4"/>
      <c r="Q20" s="25"/>
      <c r="R20" s="207" t="str">
        <f t="array" aca="1" ref="R20" ca="1">IF(R17&lt;&gt;"",INDIRECT("'盛付札（関数）'!AJ"&amp;P17),"")</f>
        <v/>
      </c>
      <c r="S20" s="208"/>
      <c r="T20" s="44"/>
      <c r="U20" s="203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4"/>
      <c r="W20" s="26"/>
      <c r="X20" s="25"/>
      <c r="Y20" s="207" t="str">
        <f t="array" aca="1" ref="Y20" ca="1">IF(Y17&lt;&gt;"",INDIRECT("'盛付札（関数）'!AJ"&amp;W17),"")</f>
        <v/>
      </c>
      <c r="Z20" s="208"/>
      <c r="AA20" s="44"/>
      <c r="AB20" s="203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4"/>
      <c r="AF20" s="25"/>
      <c r="AG20" s="207" t="str">
        <f t="array" aca="1" ref="AG20" ca="1">IF(AG17&lt;&gt;"",INDIRECT("'盛付札（関数）'!AJ"&amp;AE17),"")</f>
        <v/>
      </c>
      <c r="AH20" s="208"/>
      <c r="AI20" s="44"/>
      <c r="AJ20" s="203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4"/>
      <c r="AL20" s="26"/>
      <c r="AM20" s="25"/>
      <c r="AN20" s="207" t="str">
        <f t="array" aca="1" ref="AN20" ca="1">IF(AN17&lt;&gt;"",INDIRECT("'盛付札（関数）'!AJ"&amp;AL17),"")</f>
        <v/>
      </c>
      <c r="AO20" s="208"/>
      <c r="AP20" s="44"/>
      <c r="AQ20" s="203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4"/>
      <c r="AU20" s="25"/>
      <c r="AV20" s="207" t="str">
        <f t="array" aca="1" ref="AV20" ca="1">IF(AV17&lt;&gt;"",INDIRECT("'盛付札（関数）'!AJ"&amp;AT17),"")</f>
        <v/>
      </c>
      <c r="AW20" s="208"/>
      <c r="AX20" s="44"/>
      <c r="AY20" s="203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4"/>
      <c r="BA20" s="26"/>
      <c r="BB20" s="25"/>
      <c r="BC20" s="207" t="str">
        <f t="array" aca="1" ref="BC20" ca="1">IF(BC17&lt;&gt;"",INDIRECT("'盛付札（関数）'!AJ"&amp;BA17),"")</f>
        <v/>
      </c>
      <c r="BD20" s="208"/>
      <c r="BE20" s="44"/>
      <c r="BF20" s="203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4"/>
      <c r="BJ20" s="25"/>
      <c r="BK20" s="207" t="str">
        <f t="array" aca="1" ref="BK20" ca="1">IF(BK17&lt;&gt;"",INDIRECT("'盛付札（関数）'!AJ"&amp;BI17),"")</f>
        <v/>
      </c>
      <c r="BL20" s="208"/>
      <c r="BM20" s="44"/>
      <c r="BN20" s="203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4"/>
      <c r="BP20" s="26"/>
      <c r="BQ20" s="25"/>
      <c r="BR20" s="207" t="str">
        <f t="array" aca="1" ref="BR20" ca="1">IF(BR17&lt;&gt;"",INDIRECT("'盛付札（関数）'!AJ"&amp;BP17),"")</f>
        <v/>
      </c>
      <c r="BS20" s="208"/>
      <c r="BT20" s="44"/>
      <c r="BU20" s="203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4"/>
      <c r="BY20" s="25"/>
      <c r="BZ20" s="207" t="str">
        <f t="array" aca="1" ref="BZ20" ca="1">IF(BZ17&lt;&gt;"",INDIRECT("'盛付札（関数）'!AJ"&amp;BX17),"")</f>
        <v/>
      </c>
      <c r="CA20" s="208"/>
      <c r="CB20" s="44"/>
      <c r="CC20" s="203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4"/>
      <c r="CE20" s="26"/>
      <c r="CF20" s="25"/>
      <c r="CG20" s="207" t="str">
        <f t="array" aca="1" ref="CG20" ca="1">IF(CG17&lt;&gt;"",INDIRECT("'盛付札（関数）'!AJ"&amp;CE17),"")</f>
        <v/>
      </c>
      <c r="CH20" s="208"/>
      <c r="CI20" s="44"/>
      <c r="CJ20" s="203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4"/>
      <c r="CN20" s="25"/>
      <c r="CO20" s="207" t="str">
        <f t="array" aca="1" ref="CO20" ca="1">IF(CO17&lt;&gt;"",INDIRECT("'盛付札（関数）'!AJ"&amp;CM17),"")</f>
        <v/>
      </c>
      <c r="CP20" s="208"/>
      <c r="CQ20" s="44"/>
      <c r="CR20" s="203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4"/>
      <c r="CT20" s="26"/>
      <c r="CU20" s="25"/>
      <c r="CV20" s="207" t="str">
        <f t="array" aca="1" ref="CV20" ca="1">IF(CV17&lt;&gt;"",INDIRECT("'盛付札（関数）'!AJ"&amp;CT17),"")</f>
        <v/>
      </c>
      <c r="CW20" s="208"/>
      <c r="CX20" s="44"/>
      <c r="CY20" s="203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4"/>
      <c r="DC20" s="25"/>
      <c r="DD20" s="207" t="str">
        <f t="array" aca="1" ref="DD20" ca="1">IF(DD17&lt;&gt;"",INDIRECT("'盛付札（関数）'!AJ"&amp;DB17),"")</f>
        <v/>
      </c>
      <c r="DE20" s="208"/>
      <c r="DF20" s="44"/>
      <c r="DG20" s="203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4"/>
      <c r="DI20" s="26"/>
      <c r="DJ20" s="25"/>
      <c r="DK20" s="207" t="str">
        <f t="array" aca="1" ref="DK20" ca="1">IF(DK17&lt;&gt;"",INDIRECT("'盛付札（関数）'!AJ"&amp;DI17),"")</f>
        <v/>
      </c>
      <c r="DL20" s="208"/>
      <c r="DM20" s="44"/>
      <c r="DN20" s="203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4"/>
      <c r="DR20" s="25"/>
      <c r="DS20" s="207" t="str">
        <f t="array" aca="1" ref="DS20" ca="1">IF(DS17&lt;&gt;"",INDIRECT("'盛付札（関数）'!AJ"&amp;DQ17),"")</f>
        <v/>
      </c>
      <c r="DT20" s="208"/>
      <c r="DU20" s="44"/>
      <c r="DV20" s="203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4"/>
      <c r="DX20" s="26"/>
      <c r="DY20" s="25"/>
      <c r="DZ20" s="207" t="str">
        <f t="array" aca="1" ref="DZ20" ca="1">IF(DZ17&lt;&gt;"",INDIRECT("'盛付札（関数）'!AJ"&amp;DX17),"")</f>
        <v/>
      </c>
      <c r="EA20" s="208"/>
      <c r="EB20" s="44"/>
      <c r="EC20" s="203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4"/>
      <c r="EG20" s="25"/>
      <c r="EH20" s="207" t="str">
        <f t="array" aca="1" ref="EH20" ca="1">IF(EH17&lt;&gt;"",INDIRECT("'盛付札（関数）'!AJ"&amp;EF17),"")</f>
        <v/>
      </c>
      <c r="EI20" s="208"/>
      <c r="EJ20" s="44"/>
      <c r="EK20" s="203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4"/>
      <c r="EM20" s="26"/>
      <c r="EN20" s="25"/>
      <c r="EO20" s="207" t="str">
        <f t="array" aca="1" ref="EO20" ca="1">IF(EO17&lt;&gt;"",INDIRECT("'盛付札（関数）'!AJ"&amp;EM17),"")</f>
        <v/>
      </c>
      <c r="EP20" s="208"/>
      <c r="EQ20" s="44"/>
      <c r="ER20" s="203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4"/>
    </row>
    <row r="21" spans="1:150" ht="15.6" customHeight="1" x14ac:dyDescent="0.45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 x14ac:dyDescent="0.55000000000000004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IF(AND(C17&lt;&gt;"",C17&lt;&gt;"社食",C19&lt;&gt;"先生"),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IF(AND(J17&lt;&gt;"",J17&lt;&gt;"社食",J19&lt;&gt;"先生"),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IF(AND(R17&lt;&gt;"",R17&lt;&gt;"社食",R19&lt;&gt;"先生"),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IF(AND(Y17&lt;&gt;"",Y17&lt;&gt;"社食",Y19&lt;&gt;"先生"),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IF(AND(AG17&lt;&gt;"",AG17&lt;&gt;"社食",AG19&lt;&gt;"先生"),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IF(AND(AN17&lt;&gt;"",AN17&lt;&gt;"社食",AN19&lt;&gt;"先生"),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IF(AND(AV17&lt;&gt;"",AV17&lt;&gt;"社食",AV19&lt;&gt;"先生"),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IF(AND(BC17&lt;&gt;"",BC17&lt;&gt;"社食",BC19&lt;&gt;"先生"),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IF(AND(BK17&lt;&gt;"",BK17&lt;&gt;"社食",BK19&lt;&gt;"先生"),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IF(AND(BR17&lt;&gt;"",BR17&lt;&gt;"社食",BR19&lt;&gt;"先生"),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 x14ac:dyDescent="0.45">
      <c r="B23" s="213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6"/>
      <c r="D23" s="213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6"/>
      <c r="F23" s="214" t="str">
        <f t="array" aca="1" ref="F23" ca="1">IF(AND(C17&lt;&gt;"",C17&lt;&gt;"社食",C19&lt;&gt;"先生"),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6"/>
      <c r="I23" s="213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6"/>
      <c r="K23" s="213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6"/>
      <c r="M23" s="214" t="str">
        <f t="array" aca="1" ref="M23" ca="1">IF(AND(J17&lt;&gt;"",J17&lt;&gt;"社食",J19&lt;&gt;"先生"),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6"/>
      <c r="Q23" s="213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6"/>
      <c r="S23" s="213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6"/>
      <c r="U23" s="214" t="str">
        <f t="array" aca="1" ref="U23" ca="1">IF(AND(R17&lt;&gt;"",R17&lt;&gt;"社食",R19&lt;&gt;"先生"),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6"/>
      <c r="X23" s="213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6"/>
      <c r="Z23" s="213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6"/>
      <c r="AB23" s="214" t="str">
        <f t="array" aca="1" ref="AB23" ca="1">IF(AND(Y17&lt;&gt;"",Y17&lt;&gt;"社食",Y19&lt;&gt;"先生"),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6"/>
      <c r="AF23" s="213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6"/>
      <c r="AH23" s="213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6"/>
      <c r="AJ23" s="214" t="str">
        <f t="array" aca="1" ref="AJ23" ca="1">IF(AND(AG17&lt;&gt;"",AG17&lt;&gt;"社食",AG19&lt;&gt;"先生"),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6"/>
      <c r="AM23" s="213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6"/>
      <c r="AO23" s="213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6"/>
      <c r="AQ23" s="214" t="str">
        <f t="array" aca="1" ref="AQ23" ca="1">IF(AND(AN17&lt;&gt;"",AN17&lt;&gt;"社食",AN19&lt;&gt;"先生"),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6"/>
      <c r="AU23" s="213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6"/>
      <c r="AW23" s="213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6"/>
      <c r="AY23" s="214" t="str">
        <f t="array" aca="1" ref="AY23" ca="1">IF(AND(AV17&lt;&gt;"",AV17&lt;&gt;"社食",AV19&lt;&gt;"先生"),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6"/>
      <c r="BB23" s="213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6"/>
      <c r="BD23" s="213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6"/>
      <c r="BF23" s="214" t="str">
        <f t="array" aca="1" ref="BF23" ca="1">IF(AND(BC17&lt;&gt;"",BC17&lt;&gt;"社食",BC19&lt;&gt;"先生"),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6"/>
      <c r="BJ23" s="213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6"/>
      <c r="BL23" s="213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6"/>
      <c r="BN23" s="214" t="str">
        <f t="array" aca="1" ref="BN23" ca="1">IF(AND(BK17&lt;&gt;"",BK17&lt;&gt;"社食",BK19&lt;&gt;"先生"),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6"/>
      <c r="BQ23" s="213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6"/>
      <c r="BS23" s="213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6"/>
      <c r="BU23" s="214" t="str">
        <f t="array" aca="1" ref="BU23" ca="1">IF(AND(BR17&lt;&gt;"",BR17&lt;&gt;"社食",BR19&lt;&gt;"先生"),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6"/>
      <c r="BY23" s="213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6"/>
      <c r="CA23" s="213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6"/>
      <c r="CC23" s="214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6"/>
      <c r="CF23" s="213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6"/>
      <c r="CH23" s="213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6"/>
      <c r="CJ23" s="214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6"/>
      <c r="CN23" s="213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6"/>
      <c r="CP23" s="213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6"/>
      <c r="CR23" s="214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6"/>
      <c r="CU23" s="213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6"/>
      <c r="CW23" s="213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6"/>
      <c r="CY23" s="214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6"/>
      <c r="DC23" s="213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6"/>
      <c r="DE23" s="213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6"/>
      <c r="DG23" s="214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6"/>
      <c r="DJ23" s="213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6"/>
      <c r="DL23" s="213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6"/>
      <c r="DN23" s="214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6"/>
      <c r="DR23" s="213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6"/>
      <c r="DT23" s="213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6"/>
      <c r="DV23" s="214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6"/>
      <c r="DY23" s="213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6"/>
      <c r="EA23" s="213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6"/>
      <c r="EC23" s="214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6"/>
      <c r="EG23" s="213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6"/>
      <c r="EI23" s="213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6"/>
      <c r="EK23" s="214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6"/>
      <c r="EN23" s="213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6"/>
      <c r="EP23" s="213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6"/>
      <c r="ER23" s="214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6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 x14ac:dyDescent="0.55000000000000004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2"/>
      <c r="E25" s="212"/>
      <c r="F25" s="212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2"/>
      <c r="L25" s="212"/>
      <c r="M25" s="212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2"/>
      <c r="T25" s="212"/>
      <c r="U25" s="212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2"/>
      <c r="AA25" s="212"/>
      <c r="AB25" s="212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2"/>
      <c r="AI25" s="212"/>
      <c r="AJ25" s="212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2"/>
      <c r="AP25" s="212"/>
      <c r="AQ25" s="212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2"/>
      <c r="AX25" s="212"/>
      <c r="AY25" s="212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2"/>
      <c r="BE25" s="212"/>
      <c r="BF25" s="212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2"/>
      <c r="BM25" s="212"/>
      <c r="BN25" s="212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2"/>
      <c r="BT25" s="212"/>
      <c r="BU25" s="212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2"/>
      <c r="CB25" s="212"/>
      <c r="CC25" s="212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2"/>
      <c r="CI25" s="212"/>
      <c r="CJ25" s="212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2"/>
      <c r="CQ25" s="212"/>
      <c r="CR25" s="212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2"/>
      <c r="CX25" s="212"/>
      <c r="CY25" s="212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2"/>
      <c r="DF25" s="212"/>
      <c r="DG25" s="212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2"/>
      <c r="DM25" s="212"/>
      <c r="DN25" s="212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2"/>
      <c r="DU25" s="212"/>
      <c r="DV25" s="212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2"/>
      <c r="EB25" s="212"/>
      <c r="EC25" s="212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2"/>
      <c r="EJ25" s="212"/>
      <c r="EK25" s="212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2"/>
      <c r="EQ25" s="212"/>
      <c r="ER25" s="212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48" customFormat="1" x14ac:dyDescent="0.55000000000000004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57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57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57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57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57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57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57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57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57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57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57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57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57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57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57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57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57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57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57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57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48" customFormat="1" x14ac:dyDescent="0.55000000000000004">
      <c r="A27" s="30"/>
      <c r="B27" s="31"/>
      <c r="C27" s="209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0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9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0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9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0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9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0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9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0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9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0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9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0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9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0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9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0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9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0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9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0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9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0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9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0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9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0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9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0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9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0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9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0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9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0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9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0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9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0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 x14ac:dyDescent="1.05">
      <c r="B28" s="25"/>
      <c r="C28" s="207" t="str">
        <f t="array" aca="1" ref="C28" ca="1">IF(C25&lt;&gt;"",INDIRECT("'盛付札（関数）'!AJ"&amp;A25),"")</f>
        <v/>
      </c>
      <c r="D28" s="208"/>
      <c r="E28" s="44"/>
      <c r="F28" s="203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4"/>
      <c r="H28" s="26"/>
      <c r="I28" s="25"/>
      <c r="J28" s="207" t="str">
        <f t="array" aca="1" ref="J28" ca="1">IF(J25&lt;&gt;"",INDIRECT("'盛付札（関数）'!AJ"&amp;H25),"")</f>
        <v/>
      </c>
      <c r="K28" s="208"/>
      <c r="L28" s="44"/>
      <c r="M28" s="203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4"/>
      <c r="Q28" s="25"/>
      <c r="R28" s="207" t="str">
        <f t="array" aca="1" ref="R28" ca="1">IF(R25&lt;&gt;"",INDIRECT("'盛付札（関数）'!AJ"&amp;P25),"")</f>
        <v/>
      </c>
      <c r="S28" s="208"/>
      <c r="T28" s="44"/>
      <c r="U28" s="203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4"/>
      <c r="W28" s="26"/>
      <c r="X28" s="25"/>
      <c r="Y28" s="207" t="str">
        <f t="array" aca="1" ref="Y28" ca="1">IF(Y25&lt;&gt;"",INDIRECT("'盛付札（関数）'!AJ"&amp;W25),"")</f>
        <v/>
      </c>
      <c r="Z28" s="208"/>
      <c r="AA28" s="44"/>
      <c r="AB28" s="203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4"/>
      <c r="AF28" s="25"/>
      <c r="AG28" s="207" t="str">
        <f t="array" aca="1" ref="AG28" ca="1">IF(AG25&lt;&gt;"",INDIRECT("'盛付札（関数）'!AJ"&amp;AE25),"")</f>
        <v/>
      </c>
      <c r="AH28" s="208"/>
      <c r="AI28" s="44"/>
      <c r="AJ28" s="203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4"/>
      <c r="AL28" s="26"/>
      <c r="AM28" s="25"/>
      <c r="AN28" s="207" t="str">
        <f t="array" aca="1" ref="AN28" ca="1">IF(AN25&lt;&gt;"",INDIRECT("'盛付札（関数）'!AJ"&amp;AL25),"")</f>
        <v/>
      </c>
      <c r="AO28" s="208"/>
      <c r="AP28" s="44"/>
      <c r="AQ28" s="203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4"/>
      <c r="AU28" s="25"/>
      <c r="AV28" s="207" t="str">
        <f t="array" aca="1" ref="AV28" ca="1">IF(AV25&lt;&gt;"",INDIRECT("'盛付札（関数）'!AJ"&amp;AT25),"")</f>
        <v/>
      </c>
      <c r="AW28" s="208"/>
      <c r="AX28" s="44"/>
      <c r="AY28" s="203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4"/>
      <c r="BA28" s="26"/>
      <c r="BB28" s="25"/>
      <c r="BC28" s="207" t="str">
        <f t="array" aca="1" ref="BC28" ca="1">IF(BC25&lt;&gt;"",INDIRECT("'盛付札（関数）'!AJ"&amp;BA25),"")</f>
        <v/>
      </c>
      <c r="BD28" s="208"/>
      <c r="BE28" s="44"/>
      <c r="BF28" s="203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4"/>
      <c r="BJ28" s="25"/>
      <c r="BK28" s="207" t="str">
        <f t="array" aca="1" ref="BK28" ca="1">IF(BK25&lt;&gt;"",INDIRECT("'盛付札（関数）'!AJ"&amp;BI25),"")</f>
        <v/>
      </c>
      <c r="BL28" s="208"/>
      <c r="BM28" s="44"/>
      <c r="BN28" s="203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4"/>
      <c r="BP28" s="26"/>
      <c r="BQ28" s="25"/>
      <c r="BR28" s="207" t="str">
        <f t="array" aca="1" ref="BR28" ca="1">IF(BR25&lt;&gt;"",INDIRECT("'盛付札（関数）'!AJ"&amp;BP25),"")</f>
        <v/>
      </c>
      <c r="BS28" s="208"/>
      <c r="BT28" s="44"/>
      <c r="BU28" s="203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4"/>
      <c r="BY28" s="25"/>
      <c r="BZ28" s="207" t="str">
        <f t="array" aca="1" ref="BZ28" ca="1">IF(BZ25&lt;&gt;"",INDIRECT("'盛付札（関数）'!AJ"&amp;BX25),"")</f>
        <v/>
      </c>
      <c r="CA28" s="208"/>
      <c r="CB28" s="44"/>
      <c r="CC28" s="203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4"/>
      <c r="CE28" s="26"/>
      <c r="CF28" s="25"/>
      <c r="CG28" s="207" t="str">
        <f t="array" aca="1" ref="CG28" ca="1">IF(CG25&lt;&gt;"",INDIRECT("'盛付札（関数）'!AJ"&amp;CE25),"")</f>
        <v/>
      </c>
      <c r="CH28" s="208"/>
      <c r="CI28" s="44"/>
      <c r="CJ28" s="203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4"/>
      <c r="CN28" s="25"/>
      <c r="CO28" s="207" t="str">
        <f t="array" aca="1" ref="CO28" ca="1">IF(CO25&lt;&gt;"",INDIRECT("'盛付札（関数）'!AJ"&amp;CM25),"")</f>
        <v/>
      </c>
      <c r="CP28" s="208"/>
      <c r="CQ28" s="44"/>
      <c r="CR28" s="203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4"/>
      <c r="CT28" s="26"/>
      <c r="CU28" s="25"/>
      <c r="CV28" s="207" t="str">
        <f t="array" aca="1" ref="CV28" ca="1">IF(CV25&lt;&gt;"",INDIRECT("'盛付札（関数）'!AJ"&amp;CT25),"")</f>
        <v/>
      </c>
      <c r="CW28" s="208"/>
      <c r="CX28" s="44"/>
      <c r="CY28" s="203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4"/>
      <c r="DC28" s="25"/>
      <c r="DD28" s="207" t="str">
        <f t="array" aca="1" ref="DD28" ca="1">IF(DD25&lt;&gt;"",INDIRECT("'盛付札（関数）'!AJ"&amp;DB25),"")</f>
        <v/>
      </c>
      <c r="DE28" s="208"/>
      <c r="DF28" s="44"/>
      <c r="DG28" s="203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4"/>
      <c r="DI28" s="26"/>
      <c r="DJ28" s="25"/>
      <c r="DK28" s="207" t="str">
        <f t="array" aca="1" ref="DK28" ca="1">IF(DK25&lt;&gt;"",INDIRECT("'盛付札（関数）'!AJ"&amp;DI25),"")</f>
        <v/>
      </c>
      <c r="DL28" s="208"/>
      <c r="DM28" s="44"/>
      <c r="DN28" s="203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4"/>
      <c r="DR28" s="25"/>
      <c r="DS28" s="207" t="str">
        <f t="array" aca="1" ref="DS28" ca="1">IF(DS25&lt;&gt;"",INDIRECT("'盛付札（関数）'!AJ"&amp;DQ25),"")</f>
        <v/>
      </c>
      <c r="DT28" s="208"/>
      <c r="DU28" s="44"/>
      <c r="DV28" s="203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4"/>
      <c r="DX28" s="26"/>
      <c r="DY28" s="25"/>
      <c r="DZ28" s="207" t="str">
        <f t="array" aca="1" ref="DZ28" ca="1">IF(DZ25&lt;&gt;"",INDIRECT("'盛付札（関数）'!AJ"&amp;DX25),"")</f>
        <v/>
      </c>
      <c r="EA28" s="208"/>
      <c r="EB28" s="44"/>
      <c r="EC28" s="203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4"/>
      <c r="EG28" s="25"/>
      <c r="EH28" s="207" t="str">
        <f t="array" aca="1" ref="EH28" ca="1">IF(EH25&lt;&gt;"",INDIRECT("'盛付札（関数）'!AJ"&amp;EF25),"")</f>
        <v/>
      </c>
      <c r="EI28" s="208"/>
      <c r="EJ28" s="44"/>
      <c r="EK28" s="203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4"/>
      <c r="EM28" s="26"/>
      <c r="EN28" s="25"/>
      <c r="EO28" s="207" t="str">
        <f t="array" aca="1" ref="EO28" ca="1">IF(EO25&lt;&gt;"",INDIRECT("'盛付札（関数）'!AJ"&amp;EM25),"")</f>
        <v/>
      </c>
      <c r="EP28" s="208"/>
      <c r="EQ28" s="44"/>
      <c r="ER28" s="203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4"/>
    </row>
    <row r="29" spans="1:150" ht="15.6" customHeight="1" x14ac:dyDescent="0.45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 x14ac:dyDescent="0.55000000000000004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IF(AND(C25&lt;&gt;"",C25&lt;&gt;"社食",C27&lt;&gt;"先生"),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IF(AND(J25&lt;&gt;"",J25&lt;&gt;"社食",J27&lt;&gt;"先生"),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IF(AND(R25&lt;&gt;"",R25&lt;&gt;"社食",R27&lt;&gt;"先生"),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IF(AND(Y25&lt;&gt;"",Y25&lt;&gt;"社食",Y27&lt;&gt;"先生"),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IF(AND(AG25&lt;&gt;"",AG25&lt;&gt;"社食",AG27&lt;&gt;"先生"),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IF(AND(AN25&lt;&gt;"",AN25&lt;&gt;"社食",AN27&lt;&gt;"先生"),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IF(AND(AV25&lt;&gt;"",AV25&lt;&gt;"社食",AV27&lt;&gt;"先生"),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IF(AND(BC25&lt;&gt;"",BC25&lt;&gt;"社食",BC27&lt;&gt;"先生"),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IF(AND(BK25&lt;&gt;"",BK25&lt;&gt;"社食",BK27&lt;&gt;"先生"),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IF(AND(BR25&lt;&gt;"",BR25&lt;&gt;"社食",BR27&lt;&gt;"先生"),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 x14ac:dyDescent="0.45">
      <c r="B31" s="213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6"/>
      <c r="D31" s="213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6"/>
      <c r="F31" s="214" t="str">
        <f t="array" aca="1" ref="F31" ca="1">IF(AND(C25&lt;&gt;"",C25&lt;&gt;"社食",C27&lt;&gt;"先生"),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6"/>
      <c r="I31" s="213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6"/>
      <c r="K31" s="213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6"/>
      <c r="M31" s="214" t="str">
        <f t="array" aca="1" ref="M31" ca="1">IF(AND(J25&lt;&gt;"",J25&lt;&gt;"社食",J27&lt;&gt;"先生"),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6"/>
      <c r="Q31" s="213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6"/>
      <c r="S31" s="213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6"/>
      <c r="U31" s="214" t="str">
        <f t="array" aca="1" ref="U31" ca="1">IF(AND(R25&lt;&gt;"",R25&lt;&gt;"社食",R27&lt;&gt;"先生"),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6"/>
      <c r="X31" s="213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6"/>
      <c r="Z31" s="213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6"/>
      <c r="AB31" s="214" t="str">
        <f t="array" aca="1" ref="AB31" ca="1">IF(AND(Y25&lt;&gt;"",Y25&lt;&gt;"社食",Y27&lt;&gt;"先生"),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6"/>
      <c r="AF31" s="213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6"/>
      <c r="AH31" s="213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6"/>
      <c r="AJ31" s="214" t="str">
        <f t="array" aca="1" ref="AJ31" ca="1">IF(AND(AG25&lt;&gt;"",AG25&lt;&gt;"社食",AG27&lt;&gt;"先生"),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6"/>
      <c r="AM31" s="213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6"/>
      <c r="AO31" s="213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6"/>
      <c r="AQ31" s="214" t="str">
        <f t="array" aca="1" ref="AQ31" ca="1">IF(AND(AN25&lt;&gt;"",AN25&lt;&gt;"社食",AN27&lt;&gt;"先生"),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6"/>
      <c r="AU31" s="213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6"/>
      <c r="AW31" s="213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6"/>
      <c r="AY31" s="214" t="str">
        <f t="array" aca="1" ref="AY31" ca="1">IF(AND(AV25&lt;&gt;"",AV25&lt;&gt;"社食",AV27&lt;&gt;"先生"),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6"/>
      <c r="BB31" s="213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6"/>
      <c r="BD31" s="213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6"/>
      <c r="BF31" s="214" t="str">
        <f t="array" aca="1" ref="BF31" ca="1">IF(AND(BC25&lt;&gt;"",BC25&lt;&gt;"社食",BC27&lt;&gt;"先生"),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6"/>
      <c r="BJ31" s="213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6"/>
      <c r="BL31" s="213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6"/>
      <c r="BN31" s="214" t="str">
        <f t="array" aca="1" ref="BN31" ca="1">IF(AND(BK25&lt;&gt;"",BK25&lt;&gt;"社食",BK27&lt;&gt;"先生"),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6"/>
      <c r="BQ31" s="213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6"/>
      <c r="BS31" s="213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6"/>
      <c r="BU31" s="214" t="str">
        <f t="array" aca="1" ref="BU31" ca="1">IF(AND(BR25&lt;&gt;"",BR25&lt;&gt;"社食",BR27&lt;&gt;"先生"),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6"/>
      <c r="BY31" s="213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6"/>
      <c r="CA31" s="213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6"/>
      <c r="CC31" s="214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6"/>
      <c r="CF31" s="213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6"/>
      <c r="CH31" s="213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6"/>
      <c r="CJ31" s="214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6"/>
      <c r="CN31" s="213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6"/>
      <c r="CP31" s="213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6"/>
      <c r="CR31" s="214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6"/>
      <c r="CU31" s="213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6"/>
      <c r="CW31" s="213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6"/>
      <c r="CY31" s="214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6"/>
      <c r="DC31" s="213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6"/>
      <c r="DE31" s="213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6"/>
      <c r="DG31" s="214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6"/>
      <c r="DJ31" s="213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6"/>
      <c r="DL31" s="213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6"/>
      <c r="DN31" s="214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6"/>
      <c r="DR31" s="213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6"/>
      <c r="DT31" s="213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6"/>
      <c r="DV31" s="214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6"/>
      <c r="DY31" s="213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6"/>
      <c r="EA31" s="213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6"/>
      <c r="EC31" s="214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6"/>
      <c r="EG31" s="213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6"/>
      <c r="EI31" s="213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6"/>
      <c r="EK31" s="214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6"/>
      <c r="EN31" s="213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6"/>
      <c r="EP31" s="213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6"/>
      <c r="ER31" s="214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6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 x14ac:dyDescent="0.55000000000000004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2"/>
      <c r="E33" s="212"/>
      <c r="F33" s="212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2"/>
      <c r="L33" s="212"/>
      <c r="M33" s="212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2"/>
      <c r="T33" s="212"/>
      <c r="U33" s="212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2"/>
      <c r="AA33" s="212"/>
      <c r="AB33" s="212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2"/>
      <c r="AI33" s="212"/>
      <c r="AJ33" s="212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2"/>
      <c r="AP33" s="212"/>
      <c r="AQ33" s="212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2"/>
      <c r="AX33" s="212"/>
      <c r="AY33" s="212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2"/>
      <c r="BE33" s="212"/>
      <c r="BF33" s="212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2"/>
      <c r="BM33" s="212"/>
      <c r="BN33" s="212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2"/>
      <c r="BT33" s="212"/>
      <c r="BU33" s="212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2"/>
      <c r="CB33" s="212"/>
      <c r="CC33" s="212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2"/>
      <c r="CI33" s="212"/>
      <c r="CJ33" s="212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2"/>
      <c r="CQ33" s="212"/>
      <c r="CR33" s="212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2"/>
      <c r="CX33" s="212"/>
      <c r="CY33" s="212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2"/>
      <c r="DF33" s="212"/>
      <c r="DG33" s="212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2"/>
      <c r="DM33" s="212"/>
      <c r="DN33" s="212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2"/>
      <c r="DU33" s="212"/>
      <c r="DV33" s="212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2"/>
      <c r="EB33" s="212"/>
      <c r="EC33" s="212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2"/>
      <c r="EJ33" s="212"/>
      <c r="EK33" s="212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2"/>
      <c r="EQ33" s="212"/>
      <c r="ER33" s="212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48" customFormat="1" x14ac:dyDescent="0.55000000000000004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57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57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57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57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57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57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57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57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57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57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57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57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57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57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57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57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57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57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57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57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48" customFormat="1" x14ac:dyDescent="0.55000000000000004">
      <c r="A35" s="30"/>
      <c r="B35" s="31"/>
      <c r="C35" s="209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0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9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0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9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0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9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0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9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0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9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0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9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0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9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0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9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0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9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0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9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0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9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0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9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0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9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0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9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0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9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0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9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0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9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0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9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0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9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0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 x14ac:dyDescent="1.05">
      <c r="B36" s="25"/>
      <c r="C36" s="207" t="str">
        <f t="array" aca="1" ref="C36" ca="1">IF(C33&lt;&gt;"",INDIRECT("'盛付札（関数）'!AJ"&amp;A33),"")</f>
        <v/>
      </c>
      <c r="D36" s="208"/>
      <c r="E36" s="44"/>
      <c r="F36" s="203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4"/>
      <c r="H36" s="26"/>
      <c r="I36" s="25"/>
      <c r="J36" s="207" t="str">
        <f t="array" aca="1" ref="J36" ca="1">IF(J33&lt;&gt;"",INDIRECT("'盛付札（関数）'!AJ"&amp;H33),"")</f>
        <v/>
      </c>
      <c r="K36" s="208"/>
      <c r="L36" s="44"/>
      <c r="M36" s="203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4"/>
      <c r="Q36" s="25"/>
      <c r="R36" s="207" t="str">
        <f t="array" aca="1" ref="R36" ca="1">IF(R33&lt;&gt;"",INDIRECT("'盛付札（関数）'!AJ"&amp;P33),"")</f>
        <v/>
      </c>
      <c r="S36" s="208"/>
      <c r="T36" s="44"/>
      <c r="U36" s="203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4"/>
      <c r="W36" s="26"/>
      <c r="X36" s="25"/>
      <c r="Y36" s="207" t="str">
        <f t="array" aca="1" ref="Y36" ca="1">IF(Y33&lt;&gt;"",INDIRECT("'盛付札（関数）'!AJ"&amp;W33),"")</f>
        <v/>
      </c>
      <c r="Z36" s="208"/>
      <c r="AA36" s="44"/>
      <c r="AB36" s="203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4"/>
      <c r="AF36" s="25"/>
      <c r="AG36" s="207" t="str">
        <f t="array" aca="1" ref="AG36" ca="1">IF(AG33&lt;&gt;"",INDIRECT("'盛付札（関数）'!AJ"&amp;AE33),"")</f>
        <v/>
      </c>
      <c r="AH36" s="208"/>
      <c r="AI36" s="44"/>
      <c r="AJ36" s="203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4"/>
      <c r="AL36" s="26"/>
      <c r="AM36" s="25"/>
      <c r="AN36" s="207" t="str">
        <f t="array" aca="1" ref="AN36" ca="1">IF(AN33&lt;&gt;"",INDIRECT("'盛付札（関数）'!AJ"&amp;AL33),"")</f>
        <v/>
      </c>
      <c r="AO36" s="208"/>
      <c r="AP36" s="44"/>
      <c r="AQ36" s="203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4"/>
      <c r="AU36" s="25"/>
      <c r="AV36" s="207" t="str">
        <f t="array" aca="1" ref="AV36" ca="1">IF(AV33&lt;&gt;"",INDIRECT("'盛付札（関数）'!AJ"&amp;AT33),"")</f>
        <v/>
      </c>
      <c r="AW36" s="208"/>
      <c r="AX36" s="44"/>
      <c r="AY36" s="203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4"/>
      <c r="BA36" s="26"/>
      <c r="BB36" s="25"/>
      <c r="BC36" s="207" t="str">
        <f t="array" aca="1" ref="BC36" ca="1">IF(BC33&lt;&gt;"",INDIRECT("'盛付札（関数）'!AJ"&amp;BA33),"")</f>
        <v/>
      </c>
      <c r="BD36" s="208"/>
      <c r="BE36" s="44"/>
      <c r="BF36" s="203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4"/>
      <c r="BJ36" s="25"/>
      <c r="BK36" s="207" t="str">
        <f t="array" aca="1" ref="BK36" ca="1">IF(BK33&lt;&gt;"",INDIRECT("'盛付札（関数）'!AJ"&amp;BI33),"")</f>
        <v/>
      </c>
      <c r="BL36" s="208"/>
      <c r="BM36" s="44"/>
      <c r="BN36" s="203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4"/>
      <c r="BP36" s="26"/>
      <c r="BQ36" s="25"/>
      <c r="BR36" s="207" t="str">
        <f t="array" aca="1" ref="BR36" ca="1">IF(BR33&lt;&gt;"",INDIRECT("'盛付札（関数）'!AJ"&amp;BP33),"")</f>
        <v/>
      </c>
      <c r="BS36" s="208"/>
      <c r="BT36" s="44"/>
      <c r="BU36" s="203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4"/>
      <c r="BY36" s="25"/>
      <c r="BZ36" s="207" t="str">
        <f t="array" aca="1" ref="BZ36" ca="1">IF(BZ33&lt;&gt;"",INDIRECT("'盛付札（関数）'!AJ"&amp;BX33),"")</f>
        <v/>
      </c>
      <c r="CA36" s="208"/>
      <c r="CB36" s="44"/>
      <c r="CC36" s="203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4"/>
      <c r="CE36" s="26"/>
      <c r="CF36" s="25"/>
      <c r="CG36" s="207" t="str">
        <f t="array" aca="1" ref="CG36" ca="1">IF(CG33&lt;&gt;"",INDIRECT("'盛付札（関数）'!AJ"&amp;CE33),"")</f>
        <v/>
      </c>
      <c r="CH36" s="208"/>
      <c r="CI36" s="44"/>
      <c r="CJ36" s="203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4"/>
      <c r="CN36" s="25"/>
      <c r="CO36" s="207" t="str">
        <f t="array" aca="1" ref="CO36" ca="1">IF(CO33&lt;&gt;"",INDIRECT("'盛付札（関数）'!AJ"&amp;CM33),"")</f>
        <v/>
      </c>
      <c r="CP36" s="208"/>
      <c r="CQ36" s="44"/>
      <c r="CR36" s="203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4"/>
      <c r="CT36" s="26"/>
      <c r="CU36" s="25"/>
      <c r="CV36" s="207" t="str">
        <f t="array" aca="1" ref="CV36" ca="1">IF(CV33&lt;&gt;"",INDIRECT("'盛付札（関数）'!AJ"&amp;CT33),"")</f>
        <v/>
      </c>
      <c r="CW36" s="208"/>
      <c r="CX36" s="44"/>
      <c r="CY36" s="203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4"/>
      <c r="DC36" s="25"/>
      <c r="DD36" s="207" t="str">
        <f t="array" aca="1" ref="DD36" ca="1">IF(DD33&lt;&gt;"",INDIRECT("'盛付札（関数）'!AJ"&amp;DB33),"")</f>
        <v/>
      </c>
      <c r="DE36" s="208"/>
      <c r="DF36" s="44"/>
      <c r="DG36" s="203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4"/>
      <c r="DI36" s="26"/>
      <c r="DJ36" s="25"/>
      <c r="DK36" s="207" t="str">
        <f t="array" aca="1" ref="DK36" ca="1">IF(DK33&lt;&gt;"",INDIRECT("'盛付札（関数）'!AJ"&amp;DI33),"")</f>
        <v/>
      </c>
      <c r="DL36" s="208"/>
      <c r="DM36" s="44"/>
      <c r="DN36" s="203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4"/>
      <c r="DR36" s="25"/>
      <c r="DS36" s="207" t="str">
        <f t="array" aca="1" ref="DS36" ca="1">IF(DS33&lt;&gt;"",INDIRECT("'盛付札（関数）'!AJ"&amp;DQ33),"")</f>
        <v/>
      </c>
      <c r="DT36" s="208"/>
      <c r="DU36" s="44"/>
      <c r="DV36" s="203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4"/>
      <c r="DX36" s="26"/>
      <c r="DY36" s="25"/>
      <c r="DZ36" s="207" t="str">
        <f t="array" aca="1" ref="DZ36" ca="1">IF(DZ33&lt;&gt;"",INDIRECT("'盛付札（関数）'!AJ"&amp;DX33),"")</f>
        <v/>
      </c>
      <c r="EA36" s="208"/>
      <c r="EB36" s="44"/>
      <c r="EC36" s="203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4"/>
      <c r="EG36" s="25"/>
      <c r="EH36" s="207" t="str">
        <f t="array" aca="1" ref="EH36" ca="1">IF(EH33&lt;&gt;"",INDIRECT("'盛付札（関数）'!AJ"&amp;EF33),"")</f>
        <v/>
      </c>
      <c r="EI36" s="208"/>
      <c r="EJ36" s="44"/>
      <c r="EK36" s="203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4"/>
      <c r="EM36" s="26"/>
      <c r="EN36" s="25"/>
      <c r="EO36" s="207" t="str">
        <f t="array" aca="1" ref="EO36" ca="1">IF(EO33&lt;&gt;"",INDIRECT("'盛付札（関数）'!AJ"&amp;EM33),"")</f>
        <v/>
      </c>
      <c r="EP36" s="208"/>
      <c r="EQ36" s="44"/>
      <c r="ER36" s="203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4"/>
    </row>
    <row r="37" spans="1:150" ht="15.6" customHeight="1" x14ac:dyDescent="0.45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 x14ac:dyDescent="0.55000000000000004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IF(AND(C33&lt;&gt;"",C33&lt;&gt;"社食",C35&lt;&gt;"先生"),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IF(AND(J33&lt;&gt;"",J33&lt;&gt;"社食",J35&lt;&gt;"先生"),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IF(AND(R33&lt;&gt;"",R33&lt;&gt;"社食",R35&lt;&gt;"先生"),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IF(AND(Y33&lt;&gt;"",Y33&lt;&gt;"社食",Y35&lt;&gt;"先生"),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IF(AND(AG33&lt;&gt;"",AG33&lt;&gt;"社食",AG35&lt;&gt;"先生"),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IF(AND(AN33&lt;&gt;"",AN33&lt;&gt;"社食",AN35&lt;&gt;"先生"),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IF(AND(AV33&lt;&gt;"",AV33&lt;&gt;"社食",AV35&lt;&gt;"先生"),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IF(AND(BC33&lt;&gt;"",BC33&lt;&gt;"社食",BC35&lt;&gt;"先生"),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IF(AND(BK33&lt;&gt;"",BK33&lt;&gt;"社食",BK35&lt;&gt;"先生"),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IF(AND(BR33&lt;&gt;"",BR33&lt;&gt;"社食",BR35&lt;&gt;"先生"),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 x14ac:dyDescent="0.45">
      <c r="B39" s="213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6"/>
      <c r="D39" s="213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6"/>
      <c r="F39" s="214" t="str">
        <f t="array" aca="1" ref="F39" ca="1">IF(AND(C33&lt;&gt;"",C33&lt;&gt;"社食",C35&lt;&gt;"先生"),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6"/>
      <c r="I39" s="213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6"/>
      <c r="K39" s="213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6"/>
      <c r="M39" s="214" t="str">
        <f t="array" aca="1" ref="M39" ca="1">IF(AND(J33&lt;&gt;"",J33&lt;&gt;"社食",J35&lt;&gt;"先生"),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6"/>
      <c r="Q39" s="213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6"/>
      <c r="S39" s="213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6"/>
      <c r="U39" s="214" t="str">
        <f t="array" aca="1" ref="U39" ca="1">IF(AND(R33&lt;&gt;"",R33&lt;&gt;"社食",R35&lt;&gt;"先生"),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6"/>
      <c r="X39" s="213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6"/>
      <c r="Z39" s="213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6"/>
      <c r="AB39" s="214" t="str">
        <f t="array" aca="1" ref="AB39" ca="1">IF(AND(Y33&lt;&gt;"",Y33&lt;&gt;"社食",Y35&lt;&gt;"先生"),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6"/>
      <c r="AF39" s="213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6"/>
      <c r="AH39" s="213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6"/>
      <c r="AJ39" s="214" t="str">
        <f t="array" aca="1" ref="AJ39" ca="1">IF(AND(AG33&lt;&gt;"",AG33&lt;&gt;"社食",AG35&lt;&gt;"先生"),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6"/>
      <c r="AM39" s="213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6"/>
      <c r="AO39" s="213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6"/>
      <c r="AQ39" s="214" t="str">
        <f t="array" aca="1" ref="AQ39" ca="1">IF(AND(AN33&lt;&gt;"",AN33&lt;&gt;"社食",AN35&lt;&gt;"先生"),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6"/>
      <c r="AU39" s="213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6"/>
      <c r="AW39" s="213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6"/>
      <c r="AY39" s="214" t="str">
        <f t="array" aca="1" ref="AY39" ca="1">IF(AND(AV33&lt;&gt;"",AV33&lt;&gt;"社食",AV35&lt;&gt;"先生"),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6"/>
      <c r="BB39" s="213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6"/>
      <c r="BD39" s="213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6"/>
      <c r="BF39" s="214" t="str">
        <f t="array" aca="1" ref="BF39" ca="1">IF(AND(BC33&lt;&gt;"",BC33&lt;&gt;"社食",BC35&lt;&gt;"先生"),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6"/>
      <c r="BJ39" s="213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6"/>
      <c r="BL39" s="213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6"/>
      <c r="BN39" s="214" t="str">
        <f t="array" aca="1" ref="BN39" ca="1">IF(AND(BK33&lt;&gt;"",BK33&lt;&gt;"社食",BK35&lt;&gt;"先生"),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6"/>
      <c r="BQ39" s="213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6"/>
      <c r="BS39" s="213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6"/>
      <c r="BU39" s="214" t="str">
        <f t="array" aca="1" ref="BU39" ca="1">IF(AND(BR33&lt;&gt;"",BR33&lt;&gt;"社食",BR35&lt;&gt;"先生"),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6"/>
      <c r="BY39" s="213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6"/>
      <c r="CA39" s="213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6"/>
      <c r="CC39" s="214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6"/>
      <c r="CF39" s="213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6"/>
      <c r="CH39" s="213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6"/>
      <c r="CJ39" s="214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6"/>
      <c r="CN39" s="213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6"/>
      <c r="CP39" s="213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6"/>
      <c r="CR39" s="214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6"/>
      <c r="CU39" s="213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6"/>
      <c r="CW39" s="213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6"/>
      <c r="CY39" s="214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6"/>
      <c r="DC39" s="213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6"/>
      <c r="DE39" s="213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6"/>
      <c r="DG39" s="214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6"/>
      <c r="DJ39" s="213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6"/>
      <c r="DL39" s="213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6"/>
      <c r="DN39" s="214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6"/>
      <c r="DR39" s="213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6"/>
      <c r="DT39" s="213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6"/>
      <c r="DV39" s="214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6"/>
      <c r="DY39" s="213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6"/>
      <c r="EA39" s="213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6"/>
      <c r="EC39" s="214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6"/>
      <c r="EG39" s="213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6"/>
      <c r="EI39" s="213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6"/>
      <c r="EK39" s="214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6"/>
      <c r="EN39" s="213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6"/>
      <c r="EP39" s="213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6"/>
      <c r="ER39" s="214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6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 x14ac:dyDescent="0.55000000000000004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2"/>
      <c r="E41" s="212"/>
      <c r="F41" s="212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2"/>
      <c r="L41" s="212"/>
      <c r="M41" s="212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2"/>
      <c r="T41" s="212"/>
      <c r="U41" s="212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2"/>
      <c r="AA41" s="212"/>
      <c r="AB41" s="212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2"/>
      <c r="AI41" s="212"/>
      <c r="AJ41" s="212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2"/>
      <c r="AP41" s="212"/>
      <c r="AQ41" s="212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2"/>
      <c r="AX41" s="212"/>
      <c r="AY41" s="212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2"/>
      <c r="BE41" s="212"/>
      <c r="BF41" s="212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2"/>
      <c r="BM41" s="212"/>
      <c r="BN41" s="212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2"/>
      <c r="BT41" s="212"/>
      <c r="BU41" s="212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2"/>
      <c r="CB41" s="212"/>
      <c r="CC41" s="212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2"/>
      <c r="CI41" s="212"/>
      <c r="CJ41" s="212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2"/>
      <c r="CQ41" s="212"/>
      <c r="CR41" s="212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2"/>
      <c r="CX41" s="212"/>
      <c r="CY41" s="212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2"/>
      <c r="DF41" s="212"/>
      <c r="DG41" s="212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2"/>
      <c r="DM41" s="212"/>
      <c r="DN41" s="212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2"/>
      <c r="DU41" s="212"/>
      <c r="DV41" s="212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2"/>
      <c r="EB41" s="212"/>
      <c r="EC41" s="212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2"/>
      <c r="EJ41" s="212"/>
      <c r="EK41" s="212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2"/>
      <c r="EQ41" s="212"/>
      <c r="ER41" s="212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48" customFormat="1" x14ac:dyDescent="0.55000000000000004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57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57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57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57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57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57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57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57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57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57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57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57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57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57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57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57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57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57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57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57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48" customFormat="1" x14ac:dyDescent="0.55000000000000004">
      <c r="A43" s="30"/>
      <c r="B43" s="31"/>
      <c r="C43" s="209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0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9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0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9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0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9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0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9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0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9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0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9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0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9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0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9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0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9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0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9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0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9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0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9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0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9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0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9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0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9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0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9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0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9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0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9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0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9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0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 x14ac:dyDescent="1.05">
      <c r="B44" s="25"/>
      <c r="C44" s="207" t="str">
        <f t="array" aca="1" ref="C44" ca="1">IF(C41&lt;&gt;"",INDIRECT("'盛付札（関数）'!AJ"&amp;A41),"")</f>
        <v/>
      </c>
      <c r="D44" s="208"/>
      <c r="E44" s="44"/>
      <c r="F44" s="203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4"/>
      <c r="H44" s="26"/>
      <c r="I44" s="25"/>
      <c r="J44" s="207" t="str">
        <f t="array" aca="1" ref="J44" ca="1">IF(J41&lt;&gt;"",INDIRECT("'盛付札（関数）'!AJ"&amp;H41),"")</f>
        <v/>
      </c>
      <c r="K44" s="208"/>
      <c r="L44" s="44"/>
      <c r="M44" s="203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4"/>
      <c r="Q44" s="25"/>
      <c r="R44" s="207" t="str">
        <f t="array" aca="1" ref="R44" ca="1">IF(R41&lt;&gt;"",INDIRECT("'盛付札（関数）'!AJ"&amp;P41),"")</f>
        <v/>
      </c>
      <c r="S44" s="208"/>
      <c r="T44" s="44"/>
      <c r="U44" s="203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4"/>
      <c r="W44" s="26"/>
      <c r="X44" s="25"/>
      <c r="Y44" s="207" t="str">
        <f t="array" aca="1" ref="Y44" ca="1">IF(Y41&lt;&gt;"",INDIRECT("'盛付札（関数）'!AJ"&amp;W41),"")</f>
        <v/>
      </c>
      <c r="Z44" s="208"/>
      <c r="AA44" s="44"/>
      <c r="AB44" s="203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4"/>
      <c r="AF44" s="25"/>
      <c r="AG44" s="207" t="str">
        <f t="array" aca="1" ref="AG44" ca="1">IF(AG41&lt;&gt;"",INDIRECT("'盛付札（関数）'!AJ"&amp;AE41),"")</f>
        <v/>
      </c>
      <c r="AH44" s="208"/>
      <c r="AI44" s="44"/>
      <c r="AJ44" s="203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4"/>
      <c r="AL44" s="26"/>
      <c r="AM44" s="25"/>
      <c r="AN44" s="207" t="str">
        <f t="array" aca="1" ref="AN44" ca="1">IF(AN41&lt;&gt;"",INDIRECT("'盛付札（関数）'!AJ"&amp;AL41),"")</f>
        <v/>
      </c>
      <c r="AO44" s="208"/>
      <c r="AP44" s="44"/>
      <c r="AQ44" s="203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4"/>
      <c r="AU44" s="25"/>
      <c r="AV44" s="207" t="str">
        <f t="array" aca="1" ref="AV44" ca="1">IF(AV41&lt;&gt;"",INDIRECT("'盛付札（関数）'!AJ"&amp;AT41),"")</f>
        <v/>
      </c>
      <c r="AW44" s="208"/>
      <c r="AX44" s="44"/>
      <c r="AY44" s="203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4"/>
      <c r="BA44" s="26"/>
      <c r="BB44" s="25"/>
      <c r="BC44" s="207" t="str">
        <f t="array" aca="1" ref="BC44" ca="1">IF(BC41&lt;&gt;"",INDIRECT("'盛付札（関数）'!AJ"&amp;BA41),"")</f>
        <v/>
      </c>
      <c r="BD44" s="208"/>
      <c r="BE44" s="44"/>
      <c r="BF44" s="203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4"/>
      <c r="BJ44" s="25"/>
      <c r="BK44" s="207" t="str">
        <f t="array" aca="1" ref="BK44" ca="1">IF(BK41&lt;&gt;"",INDIRECT("'盛付札（関数）'!AJ"&amp;BI41),"")</f>
        <v/>
      </c>
      <c r="BL44" s="208"/>
      <c r="BM44" s="44"/>
      <c r="BN44" s="203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4"/>
      <c r="BP44" s="26"/>
      <c r="BQ44" s="25"/>
      <c r="BR44" s="207" t="str">
        <f t="array" aca="1" ref="BR44" ca="1">IF(BR41&lt;&gt;"",INDIRECT("'盛付札（関数）'!AJ"&amp;BP41),"")</f>
        <v/>
      </c>
      <c r="BS44" s="208"/>
      <c r="BT44" s="44"/>
      <c r="BU44" s="203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4"/>
      <c r="BY44" s="25"/>
      <c r="BZ44" s="207" t="str">
        <f t="array" aca="1" ref="BZ44" ca="1">IF(BZ41&lt;&gt;"",INDIRECT("'盛付札（関数）'!AJ"&amp;BX41),"")</f>
        <v/>
      </c>
      <c r="CA44" s="208"/>
      <c r="CB44" s="44"/>
      <c r="CC44" s="203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4"/>
      <c r="CE44" s="26"/>
      <c r="CF44" s="25"/>
      <c r="CG44" s="207" t="str">
        <f t="array" aca="1" ref="CG44" ca="1">IF(CG41&lt;&gt;"",INDIRECT("'盛付札（関数）'!AJ"&amp;CE41),"")</f>
        <v/>
      </c>
      <c r="CH44" s="208"/>
      <c r="CI44" s="44"/>
      <c r="CJ44" s="203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4"/>
      <c r="CN44" s="25"/>
      <c r="CO44" s="207" t="str">
        <f t="array" aca="1" ref="CO44" ca="1">IF(CO41&lt;&gt;"",INDIRECT("'盛付札（関数）'!AJ"&amp;CM41),"")</f>
        <v/>
      </c>
      <c r="CP44" s="208"/>
      <c r="CQ44" s="44"/>
      <c r="CR44" s="203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4"/>
      <c r="CT44" s="26"/>
      <c r="CU44" s="25"/>
      <c r="CV44" s="207" t="str">
        <f t="array" aca="1" ref="CV44" ca="1">IF(CV41&lt;&gt;"",INDIRECT("'盛付札（関数）'!AJ"&amp;CT41),"")</f>
        <v/>
      </c>
      <c r="CW44" s="208"/>
      <c r="CX44" s="44"/>
      <c r="CY44" s="203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4"/>
      <c r="DC44" s="25"/>
      <c r="DD44" s="207" t="str">
        <f t="array" aca="1" ref="DD44" ca="1">IF(DD41&lt;&gt;"",INDIRECT("'盛付札（関数）'!AJ"&amp;DB41),"")</f>
        <v/>
      </c>
      <c r="DE44" s="208"/>
      <c r="DF44" s="44"/>
      <c r="DG44" s="203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4"/>
      <c r="DI44" s="26"/>
      <c r="DJ44" s="25"/>
      <c r="DK44" s="207" t="str">
        <f t="array" aca="1" ref="DK44" ca="1">IF(DK41&lt;&gt;"",INDIRECT("'盛付札（関数）'!AJ"&amp;DI41),"")</f>
        <v/>
      </c>
      <c r="DL44" s="208"/>
      <c r="DM44" s="44"/>
      <c r="DN44" s="203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4"/>
      <c r="DR44" s="25"/>
      <c r="DS44" s="207" t="str">
        <f t="array" aca="1" ref="DS44" ca="1">IF(DS41&lt;&gt;"",INDIRECT("'盛付札（関数）'!AJ"&amp;DQ41),"")</f>
        <v/>
      </c>
      <c r="DT44" s="208"/>
      <c r="DU44" s="44"/>
      <c r="DV44" s="203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4"/>
      <c r="DX44" s="26"/>
      <c r="DY44" s="25"/>
      <c r="DZ44" s="207" t="str">
        <f t="array" aca="1" ref="DZ44" ca="1">IF(DZ41&lt;&gt;"",INDIRECT("'盛付札（関数）'!AJ"&amp;DX41),"")</f>
        <v/>
      </c>
      <c r="EA44" s="208"/>
      <c r="EB44" s="44"/>
      <c r="EC44" s="203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4"/>
      <c r="EG44" s="25"/>
      <c r="EH44" s="207" t="str">
        <f t="array" aca="1" ref="EH44" ca="1">IF(EH41&lt;&gt;"",INDIRECT("'盛付札（関数）'!AJ"&amp;EF41),"")</f>
        <v/>
      </c>
      <c r="EI44" s="208"/>
      <c r="EJ44" s="44"/>
      <c r="EK44" s="203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4"/>
      <c r="EM44" s="26"/>
      <c r="EN44" s="25"/>
      <c r="EO44" s="207" t="str">
        <f t="array" aca="1" ref="EO44" ca="1">IF(EO41&lt;&gt;"",INDIRECT("'盛付札（関数）'!AJ"&amp;EM41),"")</f>
        <v/>
      </c>
      <c r="EP44" s="208"/>
      <c r="EQ44" s="44"/>
      <c r="ER44" s="203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4"/>
    </row>
    <row r="45" spans="1:150" ht="15.6" customHeight="1" x14ac:dyDescent="0.45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 x14ac:dyDescent="0.55000000000000004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IF(AND(C41&lt;&gt;"",C41&lt;&gt;"社食",C43&lt;&gt;"先生"),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IF(AND(J41&lt;&gt;"",J41&lt;&gt;"社食",J43&lt;&gt;"先生"),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IF(AND(R41&lt;&gt;"",R41&lt;&gt;"社食",R43&lt;&gt;"先生"),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IF(AND(Y41&lt;&gt;"",Y41&lt;&gt;"社食",Y43&lt;&gt;"先生"),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IF(AND(AG41&lt;&gt;"",AG41&lt;&gt;"社食",AG43&lt;&gt;"先生"),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IF(AND(AN41&lt;&gt;"",AN41&lt;&gt;"社食",AN43&lt;&gt;"先生"),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IF(AND(AV41&lt;&gt;"",AV41&lt;&gt;"社食",AV43&lt;&gt;"先生"),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IF(AND(BC41&lt;&gt;"",BC41&lt;&gt;"社食",BC43&lt;&gt;"先生"),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IF(AND(BK41&lt;&gt;"",BK41&lt;&gt;"社食",BK43&lt;&gt;"先生"),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IF(AND(BR41&lt;&gt;"",BR41&lt;&gt;"社食",BR43&lt;&gt;"先生"),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 x14ac:dyDescent="0.45">
      <c r="B47" s="213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6"/>
      <c r="D47" s="213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6"/>
      <c r="F47" s="214" t="str">
        <f t="array" aca="1" ref="F47" ca="1">IF(AND(C41&lt;&gt;"",C41&lt;&gt;"社食",C43&lt;&gt;"先生"),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6"/>
      <c r="I47" s="213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6"/>
      <c r="K47" s="213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6"/>
      <c r="M47" s="214" t="str">
        <f t="array" aca="1" ref="M47" ca="1">IF(AND(J41&lt;&gt;"",J41&lt;&gt;"社食",J43&lt;&gt;"先生"),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6"/>
      <c r="Q47" s="213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6"/>
      <c r="S47" s="213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6"/>
      <c r="U47" s="214" t="str">
        <f t="array" aca="1" ref="U47" ca="1">IF(AND(R41&lt;&gt;"",R41&lt;&gt;"社食",R43&lt;&gt;"先生"),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6"/>
      <c r="X47" s="213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6"/>
      <c r="Z47" s="213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6"/>
      <c r="AB47" s="214" t="str">
        <f t="array" aca="1" ref="AB47" ca="1">IF(AND(Y41&lt;&gt;"",Y41&lt;&gt;"社食",Y43&lt;&gt;"先生"),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6"/>
      <c r="AF47" s="213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6"/>
      <c r="AH47" s="213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6"/>
      <c r="AJ47" s="214" t="str">
        <f t="array" aca="1" ref="AJ47" ca="1">IF(AND(AG41&lt;&gt;"",AG41&lt;&gt;"社食",AG43&lt;&gt;"先生"),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6"/>
      <c r="AM47" s="213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6"/>
      <c r="AO47" s="213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6"/>
      <c r="AQ47" s="214" t="str">
        <f t="array" aca="1" ref="AQ47" ca="1">IF(AND(AN41&lt;&gt;"",AN41&lt;&gt;"社食",AN43&lt;&gt;"先生"),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6"/>
      <c r="AU47" s="213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6"/>
      <c r="AW47" s="213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6"/>
      <c r="AY47" s="214" t="str">
        <f t="array" aca="1" ref="AY47" ca="1">IF(AND(AV41&lt;&gt;"",AV41&lt;&gt;"社食",AV43&lt;&gt;"先生"),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6"/>
      <c r="BB47" s="213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6"/>
      <c r="BD47" s="213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6"/>
      <c r="BF47" s="214" t="str">
        <f t="array" aca="1" ref="BF47" ca="1">IF(AND(BC41&lt;&gt;"",BC41&lt;&gt;"社食",BC43&lt;&gt;"先生"),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6"/>
      <c r="BJ47" s="213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6"/>
      <c r="BL47" s="213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6"/>
      <c r="BN47" s="214" t="str">
        <f t="array" aca="1" ref="BN47" ca="1">IF(AND(BK41&lt;&gt;"",BK41&lt;&gt;"社食",BK43&lt;&gt;"先生"),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6"/>
      <c r="BQ47" s="213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6"/>
      <c r="BS47" s="213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6"/>
      <c r="BU47" s="214" t="str">
        <f t="array" aca="1" ref="BU47" ca="1">IF(AND(BR41&lt;&gt;"",BR41&lt;&gt;"社食",BR43&lt;&gt;"先生"),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6"/>
      <c r="BY47" s="213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6"/>
      <c r="CA47" s="213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6"/>
      <c r="CC47" s="214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6"/>
      <c r="CF47" s="213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6"/>
      <c r="CH47" s="213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6"/>
      <c r="CJ47" s="214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6"/>
      <c r="CN47" s="213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6"/>
      <c r="CP47" s="213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6"/>
      <c r="CR47" s="214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6"/>
      <c r="CU47" s="213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6"/>
      <c r="CW47" s="213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6"/>
      <c r="CY47" s="214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6"/>
      <c r="DC47" s="213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6"/>
      <c r="DE47" s="213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6"/>
      <c r="DG47" s="214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6"/>
      <c r="DJ47" s="213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6"/>
      <c r="DL47" s="213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6"/>
      <c r="DN47" s="214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6"/>
      <c r="DR47" s="213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6"/>
      <c r="DT47" s="213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6"/>
      <c r="DV47" s="214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6"/>
      <c r="DY47" s="213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6"/>
      <c r="EA47" s="213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6"/>
      <c r="EC47" s="214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6"/>
      <c r="EG47" s="213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6"/>
      <c r="EI47" s="213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6"/>
      <c r="EK47" s="214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6"/>
      <c r="EN47" s="213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6"/>
      <c r="EP47" s="213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6"/>
      <c r="ER47" s="214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CJ44:CK45"/>
    <mergeCell ref="X39:Y39"/>
    <mergeCell ref="DK27:DL27"/>
    <mergeCell ref="BB7:BC7"/>
    <mergeCell ref="AJ28:AK29"/>
    <mergeCell ref="CY12:CZ13"/>
    <mergeCell ref="BD7:BE7"/>
    <mergeCell ref="CR47:CS4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G36:CH37"/>
    <mergeCell ref="CY15:CZ15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AB39:AC39"/>
    <mergeCell ref="BQ47:BR47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CO27:CP27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AV33:AY33"/>
    <mergeCell ref="R17:U17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BJ23:BK23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Y28:Z29"/>
    <mergeCell ref="CU31:CV31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AV27:AW2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BZ20:CA21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CG25:CJ25"/>
    <mergeCell ref="AV20:AW21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Q7:AR7"/>
    <mergeCell ref="BU23:BV23"/>
    <mergeCell ref="Y41:AB41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H17" sqref="H17"/>
    </sheetView>
  </sheetViews>
  <sheetFormatPr defaultRowHeight="18" x14ac:dyDescent="0.45"/>
  <cols>
    <col min="1" max="1" width="23.8984375" style="147" customWidth="1"/>
    <col min="10" max="10" width="8.796875" style="57" customWidth="1"/>
    <col min="15" max="15" width="3.296875" style="147" customWidth="1"/>
    <col min="17" max="17" width="8.796875" style="147" customWidth="1"/>
  </cols>
  <sheetData>
    <row r="1" spans="1:18" x14ac:dyDescent="0.45">
      <c r="A1"/>
    </row>
    <row r="2" spans="1:18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8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zoomScale="85" zoomScaleNormal="85" workbookViewId="0">
      <selection activeCell="Q75" sqref="Q75:Q100"/>
    </sheetView>
  </sheetViews>
  <sheetFormatPr defaultRowHeight="18" x14ac:dyDescent="0.45"/>
  <cols>
    <col min="1" max="1" width="4.59765625" style="147" bestFit="1" customWidth="1"/>
    <col min="2" max="2" width="2.59765625" style="147" bestFit="1" customWidth="1"/>
    <col min="3" max="3" width="3.3984375" style="147" bestFit="1" customWidth="1"/>
    <col min="4" max="4" width="3.3984375" style="147" customWidth="1"/>
    <col min="5" max="5" width="6.3984375" style="147" bestFit="1" customWidth="1"/>
    <col min="6" max="6" width="20.19921875" style="147" bestFit="1" customWidth="1"/>
    <col min="7" max="9" width="1.5" style="147" customWidth="1"/>
    <col min="10" max="10" width="14.796875" style="147" customWidth="1"/>
    <col min="11" max="13" width="6" style="147" customWidth="1"/>
    <col min="14" max="14" width="2.3984375" style="147" bestFit="1" customWidth="1"/>
    <col min="15" max="17" width="8.796875" style="147" customWidth="1"/>
    <col min="18" max="18" width="24.296875" style="147" customWidth="1"/>
    <col min="19" max="19" width="8.796875" style="147" customWidth="1"/>
    <col min="20" max="20" width="6.3984375" style="147" bestFit="1" customWidth="1"/>
    <col min="21" max="21" width="3.3984375" style="147" bestFit="1" customWidth="1"/>
    <col min="22" max="22" width="3.3984375" style="147" customWidth="1"/>
    <col min="23" max="23" width="3.3984375" style="147" bestFit="1" customWidth="1"/>
    <col min="24" max="24" width="3.3984375" style="147" customWidth="1"/>
    <col min="25" max="25" width="8.796875" style="147" customWidth="1"/>
    <col min="28" max="28" width="2.8984375" style="147" customWidth="1"/>
    <col min="31" max="32" width="8.796875" style="147" customWidth="1"/>
    <col min="41" max="42" width="5.796875" style="147" bestFit="1" customWidth="1"/>
    <col min="43" max="43" width="8.8984375" style="147" bestFit="1" customWidth="1"/>
  </cols>
  <sheetData>
    <row r="1" spans="1:45" x14ac:dyDescent="0.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 x14ac:dyDescent="0.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IF($Q2&lt;&gt;"",VLOOKUP($Q2,E2:$O$100,COLUMN()-13,FALSE),"")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IFERROR(SMALL(IF(AC$1:AC$160&lt;&gt;0,AC$1:AC$160),ROW(A2)),""))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 x14ac:dyDescent="0.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IF($Q3&lt;&gt;"",VLOOKUP($Q3,E3:$O$100,COLUMN()-13,FALSE),"")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IFERROR(SMALL(IF(AC$1:AC$160&lt;&gt;0,AC$1:AC$160),ROW(A3)),""))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 x14ac:dyDescent="0.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IF($Q4&lt;&gt;"",VLOOKUP($Q4,E4:$O$100,COLUMN()-13,FALSE),"")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IFERROR(SMALL(IF(AC$1:AC$160&lt;&gt;0,AC$1:AC$160),ROW(A4)),""))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 x14ac:dyDescent="0.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IF($Q5&lt;&gt;"",VLOOKUP($Q5,E5:$O$100,COLUMN()-13,FALSE),"")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IFERROR(SMALL(IF(AC$1:AC$160&lt;&gt;0,AC$1:AC$160),ROW(A5)),""))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 x14ac:dyDescent="0.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IF($Q6&lt;&gt;"",VLOOKUP($Q6,E6:$O$100,COLUMN()-13,FALSE),"")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IFERROR(SMALL(IF(AC$1:AC$160&lt;&gt;0,AC$1:AC$160),ROW(A6)),""))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 x14ac:dyDescent="0.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IF($Q7&lt;&gt;"",VLOOKUP($Q7,E7:$O$100,COLUMN()-13,FALSE),"")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IFERROR(SMALL(IF(AC$1:AC$160&lt;&gt;0,AC$1:AC$160),ROW(A7)),""))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 x14ac:dyDescent="0.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>
        <f t="array" aca="1" ref="Q8" ca="1">IFERROR(INDEX($P$1:$P$100, SMALL(IF($P$1:$P$100&lt;&gt;"", ROW($P$1:$P$100)), ROW(Q8))), "")</f>
        <v/>
      </c>
      <c r="R8" s="112" t="str">
        <f t="shared" ca="1" si="2"/>
        <v/>
      </c>
      <c r="S8" s="112" t="str">
        <f t="shared" ca="1" si="3"/>
        <v/>
      </c>
      <c r="T8" s="112" t="str">
        <f ca="1">IF($Q8&lt;&gt;"",VLOOKUP($Q8,E8:$O$100,COLUMN()-13,FALSE),"")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IFERROR(SMALL(IF(AC$1:AC$160&lt;&gt;0,AC$1:AC$160),ROW(A8)),""))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 x14ac:dyDescent="0.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IF($Q9&lt;&gt;"",VLOOKUP($Q9,E9:$O$100,COLUMN()-13,FALSE),"")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IFERROR(SMALL(IF(AC$1:AC$160&lt;&gt;0,AC$1:AC$160),ROW(A9)),""))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 x14ac:dyDescent="0.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IF($Q10&lt;&gt;"",VLOOKUP($Q10,E10:$O$100,COLUMN()-13,FALSE),"")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IFERROR(SMALL(IF(AC$1:AC$160&lt;&gt;0,AC$1:AC$160),ROW(A10)),""))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 x14ac:dyDescent="0.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IF($Q11&lt;&gt;"",VLOOKUP($Q11,E11:$O$100,COLUMN()-13,FALSE),"")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IFERROR(SMALL(IF(AC$1:AC$160&lt;&gt;0,AC$1:AC$160),ROW(A11)),""))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 x14ac:dyDescent="0.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IF($Q12&lt;&gt;"",VLOOKUP($Q12,E12:$O$100,COLUMN()-13,FALSE),"")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IFERROR(SMALL(IF(AC$1:AC$160&lt;&gt;0,AC$1:AC$160),ROW(A12)),""))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 x14ac:dyDescent="0.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IF($Q13&lt;&gt;"",VLOOKUP($Q13,E13:$O$100,COLUMN()-13,FALSE),"")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C13" t="str">
        <f t="shared" ca="1" si="8"/>
        <v/>
      </c>
      <c r="AD13" s="65" t="str">
        <f t="array" aca="1" ref="AD13" ca="1">IF(AND(IFERROR(COUNTIF(INDIRECT("R"&amp;IFERROR(SMALL(IF(AC$1:AC$160&lt;&gt;0,AC$1:AC$160),ROW(A13)),"")&amp;""),"*雙葉*"),0),COUNTIF(AE$1:AE12,"*雙葉*")),"",
IFERROR(SMALL(IF(AC$1:AC$160&lt;&gt;0,AC$1:AC$160),ROW(A13)),""))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 x14ac:dyDescent="0.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IF($Q14&lt;&gt;"",VLOOKUP($Q14,E14:$O$100,COLUMN()-13,FALSE),"")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IFERROR(SMALL(IF(AC$1:AC$160&lt;&gt;0,AC$1:AC$160),ROW(A14)),""))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 x14ac:dyDescent="0.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IF($Q15&lt;&gt;"",VLOOKUP($Q15,E15:$O$100,COLUMN()-13,FALSE),"")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IFERROR(SMALL(IF(AC$1:AC$160&lt;&gt;0,AC$1:AC$160),ROW(A15)),""))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 x14ac:dyDescent="0.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IF($Q16&lt;&gt;"",VLOOKUP($Q16,E16:$O$100,COLUMN()-13,FALSE),"")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IFERROR(SMALL(IF(AC$1:AC$160&lt;&gt;0,AC$1:AC$160),ROW(A16)),""))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 x14ac:dyDescent="0.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IF($Q17&lt;&gt;"",VLOOKUP($Q17,E17:$O$100,COLUMN()-13,FALSE),"")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IFERROR(SMALL(IF(AC$1:AC$160&lt;&gt;0,AC$1:AC$160),ROW(A17)),""))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 x14ac:dyDescent="0.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IF($Q18&lt;&gt;"",VLOOKUP($Q18,E18:$O$100,COLUMN()-13,FALSE),"")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IFERROR(SMALL(IF(AC$1:AC$160&lt;&gt;0,AC$1:AC$160),ROW(A18)),""))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 x14ac:dyDescent="0.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IF($Q19&lt;&gt;"",VLOOKUP($Q19,E19:$O$100,COLUMN()-13,FALSE),"")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IFERROR(SMALL(IF(AC$1:AC$160&lt;&gt;0,AC$1:AC$160),ROW(A19)),""))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 x14ac:dyDescent="0.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IF($Q20&lt;&gt;"",VLOOKUP($Q20,E20:$O$100,COLUMN()-13,FALSE),"")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IFERROR(SMALL(IF(AC$1:AC$160&lt;&gt;0,AC$1:AC$160),ROW(A20)),""))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 x14ac:dyDescent="0.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IF($Q21&lt;&gt;"",VLOOKUP($Q21,E21:$O$100,COLUMN()-13,FALSE),"")</f>
        <v/>
      </c>
      <c r="U21" s="112" t="str">
        <f t="shared" ref="U21:V40" ca="1" si="14">IF($Q21&lt;&gt;"",VLOOKUP($Q21,$E$1:$O$100,COLUMN()-13,FALSE),"")</f>
        <v/>
      </c>
      <c r="V21" s="112" t="str">
        <f t="shared" ca="1" si="14"/>
        <v/>
      </c>
      <c r="W21" s="112" t="str">
        <f t="shared" ca="1" si="5"/>
        <v/>
      </c>
      <c r="X21" s="112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IFERROR(SMALL(IF(AC$1:AC$160&lt;&gt;0,AC$1:AC$160),ROW(A21)),""))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 x14ac:dyDescent="0.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IF($Q22&lt;&gt;"",VLOOKUP($Q22,E22:$O$100,COLUMN()-13,FALSE),"")</f>
        <v/>
      </c>
      <c r="U22" s="112" t="str">
        <f t="shared" ca="1" si="14"/>
        <v/>
      </c>
      <c r="V22" s="112" t="str">
        <f t="shared" ca="1" si="14"/>
        <v/>
      </c>
      <c r="W22" s="112" t="str">
        <f t="shared" ca="1" si="5"/>
        <v/>
      </c>
      <c r="X22" s="112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IFERROR(SMALL(IF(AC$1:AC$160&lt;&gt;0,AC$1:AC$160),ROW(A22)),""))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 x14ac:dyDescent="0.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IF($Q23&lt;&gt;"",VLOOKUP($Q23,E23:$O$100,COLUMN()-13,FALSE),"")</f>
        <v/>
      </c>
      <c r="U23" s="112" t="str">
        <f t="shared" ca="1" si="14"/>
        <v/>
      </c>
      <c r="V23" s="112" t="str">
        <f t="shared" ca="1" si="14"/>
        <v/>
      </c>
      <c r="W23" s="112" t="str">
        <f t="shared" ca="1" si="5"/>
        <v/>
      </c>
      <c r="X23" s="112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IFERROR(SMALL(IF(AC$1:AC$160&lt;&gt;0,AC$1:AC$160),ROW(A23)),""))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 x14ac:dyDescent="0.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IF($Q24&lt;&gt;"",VLOOKUP($Q24,E24:$O$100,COLUMN()-13,FALSE),"")</f>
        <v/>
      </c>
      <c r="U24" s="112" t="str">
        <f t="shared" ca="1" si="14"/>
        <v/>
      </c>
      <c r="V24" s="112" t="str">
        <f t="shared" ca="1" si="14"/>
        <v/>
      </c>
      <c r="W24" s="112" t="str">
        <f t="shared" ca="1" si="5"/>
        <v/>
      </c>
      <c r="X24" s="112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IFERROR(SMALL(IF(AC$1:AC$160&lt;&gt;0,AC$1:AC$160),ROW(A24)),""))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 x14ac:dyDescent="0.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IF($Q25&lt;&gt;"",VLOOKUP($Q25,E25:$O$100,COLUMN()-13,FALSE),"")</f>
        <v/>
      </c>
      <c r="U25" s="112" t="str">
        <f t="shared" ca="1" si="14"/>
        <v/>
      </c>
      <c r="V25" s="112" t="str">
        <f t="shared" ca="1" si="14"/>
        <v/>
      </c>
      <c r="W25" s="112" t="str">
        <f t="shared" ca="1" si="5"/>
        <v/>
      </c>
      <c r="X25" s="112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IFERROR(SMALL(IF(AC$1:AC$160&lt;&gt;0,AC$1:AC$160),ROW(A25)),""))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 x14ac:dyDescent="0.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IF($Q26&lt;&gt;"",VLOOKUP($Q26,E26:$O$100,COLUMN()-13,FALSE),"")</f>
        <v/>
      </c>
      <c r="U26" s="112" t="str">
        <f t="shared" ca="1" si="14"/>
        <v/>
      </c>
      <c r="V26" s="112" t="str">
        <f t="shared" ca="1" si="14"/>
        <v/>
      </c>
      <c r="W26" s="112" t="str">
        <f t="shared" ca="1" si="5"/>
        <v/>
      </c>
      <c r="X26" s="112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IFERROR(SMALL(IF(AC$1:AC$160&lt;&gt;0,AC$1:AC$160),ROW(A26)),""))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 x14ac:dyDescent="0.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IF($Q27&lt;&gt;"",VLOOKUP($Q27,E27:$O$100,COLUMN()-13,FALSE),"")</f>
        <v/>
      </c>
      <c r="U27" s="112" t="str">
        <f t="shared" ca="1" si="14"/>
        <v/>
      </c>
      <c r="V27" s="112" t="str">
        <f t="shared" ca="1" si="14"/>
        <v/>
      </c>
      <c r="W27" s="112" t="str">
        <f t="shared" ca="1" si="5"/>
        <v/>
      </c>
      <c r="X27" s="112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IFERROR(SMALL(IF(AC$1:AC$160&lt;&gt;0,AC$1:AC$160),ROW(A27)),""))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 x14ac:dyDescent="0.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IF($Q28&lt;&gt;"",VLOOKUP($Q28,E28:$O$100,COLUMN()-13,FALSE),"")</f>
        <v/>
      </c>
      <c r="U28" s="112" t="str">
        <f t="shared" ca="1" si="14"/>
        <v/>
      </c>
      <c r="V28" s="112" t="str">
        <f t="shared" ca="1" si="14"/>
        <v/>
      </c>
      <c r="W28" s="112" t="str">
        <f t="shared" ca="1" si="5"/>
        <v/>
      </c>
      <c r="X28" s="112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IFERROR(SMALL(IF(AC$1:AC$160&lt;&gt;0,AC$1:AC$160),ROW(A28)),""))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 x14ac:dyDescent="0.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IF($Q29&lt;&gt;"",VLOOKUP($Q29,E29:$O$100,COLUMN()-13,FALSE),"")</f>
        <v/>
      </c>
      <c r="U29" s="112" t="str">
        <f t="shared" ca="1" si="14"/>
        <v/>
      </c>
      <c r="V29" s="112" t="str">
        <f t="shared" ca="1" si="14"/>
        <v/>
      </c>
      <c r="W29" s="112" t="str">
        <f t="shared" ca="1" si="5"/>
        <v/>
      </c>
      <c r="X29" s="112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IFERROR(SMALL(IF(AC$1:AC$160&lt;&gt;0,AC$1:AC$160),ROW(A29)),""))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 x14ac:dyDescent="0.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IF($Q30&lt;&gt;"",VLOOKUP($Q30,E30:$O$100,COLUMN()-13,FALSE),"")</f>
        <v/>
      </c>
      <c r="U30" s="112" t="str">
        <f t="shared" ca="1" si="14"/>
        <v/>
      </c>
      <c r="V30" s="112" t="str">
        <f t="shared" ca="1" si="14"/>
        <v/>
      </c>
      <c r="W30" s="112" t="str">
        <f t="shared" ca="1" si="5"/>
        <v/>
      </c>
      <c r="X30" s="112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IFERROR(SMALL(IF(AC$1:AC$160&lt;&gt;0,AC$1:AC$160),ROW(A30)),""))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 x14ac:dyDescent="0.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IF($Q31&lt;&gt;"",VLOOKUP($Q31,E31:$O$100,COLUMN()-13,FALSE),"")</f>
        <v/>
      </c>
      <c r="U31" s="112" t="str">
        <f t="shared" ca="1" si="14"/>
        <v/>
      </c>
      <c r="V31" s="112" t="str">
        <f t="shared" ca="1" si="14"/>
        <v/>
      </c>
      <c r="W31" s="112" t="str">
        <f t="shared" ca="1" si="5"/>
        <v/>
      </c>
      <c r="X31" s="112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IFERROR(SMALL(IF(AC$1:AC$160&lt;&gt;0,AC$1:AC$160),ROW(A31)),""))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 x14ac:dyDescent="0.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IF($Q32&lt;&gt;"",VLOOKUP($Q32,E32:$O$100,COLUMN()-13,FALSE),"")</f>
        <v/>
      </c>
      <c r="U32" s="112" t="str">
        <f t="shared" ca="1" si="14"/>
        <v/>
      </c>
      <c r="V32" s="112" t="str">
        <f t="shared" ca="1" si="14"/>
        <v/>
      </c>
      <c r="W32" s="112" t="str">
        <f t="shared" ca="1" si="5"/>
        <v/>
      </c>
      <c r="X32" s="112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IFERROR(SMALL(IF(AC$1:AC$160&lt;&gt;0,AC$1:AC$160),ROW(A32)),""))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 x14ac:dyDescent="0.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5">IF($Q33&lt;&gt;"",VLOOKUP($Q33,$E$1:$O$100,COLUMN()-16,FALSE),"")</f>
        <v/>
      </c>
      <c r="S33" s="112" t="str">
        <f t="shared" ref="S33:S50" ca="1" si="16">IF($Q33&lt;&gt;"",VLOOKUP($Q33,$E$1:$O$100,COLUMN()-13,FALSE),"")</f>
        <v/>
      </c>
      <c r="T33" s="112" t="str">
        <f ca="1">IF($Q33&lt;&gt;"",VLOOKUP($Q33,E33:$O$100,COLUMN()-13,FALSE),"")</f>
        <v/>
      </c>
      <c r="U33" s="112" t="str">
        <f t="shared" ca="1" si="14"/>
        <v/>
      </c>
      <c r="V33" s="112" t="str">
        <f t="shared" ca="1" si="14"/>
        <v/>
      </c>
      <c r="W33" s="112" t="str">
        <f t="shared" ref="W33:W50" ca="1" si="17">IF($Q33&lt;&gt;"",VLOOKUP($Q33,$E$1:$O$100,COLUMN()-12,FALSE),"")</f>
        <v/>
      </c>
      <c r="X33" s="112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8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9">IF(Z33&lt;&gt;"",
IF(VALUE(T33-V33)&gt;VALUE(Y33*Z33),
"+"&amp;(T33-V33)-Y33*Z33,
(T33-V33)-Y33*Z33),"")</f>
        <v/>
      </c>
      <c r="AC33" t="str">
        <f t="shared" ref="AC33:AC64" ca="1" si="20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IFERROR(SMALL(IF(AC$1:AC$160&lt;&gt;0,AC$1:AC$160),ROW(A33)),""))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1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2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3">IF(AP33&lt;&gt;0,
IF(COUNTIF(AP33,"*.*"),LEFT(AP33, FIND(".", AP33) - 1),AP33),0)</f>
        <v/>
      </c>
      <c r="AR33" s="65">
        <f t="shared" ref="AR33:AR64" ca="1" si="24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5">IF(AP33&lt;&gt;0,
IF(COUNTIF(AP33,"*.*"),
IF(COUNTIF(AP33,"*.*")=1,"",RIGHT(AP33, LEN(AP33) - FIND(".", AP33, FIND(".", AP33) + 1))),0),0)</f>
        <v>0</v>
      </c>
    </row>
    <row r="34" spans="1:45" x14ac:dyDescent="0.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5"/>
        <v/>
      </c>
      <c r="S34" s="112" t="str">
        <f t="shared" ca="1" si="16"/>
        <v/>
      </c>
      <c r="T34" s="112" t="str">
        <f ca="1">IF($Q34&lt;&gt;"",VLOOKUP($Q34,E34:$O$100,COLUMN()-13,FALSE),"")</f>
        <v/>
      </c>
      <c r="U34" s="112" t="str">
        <f t="shared" ca="1" si="14"/>
        <v/>
      </c>
      <c r="V34" s="112" t="str">
        <f t="shared" ca="1" si="14"/>
        <v/>
      </c>
      <c r="W34" s="112" t="str">
        <f t="shared" ca="1" si="17"/>
        <v/>
      </c>
      <c r="X34" s="112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8"/>
        <v/>
      </c>
      <c r="AA34" t="str">
        <f t="shared" ca="1" si="19"/>
        <v/>
      </c>
      <c r="AC34" t="str">
        <f t="shared" ca="1" si="20"/>
        <v/>
      </c>
      <c r="AD34" s="65" t="str">
        <f t="array" aca="1" ref="AD34" ca="1">IF(AND(IFERROR(COUNTIF(INDIRECT("R"&amp;IFERROR(SMALL(IF(AC$1:AC$160&lt;&gt;0,AC$1:AC$160),ROW(A34)),"")&amp;""),"*雙葉*"),0),COUNTIF(AE$1:AE33,"*雙葉*")),"",
IFERROR(SMALL(IF(AC$1:AC$160&lt;&gt;0,AC$1:AC$160),ROW(A34)),""))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1"/>
        <v/>
      </c>
      <c r="AM34" s="65" t="str">
        <f t="shared" ca="1" si="22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3"/>
        <v/>
      </c>
      <c r="AR34" s="65">
        <f t="shared" ca="1" si="24"/>
        <v>0</v>
      </c>
      <c r="AS34" s="65">
        <f t="shared" ca="1" si="25"/>
        <v>0</v>
      </c>
    </row>
    <row r="35" spans="1:45" x14ac:dyDescent="0.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5"/>
        <v/>
      </c>
      <c r="S35" s="112" t="str">
        <f t="shared" ca="1" si="16"/>
        <v/>
      </c>
      <c r="T35" s="112" t="str">
        <f ca="1">IF($Q35&lt;&gt;"",VLOOKUP($Q35,E35:$O$100,COLUMN()-13,FALSE),"")</f>
        <v/>
      </c>
      <c r="U35" s="112" t="str">
        <f t="shared" ca="1" si="14"/>
        <v/>
      </c>
      <c r="V35" s="112" t="str">
        <f t="shared" ca="1" si="14"/>
        <v/>
      </c>
      <c r="W35" s="112" t="str">
        <f t="shared" ca="1" si="17"/>
        <v/>
      </c>
      <c r="X35" s="112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8"/>
        <v/>
      </c>
      <c r="AA35" t="str">
        <f t="shared" ca="1" si="19"/>
        <v/>
      </c>
      <c r="AC35" t="str">
        <f t="shared" ca="1" si="20"/>
        <v/>
      </c>
      <c r="AD35" s="65" t="str">
        <f t="array" aca="1" ref="AD35" ca="1">IF(AND(IFERROR(COUNTIF(INDIRECT("R"&amp;IFERROR(SMALL(IF(AC$1:AC$160&lt;&gt;0,AC$1:AC$160),ROW(A35)),"")&amp;""),"*雙葉*"),0),COUNTIF(AE$1:AE34,"*雙葉*")),"",
IFERROR(SMALL(IF(AC$1:AC$160&lt;&gt;0,AC$1:AC$160),ROW(A35)),""))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1"/>
        <v/>
      </c>
      <c r="AM35" s="65" t="str">
        <f t="shared" ca="1" si="22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3"/>
        <v/>
      </c>
      <c r="AR35" s="65">
        <f t="shared" ca="1" si="24"/>
        <v>0</v>
      </c>
      <c r="AS35" s="65">
        <f t="shared" ca="1" si="25"/>
        <v>0</v>
      </c>
    </row>
    <row r="36" spans="1:45" x14ac:dyDescent="0.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5"/>
        <v/>
      </c>
      <c r="S36" s="112" t="str">
        <f t="shared" ca="1" si="16"/>
        <v/>
      </c>
      <c r="T36" s="112" t="str">
        <f ca="1">IF($Q36&lt;&gt;"",VLOOKUP($Q36,E36:$O$100,COLUMN()-13,FALSE),"")</f>
        <v/>
      </c>
      <c r="U36" s="112" t="str">
        <f t="shared" ca="1" si="14"/>
        <v/>
      </c>
      <c r="V36" s="112" t="str">
        <f t="shared" ca="1" si="14"/>
        <v/>
      </c>
      <c r="W36" s="112" t="str">
        <f t="shared" ca="1" si="17"/>
        <v/>
      </c>
      <c r="X36" s="112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8"/>
        <v/>
      </c>
      <c r="AA36" t="str">
        <f t="shared" ca="1" si="19"/>
        <v/>
      </c>
      <c r="AC36" t="str">
        <f t="shared" ca="1" si="20"/>
        <v/>
      </c>
      <c r="AD36" s="65" t="str">
        <f t="array" aca="1" ref="AD36" ca="1">IF(AND(IFERROR(COUNTIF(INDIRECT("R"&amp;IFERROR(SMALL(IF(AC$1:AC$160&lt;&gt;0,AC$1:AC$160),ROW(A36)),"")&amp;""),"*雙葉*"),0),COUNTIF(AE$1:AE35,"*雙葉*")),"",
IFERROR(SMALL(IF(AC$1:AC$160&lt;&gt;0,AC$1:AC$160),ROW(A36)),""))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1"/>
        <v/>
      </c>
      <c r="AM36" s="65" t="str">
        <f t="shared" ca="1" si="22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3"/>
        <v/>
      </c>
      <c r="AR36" s="65">
        <f t="shared" ca="1" si="24"/>
        <v>0</v>
      </c>
      <c r="AS36" s="65">
        <f t="shared" ca="1" si="25"/>
        <v>0</v>
      </c>
    </row>
    <row r="37" spans="1:45" x14ac:dyDescent="0.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5"/>
        <v/>
      </c>
      <c r="S37" s="112" t="str">
        <f t="shared" ca="1" si="16"/>
        <v/>
      </c>
      <c r="T37" s="112" t="str">
        <f ca="1">IF($Q37&lt;&gt;"",VLOOKUP($Q37,E37:$O$100,COLUMN()-13,FALSE),"")</f>
        <v/>
      </c>
      <c r="U37" s="112" t="str">
        <f t="shared" ca="1" si="14"/>
        <v/>
      </c>
      <c r="V37" s="112" t="str">
        <f t="shared" ca="1" si="14"/>
        <v/>
      </c>
      <c r="W37" s="112" t="str">
        <f t="shared" ca="1" si="17"/>
        <v/>
      </c>
      <c r="X37" s="112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8"/>
        <v/>
      </c>
      <c r="AA37" t="str">
        <f t="shared" ca="1" si="19"/>
        <v/>
      </c>
      <c r="AC37" t="str">
        <f t="shared" ca="1" si="20"/>
        <v/>
      </c>
      <c r="AD37" s="65" t="str">
        <f t="array" aca="1" ref="AD37" ca="1">IF(AND(IFERROR(COUNTIF(INDIRECT("R"&amp;IFERROR(SMALL(IF(AC$1:AC$160&lt;&gt;0,AC$1:AC$160),ROW(A37)),"")&amp;""),"*雙葉*"),0),COUNTIF(AE$1:AE36,"*雙葉*")),"",
IFERROR(SMALL(IF(AC$1:AC$160&lt;&gt;0,AC$1:AC$160),ROW(A37)),""))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1"/>
        <v/>
      </c>
      <c r="AM37" s="65" t="str">
        <f t="shared" ca="1" si="22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3"/>
        <v/>
      </c>
      <c r="AR37" s="65">
        <f t="shared" ca="1" si="24"/>
        <v>0</v>
      </c>
      <c r="AS37" s="65">
        <f t="shared" ca="1" si="25"/>
        <v>0</v>
      </c>
    </row>
    <row r="38" spans="1:45" x14ac:dyDescent="0.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5"/>
        <v/>
      </c>
      <c r="S38" s="112" t="str">
        <f t="shared" ca="1" si="16"/>
        <v/>
      </c>
      <c r="T38" s="112" t="str">
        <f ca="1">IF($Q38&lt;&gt;"",VLOOKUP($Q38,E38:$O$100,COLUMN()-13,FALSE),"")</f>
        <v/>
      </c>
      <c r="U38" s="112" t="str">
        <f t="shared" ca="1" si="14"/>
        <v/>
      </c>
      <c r="V38" s="112" t="str">
        <f t="shared" ca="1" si="14"/>
        <v/>
      </c>
      <c r="W38" s="112" t="str">
        <f t="shared" ca="1" si="17"/>
        <v/>
      </c>
      <c r="X38" s="112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8"/>
        <v/>
      </c>
      <c r="AA38" t="str">
        <f t="shared" ca="1" si="19"/>
        <v/>
      </c>
      <c r="AC38" t="str">
        <f t="shared" ca="1" si="20"/>
        <v/>
      </c>
      <c r="AD38" s="65" t="str">
        <f t="array" aca="1" ref="AD38" ca="1">IF(AND(IFERROR(COUNTIF(INDIRECT("R"&amp;IFERROR(SMALL(IF(AC$1:AC$160&lt;&gt;0,AC$1:AC$160),ROW(A38)),"")&amp;""),"*雙葉*"),0),COUNTIF(AE$1:AE37,"*雙葉*")),"",
IFERROR(SMALL(IF(AC$1:AC$160&lt;&gt;0,AC$1:AC$160),ROW(A38)),""))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1"/>
        <v/>
      </c>
      <c r="AM38" s="65" t="str">
        <f t="shared" ca="1" si="22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3"/>
        <v/>
      </c>
      <c r="AR38" s="65">
        <f t="shared" ca="1" si="24"/>
        <v>0</v>
      </c>
      <c r="AS38" s="65">
        <f t="shared" ca="1" si="25"/>
        <v>0</v>
      </c>
    </row>
    <row r="39" spans="1:45" x14ac:dyDescent="0.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5"/>
        <v/>
      </c>
      <c r="S39" s="112" t="str">
        <f t="shared" ca="1" si="16"/>
        <v/>
      </c>
      <c r="T39" s="112" t="str">
        <f ca="1">IF($Q39&lt;&gt;"",VLOOKUP($Q39,E39:$O$100,COLUMN()-13,FALSE),"")</f>
        <v/>
      </c>
      <c r="U39" s="112" t="str">
        <f t="shared" ca="1" si="14"/>
        <v/>
      </c>
      <c r="V39" s="112" t="str">
        <f t="shared" ca="1" si="14"/>
        <v/>
      </c>
      <c r="W39" s="112" t="str">
        <f t="shared" ca="1" si="17"/>
        <v/>
      </c>
      <c r="X39" s="112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8"/>
        <v/>
      </c>
      <c r="AA39" t="str">
        <f t="shared" ca="1" si="19"/>
        <v/>
      </c>
      <c r="AC39" t="str">
        <f t="shared" ca="1" si="20"/>
        <v/>
      </c>
      <c r="AD39" s="65" t="str">
        <f t="array" aca="1" ref="AD39" ca="1">IF(AND(IFERROR(COUNTIF(INDIRECT("R"&amp;IFERROR(SMALL(IF(AC$1:AC$160&lt;&gt;0,AC$1:AC$160),ROW(A39)),"")&amp;""),"*雙葉*"),0),COUNTIF(AE$1:AE38,"*雙葉*")),"",
IFERROR(SMALL(IF(AC$1:AC$160&lt;&gt;0,AC$1:AC$160),ROW(A39)),""))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1"/>
        <v/>
      </c>
      <c r="AM39" s="65" t="str">
        <f t="shared" ca="1" si="22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3"/>
        <v/>
      </c>
      <c r="AR39" s="65">
        <f t="shared" ca="1" si="24"/>
        <v>0</v>
      </c>
      <c r="AS39" s="65">
        <f t="shared" ca="1" si="25"/>
        <v>0</v>
      </c>
    </row>
    <row r="40" spans="1:45" x14ac:dyDescent="0.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5"/>
        <v/>
      </c>
      <c r="S40" s="112" t="str">
        <f t="shared" ca="1" si="16"/>
        <v/>
      </c>
      <c r="T40" s="112" t="str">
        <f ca="1">IF($Q40&lt;&gt;"",VLOOKUP($Q40,E40:$O$100,COLUMN()-13,FALSE),"")</f>
        <v/>
      </c>
      <c r="U40" s="112" t="str">
        <f t="shared" ca="1" si="14"/>
        <v/>
      </c>
      <c r="V40" s="112" t="str">
        <f t="shared" ca="1" si="14"/>
        <v/>
      </c>
      <c r="W40" s="112" t="str">
        <f t="shared" ca="1" si="17"/>
        <v/>
      </c>
      <c r="X40" s="112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8"/>
        <v/>
      </c>
      <c r="AA40" t="str">
        <f t="shared" ca="1" si="19"/>
        <v/>
      </c>
      <c r="AC40" t="str">
        <f t="shared" ca="1" si="20"/>
        <v/>
      </c>
      <c r="AD40" s="65" t="str">
        <f t="array" aca="1" ref="AD40" ca="1">IF(AND(IFERROR(COUNTIF(INDIRECT("R"&amp;IFERROR(SMALL(IF(AC$1:AC$160&lt;&gt;0,AC$1:AC$160),ROW(A40)),"")&amp;""),"*雙葉*"),0),COUNTIF(AE$1:AE39,"*雙葉*")),"",
IFERROR(SMALL(IF(AC$1:AC$160&lt;&gt;0,AC$1:AC$160),ROW(A40)),""))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1"/>
        <v/>
      </c>
      <c r="AM40" s="65" t="str">
        <f t="shared" ca="1" si="22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3"/>
        <v/>
      </c>
      <c r="AR40" s="65">
        <f t="shared" ca="1" si="24"/>
        <v>0</v>
      </c>
      <c r="AS40" s="65">
        <f t="shared" ca="1" si="25"/>
        <v>0</v>
      </c>
    </row>
    <row r="41" spans="1:45" x14ac:dyDescent="0.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5"/>
        <v/>
      </c>
      <c r="S41" s="112" t="str">
        <f t="shared" ca="1" si="16"/>
        <v/>
      </c>
      <c r="T41" s="112" t="str">
        <f ca="1">IF($Q41&lt;&gt;"",VLOOKUP($Q41,E41:$O$100,COLUMN()-13,FALSE),"")</f>
        <v/>
      </c>
      <c r="U41" s="112" t="str">
        <f t="shared" ref="U41:V50" ca="1" si="26">IF($Q41&lt;&gt;"",VLOOKUP($Q41,$E$1:$O$100,COLUMN()-13,FALSE),"")</f>
        <v/>
      </c>
      <c r="V41" s="112" t="str">
        <f t="shared" ca="1" si="26"/>
        <v/>
      </c>
      <c r="W41" s="112" t="str">
        <f t="shared" ca="1" si="17"/>
        <v/>
      </c>
      <c r="X41" s="112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8"/>
        <v/>
      </c>
      <c r="AA41" t="str">
        <f t="shared" ca="1" si="19"/>
        <v/>
      </c>
      <c r="AC41" t="str">
        <f t="shared" ca="1" si="20"/>
        <v/>
      </c>
      <c r="AD41" s="65" t="str">
        <f t="array" aca="1" ref="AD41" ca="1">IF(AND(IFERROR(COUNTIF(INDIRECT("R"&amp;IFERROR(SMALL(IF(AC$1:AC$160&lt;&gt;0,AC$1:AC$160),ROW(A41)),"")&amp;""),"*雙葉*"),0),COUNTIF(AE$1:AE40,"*雙葉*")),"",
IFERROR(SMALL(IF(AC$1:AC$160&lt;&gt;0,AC$1:AC$160),ROW(A41)),""))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1"/>
        <v/>
      </c>
      <c r="AM41" s="65" t="str">
        <f t="shared" ca="1" si="22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3"/>
        <v/>
      </c>
      <c r="AR41" s="65">
        <f t="shared" ca="1" si="24"/>
        <v>0</v>
      </c>
      <c r="AS41" s="65">
        <f t="shared" ca="1" si="25"/>
        <v>0</v>
      </c>
    </row>
    <row r="42" spans="1:45" x14ac:dyDescent="0.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5"/>
        <v/>
      </c>
      <c r="S42" s="112" t="str">
        <f t="shared" ca="1" si="16"/>
        <v/>
      </c>
      <c r="T42" s="112" t="str">
        <f ca="1">IF($Q42&lt;&gt;"",VLOOKUP($Q42,E42:$O$100,COLUMN()-13,FALSE),"")</f>
        <v/>
      </c>
      <c r="U42" s="112" t="str">
        <f t="shared" ca="1" si="26"/>
        <v/>
      </c>
      <c r="V42" s="112" t="str">
        <f t="shared" ca="1" si="26"/>
        <v/>
      </c>
      <c r="W42" s="112" t="str">
        <f t="shared" ca="1" si="17"/>
        <v/>
      </c>
      <c r="X42" s="112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8"/>
        <v/>
      </c>
      <c r="AA42" t="str">
        <f t="shared" ca="1" si="19"/>
        <v/>
      </c>
      <c r="AC42" t="str">
        <f t="shared" ca="1" si="20"/>
        <v/>
      </c>
      <c r="AD42" s="65" t="str">
        <f t="array" aca="1" ref="AD42" ca="1">IF(AND(IFERROR(COUNTIF(INDIRECT("R"&amp;IFERROR(SMALL(IF(AC$1:AC$160&lt;&gt;0,AC$1:AC$160),ROW(A42)),"")&amp;""),"*雙葉*"),0),COUNTIF(AE$1:AE41,"*雙葉*")),"",
IFERROR(SMALL(IF(AC$1:AC$160&lt;&gt;0,AC$1:AC$160),ROW(A42)),""))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1"/>
        <v/>
      </c>
      <c r="AM42" s="65" t="str">
        <f t="shared" ca="1" si="22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3"/>
        <v/>
      </c>
      <c r="AR42" s="65">
        <f t="shared" ca="1" si="24"/>
        <v>0</v>
      </c>
      <c r="AS42" s="65">
        <f t="shared" ca="1" si="25"/>
        <v>0</v>
      </c>
    </row>
    <row r="43" spans="1:45" x14ac:dyDescent="0.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5"/>
        <v/>
      </c>
      <c r="S43" s="112" t="str">
        <f t="shared" ca="1" si="16"/>
        <v/>
      </c>
      <c r="T43" s="112" t="str">
        <f ca="1">IF($Q43&lt;&gt;"",VLOOKUP($Q43,E43:$O$100,COLUMN()-13,FALSE),"")</f>
        <v/>
      </c>
      <c r="U43" s="112" t="str">
        <f t="shared" ca="1" si="26"/>
        <v/>
      </c>
      <c r="V43" s="112" t="str">
        <f t="shared" ca="1" si="26"/>
        <v/>
      </c>
      <c r="W43" s="112" t="str">
        <f t="shared" ca="1" si="17"/>
        <v/>
      </c>
      <c r="X43" s="112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8"/>
        <v/>
      </c>
      <c r="AA43" t="str">
        <f t="shared" ca="1" si="19"/>
        <v/>
      </c>
      <c r="AC43" t="str">
        <f t="shared" ca="1" si="20"/>
        <v/>
      </c>
      <c r="AD43" s="65" t="str">
        <f t="array" aca="1" ref="AD43" ca="1">IF(AND(IFERROR(COUNTIF(INDIRECT("R"&amp;IFERROR(SMALL(IF(AC$1:AC$160&lt;&gt;0,AC$1:AC$160),ROW(A43)),"")&amp;""),"*雙葉*"),0),COUNTIF(AE$1:AE42,"*雙葉*")),"",
IFERROR(SMALL(IF(AC$1:AC$160&lt;&gt;0,AC$1:AC$160),ROW(A43)),""))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1"/>
        <v/>
      </c>
      <c r="AM43" s="65" t="str">
        <f t="shared" ca="1" si="22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3"/>
        <v/>
      </c>
      <c r="AR43" s="65">
        <f t="shared" ca="1" si="24"/>
        <v>0</v>
      </c>
      <c r="AS43" s="65">
        <f t="shared" ca="1" si="25"/>
        <v>0</v>
      </c>
    </row>
    <row r="44" spans="1:45" x14ac:dyDescent="0.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5"/>
        <v/>
      </c>
      <c r="S44" s="112" t="str">
        <f t="shared" ca="1" si="16"/>
        <v/>
      </c>
      <c r="T44" s="112" t="str">
        <f ca="1">IF($Q44&lt;&gt;"",VLOOKUP($Q44,E44:$O$100,COLUMN()-13,FALSE),"")</f>
        <v/>
      </c>
      <c r="U44" s="112" t="str">
        <f t="shared" ca="1" si="26"/>
        <v/>
      </c>
      <c r="V44" s="112" t="str">
        <f t="shared" ca="1" si="26"/>
        <v/>
      </c>
      <c r="W44" s="112" t="str">
        <f t="shared" ca="1" si="17"/>
        <v/>
      </c>
      <c r="X44" s="112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8"/>
        <v/>
      </c>
      <c r="AA44" t="str">
        <f t="shared" ca="1" si="19"/>
        <v/>
      </c>
      <c r="AC44" t="str">
        <f t="shared" ca="1" si="20"/>
        <v/>
      </c>
      <c r="AD44" s="65" t="str">
        <f t="array" aca="1" ref="AD44" ca="1">IF(AND(IFERROR(COUNTIF(INDIRECT("R"&amp;IFERROR(SMALL(IF(AC$1:AC$160&lt;&gt;0,AC$1:AC$160),ROW(A44)),"")&amp;""),"*雙葉*"),0),COUNTIF(AE$1:AE43,"*雙葉*")),"",
IFERROR(SMALL(IF(AC$1:AC$160&lt;&gt;0,AC$1:AC$160),ROW(A44)),""))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1"/>
        <v/>
      </c>
      <c r="AM44" s="65" t="str">
        <f t="shared" ca="1" si="22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3"/>
        <v/>
      </c>
      <c r="AR44" s="65">
        <f t="shared" ca="1" si="24"/>
        <v>0</v>
      </c>
      <c r="AS44" s="65">
        <f t="shared" ca="1" si="25"/>
        <v>0</v>
      </c>
    </row>
    <row r="45" spans="1:45" x14ac:dyDescent="0.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5"/>
        <v/>
      </c>
      <c r="S45" s="112" t="str">
        <f t="shared" ca="1" si="16"/>
        <v/>
      </c>
      <c r="T45" s="112" t="str">
        <f ca="1">IF($Q45&lt;&gt;"",VLOOKUP($Q45,E45:$O$100,COLUMN()-13,FALSE),"")</f>
        <v/>
      </c>
      <c r="U45" s="112" t="str">
        <f t="shared" ca="1" si="26"/>
        <v/>
      </c>
      <c r="V45" s="112" t="str">
        <f t="shared" ca="1" si="26"/>
        <v/>
      </c>
      <c r="W45" s="112" t="str">
        <f t="shared" ca="1" si="17"/>
        <v/>
      </c>
      <c r="X45" s="112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8"/>
        <v/>
      </c>
      <c r="AA45" t="str">
        <f t="shared" ca="1" si="19"/>
        <v/>
      </c>
      <c r="AC45" t="str">
        <f t="shared" ca="1" si="20"/>
        <v/>
      </c>
      <c r="AD45" s="65" t="str">
        <f t="array" aca="1" ref="AD45" ca="1">IF(AND(IFERROR(COUNTIF(INDIRECT("R"&amp;IFERROR(SMALL(IF(AC$1:AC$160&lt;&gt;0,AC$1:AC$160),ROW(A45)),"")&amp;""),"*雙葉*"),0),COUNTIF(AE$1:AE44,"*雙葉*")),"",
IFERROR(SMALL(IF(AC$1:AC$160&lt;&gt;0,AC$1:AC$160),ROW(A45)),""))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1"/>
        <v/>
      </c>
      <c r="AM45" s="65" t="str">
        <f t="shared" ca="1" si="22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3"/>
        <v/>
      </c>
      <c r="AR45" s="65">
        <f t="shared" ca="1" si="24"/>
        <v>0</v>
      </c>
      <c r="AS45" s="65">
        <f t="shared" ca="1" si="25"/>
        <v>0</v>
      </c>
    </row>
    <row r="46" spans="1:45" x14ac:dyDescent="0.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5"/>
        <v/>
      </c>
      <c r="S46" s="112" t="str">
        <f t="shared" ca="1" si="16"/>
        <v/>
      </c>
      <c r="T46" s="112" t="str">
        <f ca="1">IF($Q46&lt;&gt;"",VLOOKUP($Q46,E46:$O$100,COLUMN()-13,FALSE),"")</f>
        <v/>
      </c>
      <c r="U46" s="112" t="str">
        <f t="shared" ca="1" si="26"/>
        <v/>
      </c>
      <c r="V46" s="112" t="str">
        <f t="shared" ca="1" si="26"/>
        <v/>
      </c>
      <c r="W46" s="112" t="str">
        <f t="shared" ca="1" si="17"/>
        <v/>
      </c>
      <c r="X46" s="112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8"/>
        <v/>
      </c>
      <c r="AA46" t="str">
        <f t="shared" ca="1" si="19"/>
        <v/>
      </c>
      <c r="AC46" t="str">
        <f t="shared" ca="1" si="20"/>
        <v/>
      </c>
      <c r="AD46" s="65" t="str">
        <f t="array" aca="1" ref="AD46" ca="1">IF(AND(IFERROR(COUNTIF(INDIRECT("R"&amp;IFERROR(SMALL(IF(AC$1:AC$160&lt;&gt;0,AC$1:AC$160),ROW(A46)),"")&amp;""),"*雙葉*"),0),COUNTIF(AE$1:AE45,"*雙葉*")),"",
IFERROR(SMALL(IF(AC$1:AC$160&lt;&gt;0,AC$1:AC$160),ROW(A46)),""))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1"/>
        <v/>
      </c>
      <c r="AM46" s="65" t="str">
        <f t="shared" ca="1" si="22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3"/>
        <v/>
      </c>
      <c r="AR46" s="65">
        <f t="shared" ca="1" si="24"/>
        <v>0</v>
      </c>
      <c r="AS46" s="65">
        <f t="shared" ca="1" si="25"/>
        <v>0</v>
      </c>
    </row>
    <row r="47" spans="1:45" x14ac:dyDescent="0.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5"/>
        <v/>
      </c>
      <c r="S47" s="112" t="str">
        <f t="shared" ca="1" si="16"/>
        <v/>
      </c>
      <c r="T47" s="112" t="str">
        <f ca="1">IF($Q47&lt;&gt;"",VLOOKUP($Q47,E47:$O$100,COLUMN()-13,FALSE),"")</f>
        <v/>
      </c>
      <c r="U47" s="112" t="str">
        <f t="shared" ca="1" si="26"/>
        <v/>
      </c>
      <c r="V47" s="112" t="str">
        <f t="shared" ca="1" si="26"/>
        <v/>
      </c>
      <c r="W47" s="112" t="str">
        <f t="shared" ca="1" si="17"/>
        <v/>
      </c>
      <c r="X47" s="112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8"/>
        <v/>
      </c>
      <c r="AA47" t="str">
        <f t="shared" ca="1" si="19"/>
        <v/>
      </c>
      <c r="AC47" t="str">
        <f t="shared" ca="1" si="20"/>
        <v/>
      </c>
      <c r="AD47" s="65" t="str">
        <f t="array" aca="1" ref="AD47" ca="1">IF(AND(IFERROR(COUNTIF(INDIRECT("R"&amp;IFERROR(SMALL(IF(AC$1:AC$160&lt;&gt;0,AC$1:AC$160),ROW(A47)),"")&amp;""),"*雙葉*"),0),COUNTIF(AE$1:AE46,"*雙葉*")),"",
IFERROR(SMALL(IF(AC$1:AC$160&lt;&gt;0,AC$1:AC$160),ROW(A47)),""))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1"/>
        <v/>
      </c>
      <c r="AM47" s="65" t="str">
        <f t="shared" ca="1" si="22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3"/>
        <v/>
      </c>
      <c r="AR47" s="65">
        <f t="shared" ca="1" si="24"/>
        <v>0</v>
      </c>
      <c r="AS47" s="65">
        <f t="shared" ca="1" si="25"/>
        <v>0</v>
      </c>
    </row>
    <row r="48" spans="1:45" x14ac:dyDescent="0.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5"/>
        <v/>
      </c>
      <c r="S48" s="112" t="str">
        <f t="shared" ca="1" si="16"/>
        <v/>
      </c>
      <c r="T48" s="112" t="str">
        <f ca="1">IF($Q48&lt;&gt;"",VLOOKUP($Q48,E48:$O$100,COLUMN()-13,FALSE),"")</f>
        <v/>
      </c>
      <c r="U48" s="112" t="str">
        <f t="shared" ca="1" si="26"/>
        <v/>
      </c>
      <c r="V48" s="112" t="str">
        <f t="shared" ca="1" si="26"/>
        <v/>
      </c>
      <c r="W48" s="112" t="str">
        <f t="shared" ca="1" si="17"/>
        <v/>
      </c>
      <c r="X48" s="112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8"/>
        <v/>
      </c>
      <c r="AA48" t="str">
        <f t="shared" ca="1" si="19"/>
        <v/>
      </c>
      <c r="AC48" t="str">
        <f t="shared" ca="1" si="20"/>
        <v/>
      </c>
      <c r="AD48" s="65" t="str">
        <f t="array" aca="1" ref="AD48" ca="1">IF(AND(IFERROR(COUNTIF(INDIRECT("R"&amp;IFERROR(SMALL(IF(AC$1:AC$160&lt;&gt;0,AC$1:AC$160),ROW(A48)),"")&amp;""),"*雙葉*"),0),COUNTIF(AE$1:AE47,"*雙葉*")),"",
IFERROR(SMALL(IF(AC$1:AC$160&lt;&gt;0,AC$1:AC$160),ROW(A48)),""))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1"/>
        <v/>
      </c>
      <c r="AM48" s="65" t="str">
        <f t="shared" ca="1" si="22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3"/>
        <v/>
      </c>
      <c r="AR48" s="65">
        <f t="shared" ca="1" si="24"/>
        <v>0</v>
      </c>
      <c r="AS48" s="65">
        <f t="shared" ca="1" si="25"/>
        <v>0</v>
      </c>
    </row>
    <row r="49" spans="6:45" x14ac:dyDescent="0.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5"/>
        <v/>
      </c>
      <c r="S49" s="112" t="str">
        <f t="shared" ca="1" si="16"/>
        <v/>
      </c>
      <c r="T49" s="112" t="str">
        <f ca="1">IF($Q49&lt;&gt;"",VLOOKUP($Q49,E49:$O$100,COLUMN()-13,FALSE),"")</f>
        <v/>
      </c>
      <c r="U49" s="112" t="str">
        <f t="shared" ca="1" si="26"/>
        <v/>
      </c>
      <c r="V49" s="112" t="str">
        <f t="shared" ca="1" si="26"/>
        <v/>
      </c>
      <c r="W49" s="112" t="str">
        <f t="shared" ca="1" si="17"/>
        <v/>
      </c>
      <c r="X49" s="112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8"/>
        <v/>
      </c>
      <c r="AA49" t="str">
        <f t="shared" ca="1" si="19"/>
        <v/>
      </c>
      <c r="AC49" t="str">
        <f t="shared" ca="1" si="20"/>
        <v/>
      </c>
      <c r="AD49" s="65" t="str">
        <f t="array" aca="1" ref="AD49" ca="1">IF(AND(IFERROR(COUNTIF(INDIRECT("R"&amp;IFERROR(SMALL(IF(AC$1:AC$160&lt;&gt;0,AC$1:AC$160),ROW(A49)),"")&amp;""),"*雙葉*"),0),COUNTIF(AE$1:AE48,"*雙葉*")),"",
IFERROR(SMALL(IF(AC$1:AC$160&lt;&gt;0,AC$1:AC$160),ROW(A49)),""))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1"/>
        <v/>
      </c>
      <c r="AM49" s="65" t="str">
        <f t="shared" ca="1" si="22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3"/>
        <v/>
      </c>
      <c r="AR49" s="65">
        <f t="shared" ca="1" si="24"/>
        <v>0</v>
      </c>
      <c r="AS49" s="65">
        <f t="shared" ca="1" si="25"/>
        <v>0</v>
      </c>
    </row>
    <row r="50" spans="6:45" x14ac:dyDescent="0.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5"/>
        <v/>
      </c>
      <c r="S50" s="112" t="str">
        <f t="shared" ca="1" si="16"/>
        <v/>
      </c>
      <c r="T50" s="112" t="str">
        <f ca="1">IF($Q50&lt;&gt;"",VLOOKUP($Q50,E50:$O$100,COLUMN()-13,FALSE),"")</f>
        <v/>
      </c>
      <c r="U50" s="112" t="str">
        <f t="shared" ca="1" si="26"/>
        <v/>
      </c>
      <c r="V50" s="112" t="str">
        <f t="shared" ca="1" si="26"/>
        <v/>
      </c>
      <c r="W50" s="112" t="str">
        <f t="shared" ca="1" si="17"/>
        <v/>
      </c>
      <c r="X50" s="112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8"/>
        <v/>
      </c>
      <c r="AA50" t="str">
        <f t="shared" ca="1" si="19"/>
        <v/>
      </c>
      <c r="AC50" t="str">
        <f t="shared" ca="1" si="20"/>
        <v/>
      </c>
      <c r="AD50" s="65" t="str">
        <f t="array" aca="1" ref="AD50" ca="1">IF(AND(IFERROR(COUNTIF(INDIRECT("R"&amp;IFERROR(SMALL(IF(AC$1:AC$160&lt;&gt;0,AC$1:AC$160),ROW(A50)),"")&amp;""),"*雙葉*"),0),COUNTIF(AE$1:AE49,"*雙葉*")),"",
IFERROR(SMALL(IF(AC$1:AC$160&lt;&gt;0,AC$1:AC$160),ROW(A50)),""))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1"/>
        <v/>
      </c>
      <c r="AM50" s="65" t="str">
        <f t="shared" ca="1" si="22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3"/>
        <v/>
      </c>
      <c r="AR50" s="65">
        <f t="shared" ca="1" si="24"/>
        <v>0</v>
      </c>
      <c r="AS50" s="65">
        <f t="shared" ca="1" si="25"/>
        <v>0</v>
      </c>
    </row>
    <row r="51" spans="6:45" x14ac:dyDescent="0.45">
      <c r="F51"/>
      <c r="P51"/>
      <c r="Q51" s="57" t="e">
        <f ca="1">IF(AND('盛付札（関数）'!AX1&lt;&gt;0,COUNTIF($Q$1:$Q$50,'盛付札（関数）'!AW1)=0,COUNTIF('盛付札（関数）'!AX1,"&lt;&gt;*-*"),'盛付札（関数）'!AY1&lt;&gt;0),'盛付札（関数）'!AW1,"")</f>
        <v>#VALUE!</v>
      </c>
      <c r="R51" s="57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#VALUE!</v>
      </c>
      <c r="S51" s="57" t="e">
        <f ca="1">IF($Q51&lt;&gt;"",OFFSET('盛付札（関数）'!$AF$1,MATCH(X51,'盛付札（関数）'!$AE$1:$AE$70,0)-1,1),"")</f>
        <v>#VALUE!</v>
      </c>
      <c r="T51" s="57" t="e">
        <f ca="1">IF($Q51&lt;&gt;"",OFFSET('盛付札（関数）'!$AF$1,MATCH(X51,'盛付札（関数）'!$AE$1:$AE$70,0)-1,4),"")</f>
        <v>#VALUE!</v>
      </c>
      <c r="U51" s="57" t="e">
        <f ca="1">IF($Q51&lt;&gt;"",OFFSET('盛付札（関数）'!$AF$1,MATCH(X51,'盛付札（関数）'!$AE$1:$AE$70,0)-1,5),"")</f>
        <v>#VALUE!</v>
      </c>
      <c r="V51" s="57" t="e">
        <f ca="1">IF($Q51&lt;&gt;"",OFFSET('盛付札（関数）'!$AF$1,MATCH(X51,'盛付札（関数）'!$AE$1:$AE$70,0)-1,9),"")</f>
        <v>#VALUE!</v>
      </c>
      <c r="W51" s="57" t="e">
        <f ca="1">IF($Q51&lt;&gt;"",OFFSET('盛付札（関数）'!$AF$1,MATCH(X51,'盛付札（関数）'!$AE$1:$AE$70,0)-1,6),"")</f>
        <v>#VALUE!</v>
      </c>
      <c r="X51" s="57" t="e">
        <f ca="1">IF(AND('盛付札（関数）'!AX1&lt;&gt;0,COUNTIF($Q$1:$Q$50,'盛付札（関数）'!AW1)=0,Q51&lt;&gt;""),'盛付札（関数）'!AE1,"")</f>
        <v>#VALUE!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#VALUE!</v>
      </c>
      <c r="Z51" t="e">
        <f t="shared" ca="1" si="18"/>
        <v>#VALUE!</v>
      </c>
      <c r="AA51" t="e">
        <f t="shared" ca="1" si="19"/>
        <v>#VALUE!</v>
      </c>
      <c r="AC51" t="e">
        <f t="shared" ca="1" si="20"/>
        <v>#VALUE!</v>
      </c>
      <c r="AD51" s="65" t="str">
        <f t="array" aca="1" ref="AD51" ca="1">IF(AND(IFERROR(COUNTIF(INDIRECT("R"&amp;IFERROR(SMALL(IF(AC$1:AC$160&lt;&gt;0,AC$1:AC$160),ROW(A51)),"")&amp;""),"*雙葉*"),0),COUNTIF(AE$1:AE50,"*雙葉*")),"",
IFERROR(SMALL(IF(AC$1:AC$160&lt;&gt;0,AC$1:AC$160),ROW(A51)),""))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1"/>
        <v/>
      </c>
      <c r="AM51" s="65" t="str">
        <f t="shared" ca="1" si="22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3"/>
        <v/>
      </c>
      <c r="AR51" s="65">
        <f t="shared" ca="1" si="24"/>
        <v>0</v>
      </c>
      <c r="AS51" s="65">
        <f t="shared" ca="1" si="25"/>
        <v>0</v>
      </c>
    </row>
    <row r="52" spans="6:45" x14ac:dyDescent="0.45">
      <c r="F52"/>
      <c r="P52"/>
      <c r="Q52" s="57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8"/>
        <v/>
      </c>
      <c r="AA52" t="str">
        <f t="shared" ca="1" si="19"/>
        <v/>
      </c>
      <c r="AC52" t="str">
        <f t="shared" ca="1" si="20"/>
        <v/>
      </c>
      <c r="AD52" s="65" t="str">
        <f t="array" aca="1" ref="AD52" ca="1">IF(AND(IFERROR(COUNTIF(INDIRECT("R"&amp;IFERROR(SMALL(IF(AC$1:AC$160&lt;&gt;0,AC$1:AC$160),ROW(A52)),"")&amp;""),"*雙葉*"),0),COUNTIF(AE$1:AE51,"*雙葉*")),"",
IFERROR(SMALL(IF(AC$1:AC$160&lt;&gt;0,AC$1:AC$160),ROW(A52)),""))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1"/>
        <v/>
      </c>
      <c r="AM52" s="65" t="str">
        <f t="shared" ca="1" si="22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3"/>
        <v/>
      </c>
      <c r="AR52" s="65">
        <f t="shared" ca="1" si="24"/>
        <v>0</v>
      </c>
      <c r="AS52" s="65">
        <f t="shared" ca="1" si="25"/>
        <v>0</v>
      </c>
    </row>
    <row r="53" spans="6:45" x14ac:dyDescent="0.45">
      <c r="F53"/>
      <c r="P53"/>
      <c r="Q53" s="57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8"/>
        <v/>
      </c>
      <c r="AA53" t="str">
        <f t="shared" ca="1" si="19"/>
        <v/>
      </c>
      <c r="AC53" t="str">
        <f t="shared" ca="1" si="20"/>
        <v/>
      </c>
      <c r="AD53" s="65" t="str">
        <f t="array" aca="1" ref="AD53" ca="1">IF(AND(IFERROR(COUNTIF(INDIRECT("R"&amp;IFERROR(SMALL(IF(AC$1:AC$160&lt;&gt;0,AC$1:AC$160),ROW(A53)),"")&amp;""),"*雙葉*"),0),COUNTIF(AE$1:AE52,"*雙葉*")),"",
IFERROR(SMALL(IF(AC$1:AC$160&lt;&gt;0,AC$1:AC$160),ROW(A53)),""))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1"/>
        <v/>
      </c>
      <c r="AM53" s="65" t="str">
        <f t="shared" ca="1" si="22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3"/>
        <v/>
      </c>
      <c r="AR53" s="65">
        <f t="shared" ca="1" si="24"/>
        <v>0</v>
      </c>
      <c r="AS53" s="65">
        <f t="shared" ca="1" si="25"/>
        <v>0</v>
      </c>
    </row>
    <row r="54" spans="6:45" x14ac:dyDescent="0.45">
      <c r="F54"/>
      <c r="P54"/>
      <c r="Q54" s="57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8"/>
        <v/>
      </c>
      <c r="AA54" t="str">
        <f t="shared" ca="1" si="19"/>
        <v/>
      </c>
      <c r="AC54" t="str">
        <f t="shared" ca="1" si="20"/>
        <v/>
      </c>
      <c r="AD54" s="65" t="str">
        <f t="array" aca="1" ref="AD54" ca="1">IF(AND(IFERROR(COUNTIF(INDIRECT("R"&amp;IFERROR(SMALL(IF(AC$1:AC$160&lt;&gt;0,AC$1:AC$160),ROW(A54)),"")&amp;""),"*雙葉*"),0),COUNTIF(AE$1:AE53,"*雙葉*")),"",
IFERROR(SMALL(IF(AC$1:AC$160&lt;&gt;0,AC$1:AC$160),ROW(A54)),""))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1"/>
        <v/>
      </c>
      <c r="AM54" s="65" t="str">
        <f t="shared" ca="1" si="22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3"/>
        <v/>
      </c>
      <c r="AR54" s="65">
        <f t="shared" ca="1" si="24"/>
        <v>0</v>
      </c>
      <c r="AS54" s="65">
        <f t="shared" ca="1" si="25"/>
        <v>0</v>
      </c>
    </row>
    <row r="55" spans="6:45" x14ac:dyDescent="0.45">
      <c r="F55"/>
      <c r="P55"/>
      <c r="Q55" s="57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8"/>
        <v/>
      </c>
      <c r="AA55" t="str">
        <f t="shared" ca="1" si="19"/>
        <v/>
      </c>
      <c r="AC55" t="str">
        <f t="shared" ca="1" si="20"/>
        <v/>
      </c>
      <c r="AD55" s="65" t="str">
        <f t="array" aca="1" ref="AD55" ca="1">IF(AND(IFERROR(COUNTIF(INDIRECT("R"&amp;IFERROR(SMALL(IF(AC$1:AC$160&lt;&gt;0,AC$1:AC$160),ROW(A55)),"")&amp;""),"*雙葉*"),0),COUNTIF(AE$1:AE54,"*雙葉*")),"",
IFERROR(SMALL(IF(AC$1:AC$160&lt;&gt;0,AC$1:AC$160),ROW(A55)),""))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1"/>
        <v/>
      </c>
      <c r="AM55" s="65" t="str">
        <f t="shared" ca="1" si="22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3"/>
        <v/>
      </c>
      <c r="AR55" s="65">
        <f t="shared" ca="1" si="24"/>
        <v>0</v>
      </c>
      <c r="AS55" s="65">
        <f t="shared" ca="1" si="25"/>
        <v>0</v>
      </c>
    </row>
    <row r="56" spans="6:45" x14ac:dyDescent="0.45">
      <c r="F56"/>
      <c r="P56"/>
      <c r="Q56" s="57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8"/>
        <v/>
      </c>
      <c r="AA56" t="str">
        <f t="shared" ca="1" si="19"/>
        <v/>
      </c>
      <c r="AC56" t="str">
        <f t="shared" ca="1" si="20"/>
        <v/>
      </c>
      <c r="AD56" s="65" t="str">
        <f t="array" aca="1" ref="AD56" ca="1">IF(AND(IFERROR(COUNTIF(INDIRECT("R"&amp;IFERROR(SMALL(IF(AC$1:AC$160&lt;&gt;0,AC$1:AC$160),ROW(A56)),"")&amp;""),"*雙葉*"),0),COUNTIF(AE$1:AE55,"*雙葉*")),"",
IFERROR(SMALL(IF(AC$1:AC$160&lt;&gt;0,AC$1:AC$160),ROW(A56)),""))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1"/>
        <v/>
      </c>
      <c r="AM56" s="65" t="str">
        <f t="shared" ca="1" si="22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3"/>
        <v/>
      </c>
      <c r="AR56" s="65">
        <f t="shared" ca="1" si="24"/>
        <v>0</v>
      </c>
      <c r="AS56" s="65">
        <f t="shared" ca="1" si="25"/>
        <v>0</v>
      </c>
    </row>
    <row r="57" spans="6:45" x14ac:dyDescent="0.45">
      <c r="F57"/>
      <c r="P57"/>
      <c r="Q57" s="57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8"/>
        <v/>
      </c>
      <c r="AA57" t="str">
        <f t="shared" ca="1" si="19"/>
        <v/>
      </c>
      <c r="AC57" t="str">
        <f t="shared" ca="1" si="20"/>
        <v/>
      </c>
      <c r="AD57" s="65" t="str">
        <f t="array" aca="1" ref="AD57" ca="1">IF(AND(IFERROR(COUNTIF(INDIRECT("R"&amp;IFERROR(SMALL(IF(AC$1:AC$160&lt;&gt;0,AC$1:AC$160),ROW(A57)),"")&amp;""),"*雙葉*"),0),COUNTIF(AE$1:AE56,"*雙葉*")),"",
IFERROR(SMALL(IF(AC$1:AC$160&lt;&gt;0,AC$1:AC$160),ROW(A57)),""))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1"/>
        <v/>
      </c>
      <c r="AM57" s="65" t="str">
        <f t="shared" ca="1" si="22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3"/>
        <v/>
      </c>
      <c r="AR57" s="65">
        <f t="shared" ca="1" si="24"/>
        <v>0</v>
      </c>
      <c r="AS57" s="65">
        <f t="shared" ca="1" si="25"/>
        <v>0</v>
      </c>
    </row>
    <row r="58" spans="6:45" x14ac:dyDescent="0.45">
      <c r="F58"/>
      <c r="P58"/>
      <c r="Q58" s="57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8"/>
        <v/>
      </c>
      <c r="AA58" t="str">
        <f t="shared" ca="1" si="19"/>
        <v/>
      </c>
      <c r="AC58" t="str">
        <f t="shared" ca="1" si="20"/>
        <v/>
      </c>
      <c r="AD58" s="65" t="str">
        <f t="array" aca="1" ref="AD58" ca="1">IF(AND(IFERROR(COUNTIF(INDIRECT("R"&amp;IFERROR(SMALL(IF(AC$1:AC$160&lt;&gt;0,AC$1:AC$160),ROW(A58)),"")&amp;""),"*雙葉*"),0),COUNTIF(AE$1:AE57,"*雙葉*")),"",
IFERROR(SMALL(IF(AC$1:AC$160&lt;&gt;0,AC$1:AC$160),ROW(A58)),""))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1"/>
        <v/>
      </c>
      <c r="AM58" s="65" t="str">
        <f t="shared" ca="1" si="22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3"/>
        <v/>
      </c>
      <c r="AR58" s="65">
        <f t="shared" ca="1" si="24"/>
        <v>0</v>
      </c>
      <c r="AS58" s="65">
        <f t="shared" ca="1" si="25"/>
        <v>0</v>
      </c>
    </row>
    <row r="59" spans="6:45" x14ac:dyDescent="0.45">
      <c r="F59"/>
      <c r="P59"/>
      <c r="Q59" s="57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8"/>
        <v/>
      </c>
      <c r="AA59" t="str">
        <f t="shared" ca="1" si="19"/>
        <v/>
      </c>
      <c r="AC59" t="str">
        <f t="shared" ca="1" si="20"/>
        <v/>
      </c>
      <c r="AD59" s="65" t="str">
        <f t="array" aca="1" ref="AD59" ca="1">IF(AND(IFERROR(COUNTIF(INDIRECT("R"&amp;IFERROR(SMALL(IF(AC$1:AC$160&lt;&gt;0,AC$1:AC$160),ROW(A59)),"")&amp;""),"*雙葉*"),0),COUNTIF(AE$1:AE58,"*雙葉*")),"",
IFERROR(SMALL(IF(AC$1:AC$160&lt;&gt;0,AC$1:AC$160),ROW(A59)),""))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1"/>
        <v/>
      </c>
      <c r="AM59" s="65" t="str">
        <f t="shared" ca="1" si="22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3"/>
        <v/>
      </c>
      <c r="AR59" s="65">
        <f t="shared" ca="1" si="24"/>
        <v>0</v>
      </c>
      <c r="AS59" s="65">
        <f t="shared" ca="1" si="25"/>
        <v>0</v>
      </c>
    </row>
    <row r="60" spans="6:45" x14ac:dyDescent="0.45">
      <c r="F60"/>
      <c r="P60"/>
      <c r="Q60" s="57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8"/>
        <v/>
      </c>
      <c r="AA60" t="str">
        <f t="shared" ca="1" si="19"/>
        <v/>
      </c>
      <c r="AC60" t="str">
        <f t="shared" ca="1" si="20"/>
        <v/>
      </c>
      <c r="AD60" s="65" t="str">
        <f t="array" aca="1" ref="AD60" ca="1">IF(AND(IFERROR(COUNTIF(INDIRECT("R"&amp;IFERROR(SMALL(IF(AC$1:AC$160&lt;&gt;0,AC$1:AC$160),ROW(A60)),"")&amp;""),"*雙葉*"),0),COUNTIF(AE$1:AE59,"*雙葉*")),"",
IFERROR(SMALL(IF(AC$1:AC$160&lt;&gt;0,AC$1:AC$160),ROW(A60)),""))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1"/>
        <v/>
      </c>
      <c r="AM60" s="65" t="str">
        <f t="shared" ca="1" si="22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3"/>
        <v/>
      </c>
      <c r="AR60" s="65">
        <f t="shared" ca="1" si="24"/>
        <v>0</v>
      </c>
      <c r="AS60" s="65">
        <f t="shared" ca="1" si="25"/>
        <v>0</v>
      </c>
    </row>
    <row r="61" spans="6:45" x14ac:dyDescent="0.45">
      <c r="F61"/>
      <c r="P61"/>
      <c r="Q61" s="57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8"/>
        <v/>
      </c>
      <c r="AA61" t="str">
        <f t="shared" ca="1" si="19"/>
        <v/>
      </c>
      <c r="AC61" t="str">
        <f t="shared" ca="1" si="20"/>
        <v/>
      </c>
      <c r="AD61" s="65" t="str">
        <f t="array" aca="1" ref="AD61" ca="1">IF(AND(IFERROR(COUNTIF(INDIRECT("R"&amp;IFERROR(SMALL(IF(AC$1:AC$160&lt;&gt;0,AC$1:AC$160),ROW(A61)),"")&amp;""),"*雙葉*"),0),COUNTIF(AE$1:AE60,"*雙葉*")),"",
IFERROR(SMALL(IF(AC$1:AC$160&lt;&gt;0,AC$1:AC$160),ROW(A61)),""))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1"/>
        <v/>
      </c>
      <c r="AM61" s="65" t="str">
        <f t="shared" ca="1" si="22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3"/>
        <v/>
      </c>
      <c r="AR61" s="65">
        <f t="shared" ca="1" si="24"/>
        <v>0</v>
      </c>
      <c r="AS61" s="65">
        <f t="shared" ca="1" si="25"/>
        <v>0</v>
      </c>
    </row>
    <row r="62" spans="6:45" x14ac:dyDescent="0.45">
      <c r="F62"/>
      <c r="P62"/>
      <c r="Q62" s="57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8"/>
        <v/>
      </c>
      <c r="AA62" t="str">
        <f t="shared" ca="1" si="19"/>
        <v/>
      </c>
      <c r="AC62" t="str">
        <f t="shared" ca="1" si="20"/>
        <v/>
      </c>
      <c r="AD62" s="65" t="str">
        <f t="array" aca="1" ref="AD62" ca="1">IF(AND(IFERROR(COUNTIF(INDIRECT("R"&amp;IFERROR(SMALL(IF(AC$1:AC$160&lt;&gt;0,AC$1:AC$160),ROW(A62)),"")&amp;""),"*雙葉*"),0),COUNTIF(AE$1:AE61,"*雙葉*")),"",
IFERROR(SMALL(IF(AC$1:AC$160&lt;&gt;0,AC$1:AC$160),ROW(A62)),""))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1"/>
        <v/>
      </c>
      <c r="AM62" s="65" t="str">
        <f t="shared" ca="1" si="22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3"/>
        <v/>
      </c>
      <c r="AR62" s="65">
        <f t="shared" ca="1" si="24"/>
        <v>0</v>
      </c>
      <c r="AS62" s="65">
        <f t="shared" ca="1" si="25"/>
        <v>0</v>
      </c>
    </row>
    <row r="63" spans="6:45" x14ac:dyDescent="0.45">
      <c r="F63"/>
      <c r="P63"/>
      <c r="Q63" s="57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8"/>
        <v/>
      </c>
      <c r="AA63" t="str">
        <f t="shared" ca="1" si="19"/>
        <v/>
      </c>
      <c r="AC63" t="str">
        <f t="shared" ca="1" si="20"/>
        <v/>
      </c>
      <c r="AD63" s="65" t="str">
        <f t="array" aca="1" ref="AD63" ca="1">IF(AND(IFERROR(COUNTIF(INDIRECT("R"&amp;IFERROR(SMALL(IF(AC$1:AC$160&lt;&gt;0,AC$1:AC$160),ROW(A63)),"")&amp;""),"*雙葉*"),0),COUNTIF(AE$1:AE62,"*雙葉*")),"",
IFERROR(SMALL(IF(AC$1:AC$160&lt;&gt;0,AC$1:AC$160),ROW(A63)),""))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1"/>
        <v/>
      </c>
      <c r="AM63" s="65" t="str">
        <f t="shared" ca="1" si="22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3"/>
        <v/>
      </c>
      <c r="AR63" s="65">
        <f t="shared" ca="1" si="24"/>
        <v>0</v>
      </c>
      <c r="AS63" s="65">
        <f t="shared" ca="1" si="25"/>
        <v>0</v>
      </c>
    </row>
    <row r="64" spans="6:45" x14ac:dyDescent="0.45">
      <c r="F64"/>
      <c r="P64"/>
      <c r="Q64" s="57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8"/>
        <v/>
      </c>
      <c r="AA64" t="str">
        <f t="shared" ca="1" si="19"/>
        <v/>
      </c>
      <c r="AC64" t="str">
        <f t="shared" ca="1" si="20"/>
        <v/>
      </c>
      <c r="AD64" s="65" t="str">
        <f t="array" aca="1" ref="AD64" ca="1">IF(AND(IFERROR(COUNTIF(INDIRECT("R"&amp;IFERROR(SMALL(IF(AC$1:AC$160&lt;&gt;0,AC$1:AC$160),ROW(A64)),"")&amp;""),"*雙葉*"),0),COUNTIF(AE$1:AE63,"*雙葉*")),"",
IFERROR(SMALL(IF(AC$1:AC$160&lt;&gt;0,AC$1:AC$160),ROW(A64)),""))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1"/>
        <v/>
      </c>
      <c r="AM64" s="65" t="str">
        <f t="shared" ca="1" si="22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3"/>
        <v/>
      </c>
      <c r="AR64" s="65">
        <f t="shared" ca="1" si="24"/>
        <v>0</v>
      </c>
      <c r="AS64" s="65">
        <f t="shared" ca="1" si="25"/>
        <v>0</v>
      </c>
    </row>
    <row r="65" spans="6:45" x14ac:dyDescent="0.45">
      <c r="F65"/>
      <c r="P65"/>
      <c r="Q65" s="57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7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8">IF(Z65&lt;&gt;"",
IF(VALUE(T65-V65)&gt;VALUE(Y65*Z65),
"+"&amp;(T65-V65)-Y65*Z65,
(T65-V65)-Y65*Z65),"")</f>
        <v/>
      </c>
      <c r="AC65" t="str">
        <f t="shared" ref="AC65:AC96" ca="1" si="29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IFERROR(SMALL(IF(AC$1:AC$160&lt;&gt;0,AC$1:AC$160),ROW(A65)),""))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0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1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2">IF(AP65&lt;&gt;0,
IF(COUNTIF(AP65,"*.*"),LEFT(AP65, FIND(".", AP65) - 1),AP65),0)</f>
        <v/>
      </c>
      <c r="AR65" s="65">
        <f t="shared" ref="AR65:AR100" ca="1" si="33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4">IF(AP65&lt;&gt;0,
IF(COUNTIF(AP65,"*.*"),
IF(COUNTIF(AP65,"*.*")=1,"",RIGHT(AP65, LEN(AP65) - FIND(".", AP65, FIND(".", AP65) + 1))),0),0)</f>
        <v>0</v>
      </c>
    </row>
    <row r="66" spans="6:45" x14ac:dyDescent="0.45">
      <c r="F66"/>
      <c r="P66"/>
      <c r="Q66" s="57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7"/>
        <v/>
      </c>
      <c r="AA66" t="str">
        <f t="shared" ca="1" si="28"/>
        <v/>
      </c>
      <c r="AC66" t="str">
        <f t="shared" ca="1" si="29"/>
        <v/>
      </c>
      <c r="AD66" s="65" t="str">
        <f t="array" aca="1" ref="AD66" ca="1">IF(AND(IFERROR(COUNTIF(INDIRECT("R"&amp;IFERROR(SMALL(IF(AC$1:AC$160&lt;&gt;0,AC$1:AC$160),ROW(A66)),"")&amp;""),"*雙葉*"),0),COUNTIF(AE$1:AE65,"*雙葉*")),"",
IFERROR(SMALL(IF(AC$1:AC$160&lt;&gt;0,AC$1:AC$160),ROW(A66)),""))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0"/>
        <v/>
      </c>
      <c r="AM66" s="65" t="str">
        <f t="shared" ca="1" si="31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2"/>
        <v/>
      </c>
      <c r="AR66" s="65">
        <f t="shared" ca="1" si="33"/>
        <v>0</v>
      </c>
      <c r="AS66" s="65">
        <f t="shared" ca="1" si="34"/>
        <v>0</v>
      </c>
    </row>
    <row r="67" spans="6:45" x14ac:dyDescent="0.45">
      <c r="F67"/>
      <c r="P67"/>
      <c r="Q67" s="57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7"/>
        <v/>
      </c>
      <c r="AA67" t="str">
        <f t="shared" ca="1" si="28"/>
        <v/>
      </c>
      <c r="AC67" t="str">
        <f t="shared" ca="1" si="29"/>
        <v/>
      </c>
      <c r="AD67" s="65" t="str">
        <f t="array" aca="1" ref="AD67" ca="1">IF(AND(IFERROR(COUNTIF(INDIRECT("R"&amp;IFERROR(SMALL(IF(AC$1:AC$160&lt;&gt;0,AC$1:AC$160),ROW(A67)),"")&amp;""),"*雙葉*"),0),COUNTIF(AE$1:AE66,"*雙葉*")),"",
IFERROR(SMALL(IF(AC$1:AC$160&lt;&gt;0,AC$1:AC$160),ROW(A67)),""))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0"/>
        <v/>
      </c>
      <c r="AM67" s="65" t="str">
        <f t="shared" ca="1" si="31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2"/>
        <v/>
      </c>
      <c r="AR67" s="65">
        <f t="shared" ca="1" si="33"/>
        <v>0</v>
      </c>
      <c r="AS67" s="65">
        <f t="shared" ca="1" si="34"/>
        <v>0</v>
      </c>
    </row>
    <row r="68" spans="6:45" x14ac:dyDescent="0.45">
      <c r="F68"/>
      <c r="P68"/>
      <c r="Q68" s="57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7"/>
        <v/>
      </c>
      <c r="AA68" t="str">
        <f t="shared" ca="1" si="28"/>
        <v/>
      </c>
      <c r="AC68" t="str">
        <f t="shared" ca="1" si="29"/>
        <v/>
      </c>
      <c r="AD68" s="65" t="str">
        <f t="array" aca="1" ref="AD68" ca="1">IF(AND(IFERROR(COUNTIF(INDIRECT("R"&amp;IFERROR(SMALL(IF(AC$1:AC$160&lt;&gt;0,AC$1:AC$160),ROW(A68)),"")&amp;""),"*雙葉*"),0),COUNTIF(AE$1:AE67,"*雙葉*")),"",
IFERROR(SMALL(IF(AC$1:AC$160&lt;&gt;0,AC$1:AC$160),ROW(A68)),""))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0"/>
        <v/>
      </c>
      <c r="AM68" s="65" t="str">
        <f t="shared" ca="1" si="31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2"/>
        <v/>
      </c>
      <c r="AR68" s="65">
        <f t="shared" ca="1" si="33"/>
        <v>0</v>
      </c>
      <c r="AS68" s="65">
        <f t="shared" ca="1" si="34"/>
        <v>0</v>
      </c>
    </row>
    <row r="69" spans="6:45" x14ac:dyDescent="0.45">
      <c r="F69"/>
      <c r="P69"/>
      <c r="Q69" s="57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7"/>
        <v/>
      </c>
      <c r="AA69" t="str">
        <f t="shared" ca="1" si="28"/>
        <v/>
      </c>
      <c r="AC69" t="str">
        <f t="shared" ca="1" si="29"/>
        <v/>
      </c>
      <c r="AD69" s="65" t="str">
        <f t="array" aca="1" ref="AD69" ca="1">IF(AND(IFERROR(COUNTIF(INDIRECT("R"&amp;IFERROR(SMALL(IF(AC$1:AC$160&lt;&gt;0,AC$1:AC$160),ROW(A69)),"")&amp;""),"*雙葉*"),0),COUNTIF(AE$1:AE68,"*雙葉*")),"",
IFERROR(SMALL(IF(AC$1:AC$160&lt;&gt;0,AC$1:AC$160),ROW(A69)),""))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0"/>
        <v/>
      </c>
      <c r="AM69" s="65" t="str">
        <f t="shared" ca="1" si="31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2"/>
        <v/>
      </c>
      <c r="AR69" s="65">
        <f t="shared" ca="1" si="33"/>
        <v>0</v>
      </c>
      <c r="AS69" s="65">
        <f t="shared" ca="1" si="34"/>
        <v>0</v>
      </c>
    </row>
    <row r="70" spans="6:45" x14ac:dyDescent="0.45">
      <c r="F70"/>
      <c r="P70"/>
      <c r="Q70" s="57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7"/>
        <v/>
      </c>
      <c r="AA70" t="str">
        <f t="shared" ca="1" si="28"/>
        <v/>
      </c>
      <c r="AC70" t="str">
        <f t="shared" ca="1" si="29"/>
        <v/>
      </c>
      <c r="AD70" s="65" t="str">
        <f t="array" aca="1" ref="AD70" ca="1">IF(AND(IFERROR(COUNTIF(INDIRECT("R"&amp;IFERROR(SMALL(IF(AC$1:AC$160&lt;&gt;0,AC$1:AC$160),ROW(A70)),"")&amp;""),"*雙葉*"),0),COUNTIF(AE$1:AE69,"*雙葉*")),"",
IFERROR(SMALL(IF(AC$1:AC$160&lt;&gt;0,AC$1:AC$160),ROW(A70)),""))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0"/>
        <v/>
      </c>
      <c r="AM70" s="65" t="str">
        <f t="shared" ca="1" si="31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2"/>
        <v/>
      </c>
      <c r="AR70" s="65">
        <f t="shared" ca="1" si="33"/>
        <v>0</v>
      </c>
      <c r="AS70" s="65">
        <f t="shared" ca="1" si="34"/>
        <v>0</v>
      </c>
    </row>
    <row r="71" spans="6:45" x14ac:dyDescent="0.45">
      <c r="F71"/>
      <c r="P71"/>
      <c r="Q71" s="57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7"/>
        <v/>
      </c>
      <c r="AA71" t="str">
        <f t="shared" ca="1" si="28"/>
        <v/>
      </c>
      <c r="AC71" t="str">
        <f t="shared" ca="1" si="29"/>
        <v/>
      </c>
      <c r="AD71" s="65" t="str">
        <f t="array" aca="1" ref="AD71" ca="1">IF(AND(IFERROR(COUNTIF(INDIRECT("R"&amp;IFERROR(SMALL(IF(AC$1:AC$160&lt;&gt;0,AC$1:AC$160),ROW(A71)),"")&amp;""),"*雙葉*"),0),COUNTIF(AE$1:AE70,"*雙葉*")),"",
IFERROR(SMALL(IF(AC$1:AC$160&lt;&gt;0,AC$1:AC$160),ROW(A71)),""))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0"/>
        <v/>
      </c>
      <c r="AM71" s="65" t="str">
        <f t="shared" ca="1" si="31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2"/>
        <v/>
      </c>
      <c r="AR71" s="65">
        <f t="shared" ca="1" si="33"/>
        <v>0</v>
      </c>
      <c r="AS71" s="65">
        <f t="shared" ca="1" si="34"/>
        <v>0</v>
      </c>
    </row>
    <row r="72" spans="6:45" x14ac:dyDescent="0.45">
      <c r="F72"/>
      <c r="P72"/>
      <c r="Q72" s="57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7"/>
        <v/>
      </c>
      <c r="AA72" t="str">
        <f t="shared" ca="1" si="28"/>
        <v/>
      </c>
      <c r="AC72" t="str">
        <f t="shared" ca="1" si="29"/>
        <v/>
      </c>
      <c r="AD72" s="65" t="str">
        <f t="array" aca="1" ref="AD72" ca="1">IF(AND(IFERROR(COUNTIF(INDIRECT("R"&amp;IFERROR(SMALL(IF(AC$1:AC$160&lt;&gt;0,AC$1:AC$160),ROW(A72)),"")&amp;""),"*雙葉*"),0),COUNTIF(AE$1:AE71,"*雙葉*")),"",
IFERROR(SMALL(IF(AC$1:AC$160&lt;&gt;0,AC$1:AC$160),ROW(A72)),""))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0"/>
        <v/>
      </c>
      <c r="AM72" s="65" t="str">
        <f t="shared" ca="1" si="31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2"/>
        <v/>
      </c>
      <c r="AR72" s="65">
        <f t="shared" ca="1" si="33"/>
        <v>0</v>
      </c>
      <c r="AS72" s="65">
        <f t="shared" ca="1" si="34"/>
        <v>0</v>
      </c>
    </row>
    <row r="73" spans="6:45" x14ac:dyDescent="0.45">
      <c r="F73"/>
      <c r="P73"/>
      <c r="Q73" s="57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7"/>
        <v/>
      </c>
      <c r="AA73" t="str">
        <f t="shared" ca="1" si="28"/>
        <v/>
      </c>
      <c r="AC73" t="str">
        <f t="shared" ca="1" si="29"/>
        <v/>
      </c>
      <c r="AD73" s="65" t="str">
        <f t="array" aca="1" ref="AD73" ca="1">IF(AND(IFERROR(COUNTIF(INDIRECT("R"&amp;IFERROR(SMALL(IF(AC$1:AC$160&lt;&gt;0,AC$1:AC$160),ROW(A73)),"")&amp;""),"*雙葉*"),0),COUNTIF(AE$1:AE72,"*雙葉*")),"",
IFERROR(SMALL(IF(AC$1:AC$160&lt;&gt;0,AC$1:AC$160),ROW(A73)),""))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0"/>
        <v/>
      </c>
      <c r="AM73" s="65" t="str">
        <f t="shared" ca="1" si="31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2"/>
        <v/>
      </c>
      <c r="AR73" s="65">
        <f t="shared" ca="1" si="33"/>
        <v>0</v>
      </c>
      <c r="AS73" s="65">
        <f t="shared" ca="1" si="34"/>
        <v>0</v>
      </c>
    </row>
    <row r="74" spans="6:45" x14ac:dyDescent="0.45">
      <c r="F74"/>
      <c r="P74"/>
      <c r="Q74" s="57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7"/>
        <v/>
      </c>
      <c r="AA74" t="str">
        <f t="shared" ca="1" si="28"/>
        <v/>
      </c>
      <c r="AC74" t="str">
        <f t="shared" ca="1" si="29"/>
        <v/>
      </c>
      <c r="AD74" s="65" t="str">
        <f t="array" aca="1" ref="AD74" ca="1">IF(AND(IFERROR(COUNTIF(INDIRECT("R"&amp;IFERROR(SMALL(IF(AC$1:AC$160&lt;&gt;0,AC$1:AC$160),ROW(A74)),"")&amp;""),"*雙葉*"),0),COUNTIF(AE$1:AE73,"*雙葉*")),"",
IFERROR(SMALL(IF(AC$1:AC$160&lt;&gt;0,AC$1:AC$160),ROW(A74)),""))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0"/>
        <v/>
      </c>
      <c r="AM74" s="65" t="str">
        <f t="shared" ca="1" si="31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2"/>
        <v/>
      </c>
      <c r="AR74" s="65">
        <f t="shared" ca="1" si="33"/>
        <v>0</v>
      </c>
      <c r="AS74" s="65">
        <f t="shared" ca="1" si="34"/>
        <v>0</v>
      </c>
    </row>
    <row r="75" spans="6:45" x14ac:dyDescent="0.45">
      <c r="F75"/>
      <c r="P75"/>
      <c r="Q75" s="57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7"/>
        <v/>
      </c>
      <c r="AA75" t="str">
        <f t="shared" ca="1" si="28"/>
        <v/>
      </c>
      <c r="AC75" t="str">
        <f t="shared" ca="1" si="29"/>
        <v/>
      </c>
      <c r="AD75" s="65" t="str">
        <f t="array" aca="1" ref="AD75" ca="1">IF(AND(IFERROR(COUNTIF(INDIRECT("R"&amp;IFERROR(SMALL(IF(AC$1:AC$160&lt;&gt;0,AC$1:AC$160),ROW(A75)),"")&amp;""),"*雙葉*"),0),COUNTIF(AE$1:AE74,"*雙葉*")),"",
IFERROR(SMALL(IF(AC$1:AC$160&lt;&gt;0,AC$1:AC$160),ROW(A75)),""))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0"/>
        <v/>
      </c>
      <c r="AM75" s="65" t="str">
        <f t="shared" ca="1" si="31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2"/>
        <v/>
      </c>
      <c r="AR75" s="65">
        <f t="shared" ca="1" si="33"/>
        <v>0</v>
      </c>
      <c r="AS75" s="65">
        <f t="shared" ca="1" si="34"/>
        <v>0</v>
      </c>
    </row>
    <row r="76" spans="6:45" x14ac:dyDescent="0.45">
      <c r="F76"/>
      <c r="P76"/>
      <c r="Q76" s="57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7"/>
        <v/>
      </c>
      <c r="AA76" t="str">
        <f t="shared" ca="1" si="28"/>
        <v/>
      </c>
      <c r="AC76" t="str">
        <f t="shared" ca="1" si="29"/>
        <v/>
      </c>
      <c r="AD76" s="65" t="str">
        <f t="array" aca="1" ref="AD76" ca="1">IF(AND(IFERROR(COUNTIF(INDIRECT("R"&amp;IFERROR(SMALL(IF(AC$1:AC$160&lt;&gt;0,AC$1:AC$160),ROW(A76)),"")&amp;""),"*雙葉*"),0),COUNTIF(AE$1:AE75,"*雙葉*")),"",
IFERROR(SMALL(IF(AC$1:AC$160&lt;&gt;0,AC$1:AC$160),ROW(A76)),""))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0"/>
        <v/>
      </c>
      <c r="AM76" s="65" t="str">
        <f t="shared" ca="1" si="31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2"/>
        <v/>
      </c>
      <c r="AR76" s="65">
        <f t="shared" ca="1" si="33"/>
        <v>0</v>
      </c>
      <c r="AS76" s="65">
        <f t="shared" ca="1" si="34"/>
        <v>0</v>
      </c>
    </row>
    <row r="77" spans="6:45" x14ac:dyDescent="0.45">
      <c r="F77"/>
      <c r="P77"/>
      <c r="Q77" s="57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7"/>
        <v/>
      </c>
      <c r="AA77" t="str">
        <f t="shared" ca="1" si="28"/>
        <v/>
      </c>
      <c r="AC77" t="str">
        <f t="shared" ca="1" si="29"/>
        <v/>
      </c>
      <c r="AD77" s="65" t="str">
        <f t="array" aca="1" ref="AD77" ca="1">IF(AND(IFERROR(COUNTIF(INDIRECT("R"&amp;IFERROR(SMALL(IF(AC$1:AC$160&lt;&gt;0,AC$1:AC$160),ROW(A77)),"")&amp;""),"*雙葉*"),0),COUNTIF(AE$1:AE76,"*雙葉*")),"",
IFERROR(SMALL(IF(AC$1:AC$160&lt;&gt;0,AC$1:AC$160),ROW(A77)),""))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0"/>
        <v/>
      </c>
      <c r="AM77" s="65" t="str">
        <f t="shared" ca="1" si="31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2"/>
        <v/>
      </c>
      <c r="AR77" s="65">
        <f t="shared" ca="1" si="33"/>
        <v>0</v>
      </c>
      <c r="AS77" s="65">
        <f t="shared" ca="1" si="34"/>
        <v>0</v>
      </c>
    </row>
    <row r="78" spans="6:45" x14ac:dyDescent="0.45">
      <c r="F78"/>
      <c r="P78"/>
      <c r="Q78" s="57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7"/>
        <v/>
      </c>
      <c r="AA78" t="str">
        <f t="shared" ca="1" si="28"/>
        <v/>
      </c>
      <c r="AC78" t="str">
        <f t="shared" ca="1" si="29"/>
        <v/>
      </c>
      <c r="AD78" s="65" t="str">
        <f t="array" aca="1" ref="AD78" ca="1">IF(AND(IFERROR(COUNTIF(INDIRECT("R"&amp;IFERROR(SMALL(IF(AC$1:AC$160&lt;&gt;0,AC$1:AC$160),ROW(A78)),"")&amp;""),"*雙葉*"),0),COUNTIF(AE$1:AE77,"*雙葉*")),"",
IFERROR(SMALL(IF(AC$1:AC$160&lt;&gt;0,AC$1:AC$160),ROW(A78)),""))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0"/>
        <v/>
      </c>
      <c r="AM78" s="65" t="str">
        <f t="shared" ca="1" si="31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2"/>
        <v/>
      </c>
      <c r="AR78" s="65">
        <f t="shared" ca="1" si="33"/>
        <v>0</v>
      </c>
      <c r="AS78" s="65">
        <f t="shared" ca="1" si="34"/>
        <v>0</v>
      </c>
    </row>
    <row r="79" spans="6:45" x14ac:dyDescent="0.45">
      <c r="F79"/>
      <c r="P79"/>
      <c r="Q79" s="57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7"/>
        <v/>
      </c>
      <c r="AA79" t="str">
        <f t="shared" ca="1" si="28"/>
        <v/>
      </c>
      <c r="AC79" t="str">
        <f t="shared" ca="1" si="29"/>
        <v/>
      </c>
      <c r="AD79" s="65" t="str">
        <f t="array" aca="1" ref="AD79" ca="1">IF(AND(IFERROR(COUNTIF(INDIRECT("R"&amp;IFERROR(SMALL(IF(AC$1:AC$160&lt;&gt;0,AC$1:AC$160),ROW(A79)),"")&amp;""),"*雙葉*"),0),COUNTIF(AE$1:AE78,"*雙葉*")),"",
IFERROR(SMALL(IF(AC$1:AC$160&lt;&gt;0,AC$1:AC$160),ROW(A79)),""))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0"/>
        <v/>
      </c>
      <c r="AM79" s="65" t="str">
        <f t="shared" ca="1" si="31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2"/>
        <v/>
      </c>
      <c r="AR79" s="65">
        <f t="shared" ca="1" si="33"/>
        <v>0</v>
      </c>
      <c r="AS79" s="65">
        <f t="shared" ca="1" si="34"/>
        <v>0</v>
      </c>
    </row>
    <row r="80" spans="6:45" x14ac:dyDescent="0.45">
      <c r="F80"/>
      <c r="P80"/>
      <c r="Q80" s="57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7"/>
        <v/>
      </c>
      <c r="AA80" t="str">
        <f t="shared" ca="1" si="28"/>
        <v/>
      </c>
      <c r="AC80" t="str">
        <f t="shared" ca="1" si="29"/>
        <v/>
      </c>
      <c r="AD80" s="65" t="str">
        <f t="array" aca="1" ref="AD80" ca="1">IF(AND(IFERROR(COUNTIF(INDIRECT("R"&amp;IFERROR(SMALL(IF(AC$1:AC$160&lt;&gt;0,AC$1:AC$160),ROW(A80)),"")&amp;""),"*雙葉*"),0),COUNTIF(AE$1:AE79,"*雙葉*")),"",
IFERROR(SMALL(IF(AC$1:AC$160&lt;&gt;0,AC$1:AC$160),ROW(A80)),""))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0"/>
        <v/>
      </c>
      <c r="AM80" s="65" t="str">
        <f t="shared" ca="1" si="31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2"/>
        <v/>
      </c>
      <c r="AR80" s="65">
        <f t="shared" ca="1" si="33"/>
        <v>0</v>
      </c>
      <c r="AS80" s="65">
        <f t="shared" ca="1" si="34"/>
        <v>0</v>
      </c>
    </row>
    <row r="81" spans="6:45" x14ac:dyDescent="0.45">
      <c r="F81"/>
      <c r="P81"/>
      <c r="Q81" s="57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7"/>
        <v/>
      </c>
      <c r="AA81" t="str">
        <f t="shared" ca="1" si="28"/>
        <v/>
      </c>
      <c r="AC81" t="str">
        <f t="shared" ca="1" si="29"/>
        <v/>
      </c>
      <c r="AD81" s="65" t="str">
        <f t="array" aca="1" ref="AD81" ca="1">IF(AND(IFERROR(COUNTIF(INDIRECT("R"&amp;IFERROR(SMALL(IF(AC$1:AC$160&lt;&gt;0,AC$1:AC$160),ROW(A81)),"")&amp;""),"*雙葉*"),0),COUNTIF(AE$1:AE80,"*雙葉*")),"",
IFERROR(SMALL(IF(AC$1:AC$160&lt;&gt;0,AC$1:AC$160),ROW(A81)),""))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0"/>
        <v/>
      </c>
      <c r="AM81" s="65" t="str">
        <f t="shared" ca="1" si="31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2"/>
        <v/>
      </c>
      <c r="AR81" s="65">
        <f t="shared" ca="1" si="33"/>
        <v>0</v>
      </c>
      <c r="AS81" s="65">
        <f t="shared" ca="1" si="34"/>
        <v>0</v>
      </c>
    </row>
    <row r="82" spans="6:45" x14ac:dyDescent="0.45">
      <c r="F82"/>
      <c r="P82"/>
      <c r="Q82" s="57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7"/>
        <v/>
      </c>
      <c r="AA82" t="str">
        <f t="shared" ca="1" si="28"/>
        <v/>
      </c>
      <c r="AC82" t="str">
        <f t="shared" ca="1" si="29"/>
        <v/>
      </c>
      <c r="AD82" s="65" t="str">
        <f t="array" aca="1" ref="AD82" ca="1">IF(AND(IFERROR(COUNTIF(INDIRECT("R"&amp;IFERROR(SMALL(IF(AC$1:AC$160&lt;&gt;0,AC$1:AC$160),ROW(A82)),"")&amp;""),"*雙葉*"),0),COUNTIF(AE$1:AE81,"*雙葉*")),"",
IFERROR(SMALL(IF(AC$1:AC$160&lt;&gt;0,AC$1:AC$160),ROW(A82)),""))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0"/>
        <v/>
      </c>
      <c r="AM82" s="65" t="str">
        <f t="shared" ca="1" si="31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2"/>
        <v/>
      </c>
      <c r="AR82" s="65">
        <f t="shared" ca="1" si="33"/>
        <v>0</v>
      </c>
      <c r="AS82" s="65">
        <f t="shared" ca="1" si="34"/>
        <v>0</v>
      </c>
    </row>
    <row r="83" spans="6:45" x14ac:dyDescent="0.45">
      <c r="F83"/>
      <c r="P83"/>
      <c r="Q83" s="57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7"/>
        <v/>
      </c>
      <c r="AA83" t="str">
        <f t="shared" ca="1" si="28"/>
        <v/>
      </c>
      <c r="AC83" t="str">
        <f t="shared" ca="1" si="29"/>
        <v/>
      </c>
      <c r="AD83" s="65" t="str">
        <f t="array" aca="1" ref="AD83" ca="1">IF(AND(IFERROR(COUNTIF(INDIRECT("R"&amp;IFERROR(SMALL(IF(AC$1:AC$160&lt;&gt;0,AC$1:AC$160),ROW(A83)),"")&amp;""),"*雙葉*"),0),COUNTIF(AE$1:AE82,"*雙葉*")),"",
IFERROR(SMALL(IF(AC$1:AC$160&lt;&gt;0,AC$1:AC$160),ROW(A83)),""))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0"/>
        <v/>
      </c>
      <c r="AM83" s="65" t="str">
        <f t="shared" ca="1" si="31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2"/>
        <v/>
      </c>
      <c r="AR83" s="65">
        <f t="shared" ca="1" si="33"/>
        <v>0</v>
      </c>
      <c r="AS83" s="65">
        <f t="shared" ca="1" si="34"/>
        <v>0</v>
      </c>
    </row>
    <row r="84" spans="6:45" x14ac:dyDescent="0.45">
      <c r="F84"/>
      <c r="P84"/>
      <c r="Q84" s="57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7"/>
        <v/>
      </c>
      <c r="AA84" t="str">
        <f t="shared" ca="1" si="28"/>
        <v/>
      </c>
      <c r="AC84" t="str">
        <f t="shared" ca="1" si="29"/>
        <v/>
      </c>
      <c r="AD84" s="65" t="str">
        <f t="array" aca="1" ref="AD84" ca="1">IF(AND(IFERROR(COUNTIF(INDIRECT("R"&amp;IFERROR(SMALL(IF(AC$1:AC$160&lt;&gt;0,AC$1:AC$160),ROW(A84)),"")&amp;""),"*雙葉*"),0),COUNTIF(AE$1:AE83,"*雙葉*")),"",
IFERROR(SMALL(IF(AC$1:AC$160&lt;&gt;0,AC$1:AC$160),ROW(A84)),""))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0"/>
        <v/>
      </c>
      <c r="AM84" s="65" t="str">
        <f t="shared" ca="1" si="31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2"/>
        <v/>
      </c>
      <c r="AR84" s="65">
        <f t="shared" ca="1" si="33"/>
        <v>0</v>
      </c>
      <c r="AS84" s="65">
        <f t="shared" ca="1" si="34"/>
        <v>0</v>
      </c>
    </row>
    <row r="85" spans="6:45" x14ac:dyDescent="0.45">
      <c r="F85"/>
      <c r="P85"/>
      <c r="Q85" s="57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7"/>
        <v/>
      </c>
      <c r="AA85" t="str">
        <f t="shared" ca="1" si="28"/>
        <v/>
      </c>
      <c r="AC85" t="str">
        <f t="shared" ca="1" si="29"/>
        <v/>
      </c>
      <c r="AD85" s="65" t="str">
        <f t="array" aca="1" ref="AD85" ca="1">IF(AND(IFERROR(COUNTIF(INDIRECT("R"&amp;IFERROR(SMALL(IF(AC$1:AC$160&lt;&gt;0,AC$1:AC$160),ROW(A85)),"")&amp;""),"*雙葉*"),0),COUNTIF(AE$1:AE84,"*雙葉*")),"",
IFERROR(SMALL(IF(AC$1:AC$160&lt;&gt;0,AC$1:AC$160),ROW(A85)),""))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0"/>
        <v/>
      </c>
      <c r="AM85" s="65" t="str">
        <f t="shared" ca="1" si="31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2"/>
        <v/>
      </c>
      <c r="AR85" s="65">
        <f t="shared" ca="1" si="33"/>
        <v>0</v>
      </c>
      <c r="AS85" s="65">
        <f t="shared" ca="1" si="34"/>
        <v>0</v>
      </c>
    </row>
    <row r="86" spans="6:45" x14ac:dyDescent="0.45">
      <c r="F86"/>
      <c r="P86"/>
      <c r="Q86" s="57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7"/>
        <v/>
      </c>
      <c r="AA86" t="str">
        <f t="shared" ca="1" si="28"/>
        <v/>
      </c>
      <c r="AC86" t="str">
        <f t="shared" ca="1" si="29"/>
        <v/>
      </c>
      <c r="AD86" s="65" t="str">
        <f t="array" aca="1" ref="AD86" ca="1">IF(AND(IFERROR(COUNTIF(INDIRECT("R"&amp;IFERROR(SMALL(IF(AC$1:AC$160&lt;&gt;0,AC$1:AC$160),ROW(A86)),"")&amp;""),"*雙葉*"),0),COUNTIF(AE$1:AE85,"*雙葉*")),"",
IFERROR(SMALL(IF(AC$1:AC$160&lt;&gt;0,AC$1:AC$160),ROW(A86)),""))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0"/>
        <v/>
      </c>
      <c r="AM86" s="65" t="str">
        <f t="shared" ca="1" si="31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2"/>
        <v/>
      </c>
      <c r="AR86" s="65">
        <f t="shared" ca="1" si="33"/>
        <v>0</v>
      </c>
      <c r="AS86" s="65">
        <f t="shared" ca="1" si="34"/>
        <v>0</v>
      </c>
    </row>
    <row r="87" spans="6:45" x14ac:dyDescent="0.45">
      <c r="F87"/>
      <c r="P87"/>
      <c r="Q87" s="57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7"/>
        <v/>
      </c>
      <c r="AA87" t="str">
        <f t="shared" ca="1" si="28"/>
        <v/>
      </c>
      <c r="AC87" t="str">
        <f t="shared" ca="1" si="29"/>
        <v/>
      </c>
      <c r="AD87" s="65" t="str">
        <f t="array" aca="1" ref="AD87" ca="1">IF(AND(IFERROR(COUNTIF(INDIRECT("R"&amp;IFERROR(SMALL(IF(AC$1:AC$160&lt;&gt;0,AC$1:AC$160),ROW(A87)),"")&amp;""),"*雙葉*"),0),COUNTIF(AE$1:AE86,"*雙葉*")),"",
IFERROR(SMALL(IF(AC$1:AC$160&lt;&gt;0,AC$1:AC$160),ROW(A87)),""))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0"/>
        <v/>
      </c>
      <c r="AM87" s="65" t="str">
        <f t="shared" ca="1" si="31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2"/>
        <v/>
      </c>
      <c r="AR87" s="65">
        <f t="shared" ca="1" si="33"/>
        <v>0</v>
      </c>
      <c r="AS87" s="65">
        <f t="shared" ca="1" si="34"/>
        <v>0</v>
      </c>
    </row>
    <row r="88" spans="6:45" x14ac:dyDescent="0.45">
      <c r="P88"/>
      <c r="Q88" s="57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7"/>
        <v/>
      </c>
      <c r="AA88" t="str">
        <f t="shared" ca="1" si="28"/>
        <v/>
      </c>
      <c r="AC88" t="str">
        <f t="shared" ca="1" si="29"/>
        <v/>
      </c>
      <c r="AD88" s="65" t="str">
        <f t="array" aca="1" ref="AD88" ca="1">IF(AND(IFERROR(COUNTIF(INDIRECT("R"&amp;IFERROR(SMALL(IF(AC$1:AC$160&lt;&gt;0,AC$1:AC$160),ROW(A88)),"")&amp;""),"*雙葉*"),0),COUNTIF(AE$1:AE87,"*雙葉*")),"",
IFERROR(SMALL(IF(AC$1:AC$160&lt;&gt;0,AC$1:AC$160),ROW(A88)),""))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0"/>
        <v/>
      </c>
      <c r="AM88" s="65" t="str">
        <f t="shared" ca="1" si="31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2"/>
        <v/>
      </c>
      <c r="AR88" s="65">
        <f t="shared" ca="1" si="33"/>
        <v>0</v>
      </c>
      <c r="AS88" s="65">
        <f t="shared" ca="1" si="34"/>
        <v>0</v>
      </c>
    </row>
    <row r="89" spans="6:45" x14ac:dyDescent="0.45">
      <c r="P89"/>
      <c r="Q89" s="57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7"/>
        <v/>
      </c>
      <c r="AA89" t="str">
        <f t="shared" ca="1" si="28"/>
        <v/>
      </c>
      <c r="AC89" t="str">
        <f t="shared" ca="1" si="29"/>
        <v/>
      </c>
      <c r="AD89" s="65" t="str">
        <f t="array" aca="1" ref="AD89" ca="1">IF(AND(IFERROR(COUNTIF(INDIRECT("R"&amp;IFERROR(SMALL(IF(AC$1:AC$160&lt;&gt;0,AC$1:AC$160),ROW(A89)),"")&amp;""),"*雙葉*"),0),COUNTIF(AE$1:AE88,"*雙葉*")),"",
IFERROR(SMALL(IF(AC$1:AC$160&lt;&gt;0,AC$1:AC$160),ROW(A89)),""))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0"/>
        <v/>
      </c>
      <c r="AM89" s="65" t="str">
        <f t="shared" ca="1" si="31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2"/>
        <v/>
      </c>
      <c r="AR89" s="65">
        <f t="shared" ca="1" si="33"/>
        <v>0</v>
      </c>
      <c r="AS89" s="65">
        <f t="shared" ca="1" si="34"/>
        <v>0</v>
      </c>
    </row>
    <row r="90" spans="6:45" x14ac:dyDescent="0.45">
      <c r="P90"/>
      <c r="Q90" s="57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7"/>
        <v/>
      </c>
      <c r="AA90" t="str">
        <f t="shared" ca="1" si="28"/>
        <v/>
      </c>
      <c r="AC90" t="str">
        <f t="shared" ca="1" si="29"/>
        <v/>
      </c>
      <c r="AD90" s="65" t="str">
        <f t="array" aca="1" ref="AD90" ca="1">IF(AND(IFERROR(COUNTIF(INDIRECT("R"&amp;IFERROR(SMALL(IF(AC$1:AC$160&lt;&gt;0,AC$1:AC$160),ROW(A90)),"")&amp;""),"*雙葉*"),0),COUNTIF(AE$1:AE89,"*雙葉*")),"",
IFERROR(SMALL(IF(AC$1:AC$160&lt;&gt;0,AC$1:AC$160),ROW(A90)),""))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0"/>
        <v/>
      </c>
      <c r="AM90" s="65" t="str">
        <f t="shared" ca="1" si="31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2"/>
        <v/>
      </c>
      <c r="AR90" s="65">
        <f t="shared" ca="1" si="33"/>
        <v>0</v>
      </c>
      <c r="AS90" s="65">
        <f t="shared" ca="1" si="34"/>
        <v>0</v>
      </c>
    </row>
    <row r="91" spans="6:45" x14ac:dyDescent="0.45">
      <c r="P91"/>
      <c r="Q91" s="57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7"/>
        <v/>
      </c>
      <c r="AA91" t="str">
        <f t="shared" ca="1" si="28"/>
        <v/>
      </c>
      <c r="AC91" t="str">
        <f t="shared" ca="1" si="29"/>
        <v/>
      </c>
      <c r="AD91" s="65" t="str">
        <f t="array" aca="1" ref="AD91" ca="1">IF(AND(IFERROR(COUNTIF(INDIRECT("R"&amp;IFERROR(SMALL(IF(AC$1:AC$160&lt;&gt;0,AC$1:AC$160),ROW(A91)),"")&amp;""),"*雙葉*"),0),COUNTIF(AE$1:AE90,"*雙葉*")),"",
IFERROR(SMALL(IF(AC$1:AC$160&lt;&gt;0,AC$1:AC$160),ROW(A91)),""))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0"/>
        <v/>
      </c>
      <c r="AM91" s="65" t="str">
        <f t="shared" ca="1" si="31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2"/>
        <v/>
      </c>
      <c r="AR91" s="65">
        <f t="shared" ca="1" si="33"/>
        <v>0</v>
      </c>
      <c r="AS91" s="65">
        <f t="shared" ca="1" si="34"/>
        <v>0</v>
      </c>
    </row>
    <row r="92" spans="6:45" x14ac:dyDescent="0.45">
      <c r="P92"/>
      <c r="Q92" s="57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7"/>
        <v/>
      </c>
      <c r="AA92" t="str">
        <f t="shared" ca="1" si="28"/>
        <v/>
      </c>
      <c r="AC92" t="str">
        <f t="shared" ca="1" si="29"/>
        <v/>
      </c>
      <c r="AD92" s="65" t="str">
        <f t="array" aca="1" ref="AD92" ca="1">IF(AND(IFERROR(COUNTIF(INDIRECT("R"&amp;IFERROR(SMALL(IF(AC$1:AC$160&lt;&gt;0,AC$1:AC$160),ROW(A92)),"")&amp;""),"*雙葉*"),0),COUNTIF(AE$1:AE91,"*雙葉*")),"",
IFERROR(SMALL(IF(AC$1:AC$160&lt;&gt;0,AC$1:AC$160),ROW(A92)),""))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0"/>
        <v/>
      </c>
      <c r="AM92" s="65" t="str">
        <f t="shared" ca="1" si="31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2"/>
        <v/>
      </c>
      <c r="AR92" s="65">
        <f t="shared" ca="1" si="33"/>
        <v>0</v>
      </c>
      <c r="AS92" s="65">
        <f t="shared" ca="1" si="34"/>
        <v>0</v>
      </c>
    </row>
    <row r="93" spans="6:45" x14ac:dyDescent="0.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7"/>
        <v/>
      </c>
      <c r="AA93" t="str">
        <f t="shared" ca="1" si="28"/>
        <v/>
      </c>
      <c r="AC93" t="str">
        <f t="shared" ca="1" si="29"/>
        <v/>
      </c>
      <c r="AD93" s="65" t="str">
        <f t="array" aca="1" ref="AD93" ca="1">IF(AND(IFERROR(COUNTIF(INDIRECT("R"&amp;IFERROR(SMALL(IF(AC$1:AC$160&lt;&gt;0,AC$1:AC$160),ROW(A93)),"")&amp;""),"*雙葉*"),0),COUNTIF(AE$1:AE92,"*雙葉*")),"",
IFERROR(SMALL(IF(AC$1:AC$160&lt;&gt;0,AC$1:AC$160),ROW(A93)),""))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0"/>
        <v/>
      </c>
      <c r="AM93" s="65" t="str">
        <f t="shared" ca="1" si="31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2"/>
        <v/>
      </c>
      <c r="AR93" s="65">
        <f t="shared" ca="1" si="33"/>
        <v>0</v>
      </c>
      <c r="AS93" s="65">
        <f t="shared" ca="1" si="34"/>
        <v>0</v>
      </c>
    </row>
    <row r="94" spans="6:45" x14ac:dyDescent="0.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7"/>
        <v/>
      </c>
      <c r="AA94" t="str">
        <f t="shared" ca="1" si="28"/>
        <v/>
      </c>
      <c r="AC94" t="str">
        <f t="shared" ca="1" si="29"/>
        <v/>
      </c>
      <c r="AD94" s="65" t="str">
        <f t="array" aca="1" ref="AD94" ca="1">IF(AND(IFERROR(COUNTIF(INDIRECT("R"&amp;IFERROR(SMALL(IF(AC$1:AC$160&lt;&gt;0,AC$1:AC$160),ROW(A94)),"")&amp;""),"*雙葉*"),0),COUNTIF(AE$1:AE93,"*雙葉*")),"",
IFERROR(SMALL(IF(AC$1:AC$160&lt;&gt;0,AC$1:AC$160),ROW(A94)),""))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0"/>
        <v/>
      </c>
      <c r="AM94" s="65" t="str">
        <f t="shared" ca="1" si="31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2"/>
        <v/>
      </c>
      <c r="AR94" s="65">
        <f t="shared" ca="1" si="33"/>
        <v>0</v>
      </c>
      <c r="AS94" s="65">
        <f t="shared" ca="1" si="34"/>
        <v>0</v>
      </c>
    </row>
    <row r="95" spans="6:45" x14ac:dyDescent="0.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7"/>
        <v/>
      </c>
      <c r="AA95" t="str">
        <f t="shared" ca="1" si="28"/>
        <v/>
      </c>
      <c r="AC95" t="str">
        <f t="shared" ca="1" si="29"/>
        <v/>
      </c>
      <c r="AD95" s="65" t="str">
        <f t="array" aca="1" ref="AD95" ca="1">IF(AND(IFERROR(COUNTIF(INDIRECT("R"&amp;IFERROR(SMALL(IF(AC$1:AC$160&lt;&gt;0,AC$1:AC$160),ROW(A95)),"")&amp;""),"*雙葉*"),0),COUNTIF(AE$1:AE94,"*雙葉*")),"",
IFERROR(SMALL(IF(AC$1:AC$160&lt;&gt;0,AC$1:AC$160),ROW(A95)),""))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0"/>
        <v/>
      </c>
      <c r="AM95" s="65" t="str">
        <f t="shared" ca="1" si="31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2"/>
        <v/>
      </c>
      <c r="AR95" s="65">
        <f t="shared" ca="1" si="33"/>
        <v>0</v>
      </c>
      <c r="AS95" s="65">
        <f t="shared" ca="1" si="34"/>
        <v>0</v>
      </c>
    </row>
    <row r="96" spans="6:45" x14ac:dyDescent="0.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7"/>
        <v/>
      </c>
      <c r="AA96" t="str">
        <f t="shared" ca="1" si="28"/>
        <v/>
      </c>
      <c r="AC96" t="str">
        <f t="shared" ca="1" si="29"/>
        <v/>
      </c>
      <c r="AD96" s="65" t="str">
        <f t="array" aca="1" ref="AD96" ca="1">IF(AND(IFERROR(COUNTIF(INDIRECT("R"&amp;IFERROR(SMALL(IF(AC$1:AC$160&lt;&gt;0,AC$1:AC$160),ROW(A96)),"")&amp;""),"*雙葉*"),0),COUNTIF(AE$1:AE95,"*雙葉*")),"",
IFERROR(SMALL(IF(AC$1:AC$160&lt;&gt;0,AC$1:AC$160),ROW(A96)),""))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0"/>
        <v/>
      </c>
      <c r="AM96" s="65" t="str">
        <f t="shared" ca="1" si="31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2"/>
        <v/>
      </c>
      <c r="AR96" s="65">
        <f t="shared" ca="1" si="33"/>
        <v>0</v>
      </c>
      <c r="AS96" s="65">
        <f t="shared" ca="1" si="34"/>
        <v>0</v>
      </c>
    </row>
    <row r="97" spans="16:45" x14ac:dyDescent="0.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5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6">IF(Z97&lt;&gt;"",
IF(VALUE(T97-V97)&gt;VALUE(Y97*Z97),
"+"&amp;(T97-V97)-Y97*Z97,
(T97-V97)-Y97*Z97),"")</f>
        <v/>
      </c>
      <c r="AC97" t="str">
        <f t="shared" ref="AC97:AC128" ca="1" si="37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IFERROR(SMALL(IF(AC$1:AC$160&lt;&gt;0,AC$1:AC$160),ROW(A97)),""))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28" ca="1" si="38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28" ca="1" si="39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28" ca="1" si="40">IF(AP97&lt;&gt;0,
IF(COUNTIF(AP97,"*.*"),LEFT(AP97, FIND(".", AP97) - 1),AP97),0)</f>
        <v/>
      </c>
      <c r="AR97" s="65">
        <f t="shared" ca="1" si="33"/>
        <v>0</v>
      </c>
      <c r="AS97" s="65">
        <f t="shared" ca="1" si="34"/>
        <v>0</v>
      </c>
    </row>
    <row r="98" spans="16:45" x14ac:dyDescent="0.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5"/>
        <v/>
      </c>
      <c r="AA98" t="str">
        <f t="shared" ca="1" si="36"/>
        <v/>
      </c>
      <c r="AC98" t="str">
        <f t="shared" ca="1" si="37"/>
        <v/>
      </c>
      <c r="AD98" s="65" t="str">
        <f t="array" aca="1" ref="AD98" ca="1">IF(AND(IFERROR(COUNTIF(INDIRECT("R"&amp;IFERROR(SMALL(IF(AC$1:AC$160&lt;&gt;0,AC$1:AC$160),ROW(A98)),"")&amp;""),"*雙葉*"),0),COUNTIF(AE$1:AE97,"*雙葉*")),"",
IFERROR(SMALL(IF(AC$1:AC$160&lt;&gt;0,AC$1:AC$160),ROW(A98)),""))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38"/>
        <v/>
      </c>
      <c r="AM98" s="65" t="str">
        <f t="shared" ca="1" si="39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0"/>
        <v/>
      </c>
      <c r="AR98" s="65">
        <f t="shared" ca="1" si="33"/>
        <v>0</v>
      </c>
      <c r="AS98" s="65">
        <f t="shared" ca="1" si="34"/>
        <v>0</v>
      </c>
    </row>
    <row r="99" spans="16:45" x14ac:dyDescent="0.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5"/>
        <v/>
      </c>
      <c r="AA99" t="str">
        <f t="shared" ca="1" si="36"/>
        <v/>
      </c>
      <c r="AC99" t="str">
        <f t="shared" ca="1" si="37"/>
        <v/>
      </c>
      <c r="AD99" s="65" t="str">
        <f t="array" aca="1" ref="AD99" ca="1">IF(AND(IFERROR(COUNTIF(INDIRECT("R"&amp;IFERROR(SMALL(IF(AC$1:AC$160&lt;&gt;0,AC$1:AC$160),ROW(A99)),"")&amp;""),"*雙葉*"),0),COUNTIF(AE$1:AE98,"*雙葉*")),"",
IFERROR(SMALL(IF(AC$1:AC$160&lt;&gt;0,AC$1:AC$160),ROW(A99)),""))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38"/>
        <v/>
      </c>
      <c r="AM99" s="65" t="str">
        <f t="shared" ca="1" si="39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0"/>
        <v/>
      </c>
      <c r="AR99" s="65">
        <f t="shared" ca="1" si="33"/>
        <v>0</v>
      </c>
      <c r="AS99" s="65">
        <f t="shared" ca="1" si="34"/>
        <v>0</v>
      </c>
    </row>
    <row r="100" spans="16:45" x14ac:dyDescent="0.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5"/>
        <v/>
      </c>
      <c r="AA100" t="str">
        <f t="shared" ca="1" si="36"/>
        <v/>
      </c>
      <c r="AC100" t="str">
        <f t="shared" ca="1" si="37"/>
        <v/>
      </c>
      <c r="AD100" s="65" t="str">
        <f t="array" aca="1" ref="AD100" ca="1">IF(AND(IFERROR(COUNTIF(INDIRECT("R"&amp;IFERROR(SMALL(IF(AC$1:AC$160&lt;&gt;0,AC$1:AC$160),ROW(A100)),"")&amp;""),"*雙葉*"),0),COUNTIF(AE$1:AE99,"*雙葉*")),"",
IFERROR(SMALL(IF(AC$1:AC$160&lt;&gt;0,AC$1:AC$160),ROW(A100)),""))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38"/>
        <v/>
      </c>
      <c r="AM100" s="65" t="str">
        <f t="shared" ca="1" si="39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0"/>
        <v/>
      </c>
      <c r="AR100" s="65">
        <f t="shared" ca="1" si="33"/>
        <v>0</v>
      </c>
      <c r="AS100" s="65">
        <f t="shared" ca="1" si="34"/>
        <v>0</v>
      </c>
    </row>
    <row r="101" spans="16:45" x14ac:dyDescent="0.45">
      <c r="Q101" s="158" t="str">
        <f>""</f>
        <v/>
      </c>
      <c r="R101" s="158" t="e">
        <f ca="1">IF(まとめ札!K2&lt;&gt;"",まとめ札!A2&amp;"【１】","")</f>
        <v>#N/A</v>
      </c>
      <c r="S101" s="158" t="str">
        <f>""</f>
        <v/>
      </c>
      <c r="T101" s="158" t="e">
        <f ca="1">IF(まとめ札!K2&lt;&gt;"",まとめ札!K2,"")</f>
        <v>#N/A</v>
      </c>
      <c r="U101" s="158" t="str">
        <f>""</f>
        <v/>
      </c>
      <c r="V101" s="158">
        <v>0</v>
      </c>
      <c r="W101" s="158" t="e">
        <f t="shared" ref="W101:W110" ca="1" si="41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5"/>
        <v/>
      </c>
      <c r="AA101" t="str">
        <f t="shared" si="36"/>
        <v/>
      </c>
      <c r="AC101" t="e">
        <f t="shared" ca="1" si="37"/>
        <v>#N/A</v>
      </c>
      <c r="AD101" t="str">
        <f t="array" aca="1" ref="AD101" ca="1">IFERROR(SMALL(IF(AC$1:AC$311&lt;&gt;0,AC$1:AC$311),ROW(A101)),"")</f>
        <v/>
      </c>
    </row>
    <row r="102" spans="16:45" x14ac:dyDescent="0.45">
      <c r="Q102" s="158" t="str">
        <f>""</f>
        <v/>
      </c>
      <c r="R102" s="158" t="str">
        <f>IF(まとめ札【15時】!K3&lt;&gt;"",まとめ札【15時】!A3&amp;"【１】","")</f>
        <v/>
      </c>
      <c r="S102" s="158" t="str">
        <f>""</f>
        <v/>
      </c>
      <c r="T102" s="158" t="str">
        <f>IF(まとめ札【15時】!K3&lt;&gt;"",まとめ札【15時】!K3,"")</f>
        <v/>
      </c>
      <c r="U102" s="158" t="str">
        <f>""</f>
        <v/>
      </c>
      <c r="V102" s="158">
        <v>0</v>
      </c>
      <c r="W102" s="158" t="str">
        <f t="shared" si="41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5"/>
        <v/>
      </c>
      <c r="AA102" t="str">
        <f t="shared" si="36"/>
        <v/>
      </c>
      <c r="AC102" t="str">
        <f t="shared" si="37"/>
        <v/>
      </c>
      <c r="AD102" t="str">
        <f t="array" aca="1" ref="AD102" ca="1">IFERROR(SMALL(IF(AC$1:AC$311&lt;&gt;0,AC$1:AC$311),ROW(A102)),"")</f>
        <v/>
      </c>
    </row>
    <row r="103" spans="16:45" x14ac:dyDescent="0.45">
      <c r="Q103" s="158" t="str">
        <f>""</f>
        <v/>
      </c>
      <c r="R103" s="158" t="str">
        <f>IF(まとめ札【15時】!K4&lt;&gt;"",まとめ札【15時】!A4&amp;"【１】","")</f>
        <v/>
      </c>
      <c r="S103" s="158" t="str">
        <f>""</f>
        <v/>
      </c>
      <c r="T103" s="158" t="str">
        <f>IF(まとめ札【15時】!K4&lt;&gt;"",まとめ札【15時】!K4,"")</f>
        <v/>
      </c>
      <c r="U103" s="158" t="str">
        <f>""</f>
        <v/>
      </c>
      <c r="V103" s="158">
        <v>0</v>
      </c>
      <c r="W103" s="158" t="str">
        <f t="shared" si="41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5"/>
        <v/>
      </c>
      <c r="AA103" t="str">
        <f t="shared" si="36"/>
        <v/>
      </c>
      <c r="AC103" t="str">
        <f t="shared" si="37"/>
        <v/>
      </c>
      <c r="AD103" t="str">
        <f t="array" aca="1" ref="AD103" ca="1">IFERROR(SMALL(IF(AC$1:AC$311&lt;&gt;0,AC$1:AC$311),ROW(A103)),"")</f>
        <v/>
      </c>
    </row>
    <row r="104" spans="16:45" x14ac:dyDescent="0.45">
      <c r="Q104" s="158" t="str">
        <f>""</f>
        <v/>
      </c>
      <c r="R104" s="158" t="str">
        <f>IF(まとめ札【15時】!K5&lt;&gt;"",まとめ札【15時】!A5&amp;"【１】","")</f>
        <v/>
      </c>
      <c r="S104" s="158" t="str">
        <f>""</f>
        <v/>
      </c>
      <c r="T104" s="158" t="str">
        <f>IF(まとめ札【15時】!K5&lt;&gt;"",まとめ札【15時】!K5,"")</f>
        <v/>
      </c>
      <c r="U104" s="158" t="str">
        <f>""</f>
        <v/>
      </c>
      <c r="V104" s="158">
        <v>0</v>
      </c>
      <c r="W104" s="158" t="str">
        <f t="shared" si="41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5"/>
        <v/>
      </c>
      <c r="AA104" t="str">
        <f t="shared" si="36"/>
        <v/>
      </c>
      <c r="AC104" t="str">
        <f t="shared" si="37"/>
        <v/>
      </c>
      <c r="AD104" t="str">
        <f t="array" aca="1" ref="AD104" ca="1">IFERROR(SMALL(IF(AC$1:AC$311&lt;&gt;0,AC$1:AC$311),ROW(A104)),"")</f>
        <v/>
      </c>
    </row>
    <row r="105" spans="16:45" x14ac:dyDescent="0.45">
      <c r="Q105" s="158" t="str">
        <f>""</f>
        <v/>
      </c>
      <c r="R105" s="158" t="str">
        <f>IF(まとめ札【15時】!K6&lt;&gt;"",まとめ札【15時】!A6&amp;"【１】","")</f>
        <v/>
      </c>
      <c r="S105" s="158" t="str">
        <f>""</f>
        <v/>
      </c>
      <c r="T105" s="158" t="str">
        <f>IF(まとめ札【15時】!K6&lt;&gt;"",まとめ札【15時】!K6,"")</f>
        <v/>
      </c>
      <c r="U105" s="158" t="str">
        <f>""</f>
        <v/>
      </c>
      <c r="V105" s="158">
        <v>0</v>
      </c>
      <c r="W105" s="158" t="str">
        <f t="shared" si="41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5"/>
        <v/>
      </c>
      <c r="AA105" t="str">
        <f t="shared" si="36"/>
        <v/>
      </c>
      <c r="AC105" t="str">
        <f t="shared" si="37"/>
        <v/>
      </c>
      <c r="AD105" t="str">
        <f t="array" aca="1" ref="AD105" ca="1">IFERROR(SMALL(IF(AC$1:AC$311&lt;&gt;0,AC$1:AC$311),ROW(A105)),"")</f>
        <v/>
      </c>
    </row>
    <row r="106" spans="16:45" x14ac:dyDescent="0.45">
      <c r="Q106" s="158" t="str">
        <f>""</f>
        <v/>
      </c>
      <c r="R106" s="158" t="str">
        <f>IF(まとめ札【15時】!K7&lt;&gt;"",まとめ札【15時】!A7&amp;"【１】","")</f>
        <v/>
      </c>
      <c r="S106" s="158" t="str">
        <f>""</f>
        <v/>
      </c>
      <c r="T106" s="158" t="str">
        <f>IF(まとめ札【15時】!K7&lt;&gt;"",まとめ札【15時】!K7,"")</f>
        <v/>
      </c>
      <c r="U106" s="158" t="str">
        <f>""</f>
        <v/>
      </c>
      <c r="V106" s="158">
        <v>0</v>
      </c>
      <c r="W106" s="158" t="str">
        <f t="shared" si="41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5"/>
        <v/>
      </c>
      <c r="AA106" t="str">
        <f t="shared" si="36"/>
        <v/>
      </c>
      <c r="AC106" t="str">
        <f t="shared" si="37"/>
        <v/>
      </c>
      <c r="AD106" t="str">
        <f t="array" aca="1" ref="AD106" ca="1">IFERROR(SMALL(IF(AC$1:AC$311&lt;&gt;0,AC$1:AC$311),ROW(A106)),"")</f>
        <v/>
      </c>
    </row>
    <row r="107" spans="16:45" x14ac:dyDescent="0.45">
      <c r="Q107" s="158" t="str">
        <f>""</f>
        <v/>
      </c>
      <c r="R107" s="158" t="str">
        <f>IF(まとめ札【15時】!K8&lt;&gt;"",まとめ札【15時】!A8&amp;"【１】","")</f>
        <v/>
      </c>
      <c r="S107" s="158" t="str">
        <f>""</f>
        <v/>
      </c>
      <c r="T107" s="158" t="str">
        <f>IF(まとめ札【15時】!K8&lt;&gt;"",まとめ札【15時】!K8,"")</f>
        <v/>
      </c>
      <c r="U107" s="158" t="str">
        <f>""</f>
        <v/>
      </c>
      <c r="V107" s="158">
        <v>0</v>
      </c>
      <c r="W107" s="158" t="str">
        <f t="shared" si="41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5"/>
        <v/>
      </c>
      <c r="AA107" t="str">
        <f t="shared" si="36"/>
        <v/>
      </c>
      <c r="AC107" t="str">
        <f t="shared" si="37"/>
        <v/>
      </c>
      <c r="AD107" t="str">
        <f t="array" aca="1" ref="AD107" ca="1">IFERROR(SMALL(IF(AC$1:AC$311&lt;&gt;0,AC$1:AC$311),ROW(A107)),"")</f>
        <v/>
      </c>
    </row>
    <row r="108" spans="16:45" x14ac:dyDescent="0.45">
      <c r="Q108" s="158" t="str">
        <f>""</f>
        <v/>
      </c>
      <c r="R108" s="158" t="str">
        <f>IF(まとめ札【15時】!K9&lt;&gt;"",まとめ札【15時】!A9&amp;"【１】","")</f>
        <v/>
      </c>
      <c r="S108" s="158" t="str">
        <f>""</f>
        <v/>
      </c>
      <c r="T108" s="158" t="str">
        <f>IF(まとめ札【15時】!K9&lt;&gt;"",まとめ札【15時】!K9,"")</f>
        <v/>
      </c>
      <c r="U108" s="158" t="str">
        <f>""</f>
        <v/>
      </c>
      <c r="V108" s="158">
        <v>0</v>
      </c>
      <c r="W108" s="158" t="str">
        <f t="shared" si="41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5"/>
        <v/>
      </c>
      <c r="AA108" t="str">
        <f t="shared" si="36"/>
        <v/>
      </c>
      <c r="AC108" t="str">
        <f t="shared" si="37"/>
        <v/>
      </c>
      <c r="AD108" t="str">
        <f t="array" aca="1" ref="AD108" ca="1">IFERROR(SMALL(IF(AC$1:AC$311&lt;&gt;0,AC$1:AC$311),ROW(A108)),"")</f>
        <v/>
      </c>
    </row>
    <row r="109" spans="16:45" x14ac:dyDescent="0.45">
      <c r="Q109" s="158" t="str">
        <f>""</f>
        <v/>
      </c>
      <c r="R109" s="158" t="str">
        <f>IF(まとめ札【15時】!K10&lt;&gt;"",まとめ札【15時】!A10&amp;"【１】","")</f>
        <v/>
      </c>
      <c r="S109" s="158" t="str">
        <f>""</f>
        <v/>
      </c>
      <c r="T109" s="158" t="str">
        <f>IF(まとめ札【15時】!K10&lt;&gt;"",まとめ札【15時】!K10,"")</f>
        <v/>
      </c>
      <c r="U109" s="158" t="str">
        <f>""</f>
        <v/>
      </c>
      <c r="V109" s="158">
        <v>0</v>
      </c>
      <c r="W109" s="158" t="str">
        <f t="shared" si="41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5"/>
        <v/>
      </c>
      <c r="AA109" t="str">
        <f t="shared" si="36"/>
        <v/>
      </c>
      <c r="AC109" t="str">
        <f t="shared" si="37"/>
        <v/>
      </c>
      <c r="AD109" t="str">
        <f t="array" aca="1" ref="AD109" ca="1">IFERROR(SMALL(IF(AC$1:AC$311&lt;&gt;0,AC$1:AC$311),ROW(A109)),"")</f>
        <v/>
      </c>
    </row>
    <row r="110" spans="16:45" x14ac:dyDescent="0.45">
      <c r="Q110" s="158" t="str">
        <f>""</f>
        <v/>
      </c>
      <c r="R110" s="158" t="str">
        <f>IF(まとめ札【15時】!K11&lt;&gt;"",まとめ札【15時】!A11&amp;"【１】","")</f>
        <v/>
      </c>
      <c r="S110" s="158" t="str">
        <f>""</f>
        <v/>
      </c>
      <c r="T110" s="158" t="str">
        <f>IF(まとめ札【15時】!K11&lt;&gt;"",まとめ札【15時】!K11,"")</f>
        <v/>
      </c>
      <c r="U110" s="158" t="str">
        <f>""</f>
        <v/>
      </c>
      <c r="V110" s="158">
        <v>0</v>
      </c>
      <c r="W110" s="158" t="str">
        <f t="shared" si="41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5"/>
        <v/>
      </c>
      <c r="AA110" t="str">
        <f t="shared" si="36"/>
        <v/>
      </c>
      <c r="AC110" t="str">
        <f t="shared" si="37"/>
        <v/>
      </c>
      <c r="AD110" t="str">
        <f t="array" aca="1" ref="AD110" ca="1">IFERROR(SMALL(IF(AC$1:AC$311&lt;&gt;0,AC$1:AC$311),ROW(A110)),"")</f>
        <v/>
      </c>
    </row>
    <row r="111" spans="16:45" x14ac:dyDescent="0.45">
      <c r="Q111" s="158" t="str">
        <f>""</f>
        <v/>
      </c>
      <c r="R111" s="159" t="str">
        <f>IF(T111&lt;&gt;"",まとめ札【15時】!A2&amp;"【2】","")</f>
        <v/>
      </c>
      <c r="S111" s="158" t="str">
        <f>""</f>
        <v/>
      </c>
      <c r="T111" s="159" t="str">
        <f>IF(まとめ札【15時】!L2&lt;&gt;"",まとめ札【15時】!L2,"")</f>
        <v/>
      </c>
      <c r="U111" s="158" t="str">
        <f>""</f>
        <v/>
      </c>
      <c r="V111" s="158">
        <v>0</v>
      </c>
      <c r="W111" s="160" t="str">
        <f t="shared" ref="W111:W137" si="42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5"/>
        <v/>
      </c>
      <c r="AA111" t="str">
        <f t="shared" si="36"/>
        <v/>
      </c>
      <c r="AC111" t="str">
        <f t="shared" si="37"/>
        <v/>
      </c>
      <c r="AD111" t="str">
        <f t="array" aca="1" ref="AD111" ca="1">IFERROR(SMALL(IF(AC$1:AC$311&lt;&gt;0,AC$1:AC$311),ROW(A111)),"")</f>
        <v/>
      </c>
    </row>
    <row r="112" spans="16:45" x14ac:dyDescent="0.45">
      <c r="Q112" s="158" t="str">
        <f>""</f>
        <v/>
      </c>
      <c r="R112" s="158" t="str">
        <f>IF(T112&lt;&gt;"",まとめ札【15時】!A3&amp;"【2】","")</f>
        <v/>
      </c>
      <c r="S112" s="158" t="str">
        <f>""</f>
        <v/>
      </c>
      <c r="T112" s="158" t="str">
        <f>IF(まとめ札【15時】!L3&lt;&gt;"",まとめ札【15時】!L3,"")</f>
        <v/>
      </c>
      <c r="U112" s="158" t="str">
        <f>""</f>
        <v/>
      </c>
      <c r="V112" s="158">
        <v>0</v>
      </c>
      <c r="W112" s="161" t="str">
        <f t="shared" si="42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5"/>
        <v/>
      </c>
      <c r="AA112" t="str">
        <f t="shared" si="36"/>
        <v/>
      </c>
      <c r="AC112" t="str">
        <f t="shared" si="37"/>
        <v/>
      </c>
      <c r="AD112" t="str">
        <f t="array" aca="1" ref="AD112" ca="1">IFERROR(SMALL(IF(AC$1:AC$311&lt;&gt;0,AC$1:AC$311),ROW(A112)),"")</f>
        <v/>
      </c>
    </row>
    <row r="113" spans="17:30" x14ac:dyDescent="0.45">
      <c r="Q113" s="158" t="str">
        <f>""</f>
        <v/>
      </c>
      <c r="R113" s="158" t="str">
        <f>IF(T113&lt;&gt;"",まとめ札【15時】!A4&amp;"【2】","")</f>
        <v/>
      </c>
      <c r="S113" s="158" t="str">
        <f>""</f>
        <v/>
      </c>
      <c r="T113" s="158" t="str">
        <f>IF(まとめ札【15時】!L4&lt;&gt;"",まとめ札【15時】!L4,"")</f>
        <v/>
      </c>
      <c r="U113" s="158" t="str">
        <f>""</f>
        <v/>
      </c>
      <c r="V113" s="158">
        <v>0</v>
      </c>
      <c r="W113" s="161" t="str">
        <f t="shared" si="42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5"/>
        <v/>
      </c>
      <c r="AA113" t="str">
        <f t="shared" si="36"/>
        <v/>
      </c>
      <c r="AC113" t="str">
        <f t="shared" si="37"/>
        <v/>
      </c>
      <c r="AD113" t="str">
        <f t="array" aca="1" ref="AD113" ca="1">IFERROR(SMALL(IF(AC$1:AC$311&lt;&gt;0,AC$1:AC$311),ROW(A113)),"")</f>
        <v/>
      </c>
    </row>
    <row r="114" spans="17:30" x14ac:dyDescent="0.45">
      <c r="Q114" s="158" t="str">
        <f>""</f>
        <v/>
      </c>
      <c r="R114" s="158" t="str">
        <f>IF(T114&lt;&gt;"",まとめ札【15時】!A5&amp;"【2】","")</f>
        <v/>
      </c>
      <c r="S114" s="158" t="str">
        <f>""</f>
        <v/>
      </c>
      <c r="T114" s="158" t="str">
        <f>IF(まとめ札【15時】!L5&lt;&gt;"",まとめ札【15時】!L5,"")</f>
        <v/>
      </c>
      <c r="U114" s="158" t="str">
        <f>""</f>
        <v/>
      </c>
      <c r="V114" s="158">
        <v>0</v>
      </c>
      <c r="W114" s="161" t="str">
        <f t="shared" si="42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5"/>
        <v/>
      </c>
      <c r="AA114" t="str">
        <f t="shared" si="36"/>
        <v/>
      </c>
      <c r="AC114" t="str">
        <f t="shared" si="37"/>
        <v/>
      </c>
      <c r="AD114" t="str">
        <f t="array" aca="1" ref="AD114" ca="1">IFERROR(SMALL(IF(AC$1:AC$311&lt;&gt;0,AC$1:AC$311),ROW(A114)),"")</f>
        <v/>
      </c>
    </row>
    <row r="115" spans="17:30" x14ac:dyDescent="0.45">
      <c r="Q115" s="158" t="str">
        <f>""</f>
        <v/>
      </c>
      <c r="R115" s="158" t="str">
        <f>IF(T115&lt;&gt;"",まとめ札【15時】!A6&amp;"【2】","")</f>
        <v/>
      </c>
      <c r="S115" s="158" t="str">
        <f>""</f>
        <v/>
      </c>
      <c r="T115" s="158" t="str">
        <f>IF(まとめ札【15時】!L6&lt;&gt;"",まとめ札【15時】!L6,"")</f>
        <v/>
      </c>
      <c r="U115" s="158" t="str">
        <f>""</f>
        <v/>
      </c>
      <c r="V115" s="158">
        <v>0</v>
      </c>
      <c r="W115" s="161" t="str">
        <f t="shared" si="42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5"/>
        <v/>
      </c>
      <c r="AA115" t="str">
        <f t="shared" si="36"/>
        <v/>
      </c>
      <c r="AC115" t="str">
        <f t="shared" si="37"/>
        <v/>
      </c>
      <c r="AD115" t="str">
        <f t="array" aca="1" ref="AD115" ca="1">IFERROR(SMALL(IF(AC$1:AC$311&lt;&gt;0,AC$1:AC$311),ROW(A115)),"")</f>
        <v/>
      </c>
    </row>
    <row r="116" spans="17:30" x14ac:dyDescent="0.45">
      <c r="Q116" s="158" t="str">
        <f>""</f>
        <v/>
      </c>
      <c r="R116" s="158" t="str">
        <f>IF(T116&lt;&gt;"",まとめ札【15時】!A7&amp;"【2】","")</f>
        <v/>
      </c>
      <c r="S116" s="158" t="str">
        <f>""</f>
        <v/>
      </c>
      <c r="T116" s="158" t="str">
        <f>IF(まとめ札【15時】!L7&lt;&gt;"",まとめ札【15時】!L7,"")</f>
        <v/>
      </c>
      <c r="U116" s="158" t="str">
        <f>""</f>
        <v/>
      </c>
      <c r="V116" s="158">
        <v>0</v>
      </c>
      <c r="W116" s="161" t="str">
        <f t="shared" si="42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5"/>
        <v/>
      </c>
      <c r="AA116" t="str">
        <f t="shared" si="36"/>
        <v/>
      </c>
      <c r="AC116" t="str">
        <f t="shared" si="37"/>
        <v/>
      </c>
      <c r="AD116" t="str">
        <f t="array" aca="1" ref="AD116" ca="1">IFERROR(SMALL(IF(AC$1:AC$311&lt;&gt;0,AC$1:AC$311),ROW(A116)),"")</f>
        <v/>
      </c>
    </row>
    <row r="117" spans="17:30" x14ac:dyDescent="0.45">
      <c r="Q117" s="158" t="str">
        <f>""</f>
        <v/>
      </c>
      <c r="R117" s="158" t="str">
        <f>IF(T117&lt;&gt;"",まとめ札【15時】!A8&amp;"【2】","")</f>
        <v/>
      </c>
      <c r="S117" s="158" t="str">
        <f>""</f>
        <v/>
      </c>
      <c r="T117" s="158" t="str">
        <f>IF(まとめ札【15時】!L8&lt;&gt;"",まとめ札【15時】!L8,"")</f>
        <v/>
      </c>
      <c r="U117" s="158" t="str">
        <f>""</f>
        <v/>
      </c>
      <c r="V117" s="158">
        <v>0</v>
      </c>
      <c r="W117" s="161" t="str">
        <f t="shared" si="42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5"/>
        <v/>
      </c>
      <c r="AA117" t="str">
        <f t="shared" si="36"/>
        <v/>
      </c>
      <c r="AC117" t="str">
        <f t="shared" si="37"/>
        <v/>
      </c>
      <c r="AD117" t="str">
        <f t="array" aca="1" ref="AD117" ca="1">IFERROR(SMALL(IF(AC$1:AC$311&lt;&gt;0,AC$1:AC$311),ROW(A117)),"")</f>
        <v/>
      </c>
    </row>
    <row r="118" spans="17:30" x14ac:dyDescent="0.45">
      <c r="Q118" s="158" t="str">
        <f>""</f>
        <v/>
      </c>
      <c r="R118" s="158" t="str">
        <f>IF(T118&lt;&gt;"",まとめ札【15時】!A9&amp;"【2】","")</f>
        <v/>
      </c>
      <c r="S118" s="158" t="str">
        <f>""</f>
        <v/>
      </c>
      <c r="T118" s="158" t="str">
        <f>IF(まとめ札【15時】!L9&lt;&gt;"",まとめ札【15時】!L9,"")</f>
        <v/>
      </c>
      <c r="U118" s="158" t="str">
        <f>""</f>
        <v/>
      </c>
      <c r="V118" s="158">
        <v>0</v>
      </c>
      <c r="W118" s="161" t="str">
        <f t="shared" si="42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5"/>
        <v/>
      </c>
      <c r="AA118" t="str">
        <f t="shared" si="36"/>
        <v/>
      </c>
      <c r="AC118" t="str">
        <f t="shared" si="37"/>
        <v/>
      </c>
      <c r="AD118" t="str">
        <f t="array" aca="1" ref="AD118" ca="1">IFERROR(SMALL(IF(AC$1:AC$311&lt;&gt;0,AC$1:AC$311),ROW(A118)),"")</f>
        <v/>
      </c>
    </row>
    <row r="119" spans="17:30" x14ac:dyDescent="0.45">
      <c r="Q119" s="158" t="str">
        <f>""</f>
        <v/>
      </c>
      <c r="R119" s="158" t="str">
        <f>IF(T119&lt;&gt;"",まとめ札【15時】!A10&amp;"【2】","")</f>
        <v/>
      </c>
      <c r="S119" s="158" t="str">
        <f>""</f>
        <v/>
      </c>
      <c r="T119" s="162" t="str">
        <f>IF(まとめ札【15時】!L10&lt;&gt;"",まとめ札【15時】!L10,"")</f>
        <v/>
      </c>
      <c r="U119" s="158" t="str">
        <f>""</f>
        <v/>
      </c>
      <c r="V119" s="158">
        <v>0</v>
      </c>
      <c r="W119" s="163" t="str">
        <f t="shared" si="42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5"/>
        <v/>
      </c>
      <c r="AA119" t="str">
        <f t="shared" si="36"/>
        <v/>
      </c>
      <c r="AC119" t="str">
        <f t="shared" si="37"/>
        <v/>
      </c>
      <c r="AD119" t="str">
        <f t="array" aca="1" ref="AD119" ca="1">IFERROR(SMALL(IF(AC$1:AC$311&lt;&gt;0,AC$1:AC$311),ROW(A119)),"")</f>
        <v/>
      </c>
    </row>
    <row r="120" spans="17:30" x14ac:dyDescent="0.45">
      <c r="Q120" s="158" t="str">
        <f>""</f>
        <v/>
      </c>
      <c r="R120" s="159" t="str">
        <f>IF(T120&lt;&gt;"",まとめ札【15時】!A2&amp;"【3】","")</f>
        <v/>
      </c>
      <c r="S120" s="158" t="str">
        <f>""</f>
        <v/>
      </c>
      <c r="T120" s="159" t="str">
        <f>IF(まとめ札【15時】!M2&lt;&gt;"",まとめ札【15時】!M2,"")</f>
        <v/>
      </c>
      <c r="U120" s="158" t="str">
        <f>""</f>
        <v/>
      </c>
      <c r="V120" s="158">
        <v>0</v>
      </c>
      <c r="W120" s="160" t="str">
        <f t="shared" si="42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5"/>
        <v/>
      </c>
      <c r="AA120" t="str">
        <f t="shared" si="36"/>
        <v/>
      </c>
      <c r="AC120" t="str">
        <f t="shared" si="37"/>
        <v/>
      </c>
      <c r="AD120" t="str">
        <f t="array" aca="1" ref="AD120" ca="1">IFERROR(SMALL(IF(AC$1:AC$311&lt;&gt;0,AC$1:AC$311),ROW(A120)),"")</f>
        <v/>
      </c>
    </row>
    <row r="121" spans="17:30" x14ac:dyDescent="0.45">
      <c r="Q121" s="158" t="str">
        <f>""</f>
        <v/>
      </c>
      <c r="R121" s="158" t="str">
        <f>IF(T121&lt;&gt;"",まとめ札【15時】!A3&amp;"【3】","")</f>
        <v/>
      </c>
      <c r="S121" s="158" t="str">
        <f>""</f>
        <v/>
      </c>
      <c r="T121" s="158" t="str">
        <f>IF(まとめ札【15時】!M3&lt;&gt;"",まとめ札【15時】!M3,"")</f>
        <v/>
      </c>
      <c r="U121" s="158" t="str">
        <f>""</f>
        <v/>
      </c>
      <c r="V121" s="158">
        <v>0</v>
      </c>
      <c r="W121" s="161" t="str">
        <f t="shared" si="42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5"/>
        <v/>
      </c>
      <c r="AA121" t="str">
        <f t="shared" si="36"/>
        <v/>
      </c>
      <c r="AC121" t="str">
        <f t="shared" si="37"/>
        <v/>
      </c>
      <c r="AD121" t="str">
        <f t="array" aca="1" ref="AD121" ca="1">IFERROR(SMALL(IF(AC$1:AC$311&lt;&gt;0,AC$1:AC$311),ROW(A121)),"")</f>
        <v/>
      </c>
    </row>
    <row r="122" spans="17:30" x14ac:dyDescent="0.45">
      <c r="Q122" s="158" t="str">
        <f>""</f>
        <v/>
      </c>
      <c r="R122" s="158" t="str">
        <f>IF(T122&lt;&gt;"",まとめ札【15時】!A4&amp;"【3】","")</f>
        <v/>
      </c>
      <c r="S122" s="158" t="str">
        <f>""</f>
        <v/>
      </c>
      <c r="T122" s="158" t="str">
        <f>IF(まとめ札【15時】!M4&lt;&gt;"",まとめ札【15時】!M4,"")</f>
        <v/>
      </c>
      <c r="U122" s="158" t="str">
        <f>""</f>
        <v/>
      </c>
      <c r="V122" s="158">
        <v>0</v>
      </c>
      <c r="W122" s="161" t="str">
        <f t="shared" si="42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5"/>
        <v/>
      </c>
      <c r="AA122" t="str">
        <f t="shared" si="36"/>
        <v/>
      </c>
      <c r="AC122" t="str">
        <f t="shared" si="37"/>
        <v/>
      </c>
      <c r="AD122" t="str">
        <f t="array" aca="1" ref="AD122" ca="1">IFERROR(SMALL(IF(AC$1:AC$311&lt;&gt;0,AC$1:AC$311),ROW(A122)),"")</f>
        <v/>
      </c>
    </row>
    <row r="123" spans="17:30" x14ac:dyDescent="0.45">
      <c r="Q123" s="158" t="str">
        <f>""</f>
        <v/>
      </c>
      <c r="R123" s="158" t="str">
        <f>IF(T123&lt;&gt;"",まとめ札【15時】!A5&amp;"【3】","")</f>
        <v/>
      </c>
      <c r="S123" s="158" t="str">
        <f>""</f>
        <v/>
      </c>
      <c r="T123" s="158" t="str">
        <f>IF(まとめ札【15時】!M5&lt;&gt;"",まとめ札【15時】!M5,"")</f>
        <v/>
      </c>
      <c r="U123" s="158" t="str">
        <f>""</f>
        <v/>
      </c>
      <c r="V123" s="158">
        <v>0</v>
      </c>
      <c r="W123" s="161" t="str">
        <f t="shared" si="42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5"/>
        <v/>
      </c>
      <c r="AA123" t="str">
        <f t="shared" si="36"/>
        <v/>
      </c>
      <c r="AC123" t="str">
        <f t="shared" si="37"/>
        <v/>
      </c>
      <c r="AD123" t="str">
        <f t="array" aca="1" ref="AD123" ca="1">IFERROR(SMALL(IF(AC$1:AC$311&lt;&gt;0,AC$1:AC$311),ROW(A123)),"")</f>
        <v/>
      </c>
    </row>
    <row r="124" spans="17:30" x14ac:dyDescent="0.45">
      <c r="Q124" s="158" t="str">
        <f>""</f>
        <v/>
      </c>
      <c r="R124" s="158" t="str">
        <f>IF(T124&lt;&gt;"",まとめ札【15時】!A6&amp;"【3】","")</f>
        <v/>
      </c>
      <c r="S124" s="158" t="str">
        <f>""</f>
        <v/>
      </c>
      <c r="T124" s="158" t="str">
        <f>IF(まとめ札【15時】!M6&lt;&gt;"",まとめ札【15時】!M6,"")</f>
        <v/>
      </c>
      <c r="U124" s="158" t="str">
        <f>""</f>
        <v/>
      </c>
      <c r="V124" s="158">
        <v>0</v>
      </c>
      <c r="W124" s="161" t="str">
        <f t="shared" si="42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5"/>
        <v/>
      </c>
      <c r="AA124" t="str">
        <f t="shared" si="36"/>
        <v/>
      </c>
      <c r="AC124" t="str">
        <f t="shared" si="37"/>
        <v/>
      </c>
      <c r="AD124" t="str">
        <f t="array" aca="1" ref="AD124" ca="1">IFERROR(SMALL(IF(AC$1:AC$311&lt;&gt;0,AC$1:AC$311),ROW(A124)),"")</f>
        <v/>
      </c>
    </row>
    <row r="125" spans="17:30" x14ac:dyDescent="0.45">
      <c r="Q125" s="158" t="str">
        <f>""</f>
        <v/>
      </c>
      <c r="R125" s="158" t="str">
        <f>IF(T125&lt;&gt;"",まとめ札【15時】!A7&amp;"【3】","")</f>
        <v/>
      </c>
      <c r="S125" s="158" t="str">
        <f>""</f>
        <v/>
      </c>
      <c r="T125" s="158" t="str">
        <f>IF(まとめ札【15時】!M7&lt;&gt;"",まとめ札【15時】!M7,"")</f>
        <v/>
      </c>
      <c r="U125" s="158" t="str">
        <f>""</f>
        <v/>
      </c>
      <c r="V125" s="158">
        <v>0</v>
      </c>
      <c r="W125" s="161" t="str">
        <f t="shared" si="42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5"/>
        <v/>
      </c>
      <c r="AA125" t="str">
        <f t="shared" si="36"/>
        <v/>
      </c>
      <c r="AC125" t="str">
        <f t="shared" si="37"/>
        <v/>
      </c>
      <c r="AD125" t="str">
        <f t="array" aca="1" ref="AD125" ca="1">IFERROR(SMALL(IF(AC$1:AC$311&lt;&gt;0,AC$1:AC$311),ROW(A125)),"")</f>
        <v/>
      </c>
    </row>
    <row r="126" spans="17:30" x14ac:dyDescent="0.45">
      <c r="Q126" s="158" t="str">
        <f>""</f>
        <v/>
      </c>
      <c r="R126" s="158" t="str">
        <f>IF(T126&lt;&gt;"",まとめ札【15時】!A8&amp;"【3】","")</f>
        <v/>
      </c>
      <c r="S126" s="158" t="str">
        <f>""</f>
        <v/>
      </c>
      <c r="T126" s="158" t="str">
        <f>IF(まとめ札【15時】!M8&lt;&gt;"",まとめ札【15時】!M8,"")</f>
        <v/>
      </c>
      <c r="U126" s="158" t="str">
        <f>""</f>
        <v/>
      </c>
      <c r="V126" s="158">
        <v>0</v>
      </c>
      <c r="W126" s="161" t="str">
        <f t="shared" si="42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5"/>
        <v/>
      </c>
      <c r="AA126" t="str">
        <f t="shared" si="36"/>
        <v/>
      </c>
      <c r="AC126" t="str">
        <f t="shared" si="37"/>
        <v/>
      </c>
      <c r="AD126" t="str">
        <f t="array" aca="1" ref="AD126" ca="1">IFERROR(SMALL(IF(AC$1:AC$311&lt;&gt;0,AC$1:AC$311),ROW(A126)),"")</f>
        <v/>
      </c>
    </row>
    <row r="127" spans="17:30" x14ac:dyDescent="0.45">
      <c r="Q127" s="158" t="str">
        <f>""</f>
        <v/>
      </c>
      <c r="R127" s="158" t="str">
        <f>IF(T127&lt;&gt;"",まとめ札【15時】!A9&amp;"【3】","")</f>
        <v/>
      </c>
      <c r="S127" s="158" t="str">
        <f>""</f>
        <v/>
      </c>
      <c r="T127" s="158" t="str">
        <f>IF(まとめ札【15時】!M9&lt;&gt;"",まとめ札【15時】!M9,"")</f>
        <v/>
      </c>
      <c r="U127" s="158" t="str">
        <f>""</f>
        <v/>
      </c>
      <c r="V127" s="158">
        <v>0</v>
      </c>
      <c r="W127" s="161" t="str">
        <f t="shared" si="42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5"/>
        <v/>
      </c>
      <c r="AA127" t="str">
        <f t="shared" si="36"/>
        <v/>
      </c>
      <c r="AC127" t="str">
        <f t="shared" si="37"/>
        <v/>
      </c>
      <c r="AD127" t="str">
        <f t="array" aca="1" ref="AD127" ca="1">IFERROR(SMALL(IF(AC$1:AC$311&lt;&gt;0,AC$1:AC$311),ROW(A127)),"")</f>
        <v/>
      </c>
    </row>
    <row r="128" spans="17:30" x14ac:dyDescent="0.45">
      <c r="Q128" s="158" t="str">
        <f>""</f>
        <v/>
      </c>
      <c r="R128" s="162" t="str">
        <f>IF(T128&lt;&gt;"",まとめ札【15時】!A10&amp;"【3】","")</f>
        <v/>
      </c>
      <c r="S128" s="158" t="str">
        <f>""</f>
        <v/>
      </c>
      <c r="T128" s="162" t="str">
        <f>IF(まとめ札【15時】!M10&lt;&gt;"",まとめ札【15時】!M10,"")</f>
        <v/>
      </c>
      <c r="U128" s="158" t="str">
        <f>""</f>
        <v/>
      </c>
      <c r="V128" s="158">
        <v>0</v>
      </c>
      <c r="W128" s="163" t="str">
        <f t="shared" si="42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5"/>
        <v/>
      </c>
      <c r="AA128" t="str">
        <f t="shared" si="36"/>
        <v/>
      </c>
      <c r="AC128" t="str">
        <f t="shared" si="37"/>
        <v/>
      </c>
      <c r="AD128" t="str">
        <f t="array" aca="1" ref="AD128" ca="1">IFERROR(SMALL(IF(AC$1:AC$311&lt;&gt;0,AC$1:AC$311),ROW(A128)),"")</f>
        <v/>
      </c>
    </row>
    <row r="129" spans="17:30" x14ac:dyDescent="0.45">
      <c r="Q129" s="158" t="str">
        <f>""</f>
        <v/>
      </c>
      <c r="R129" s="159" t="str">
        <f>IF(T129&lt;&gt;"",まとめ札【15時】!A2&amp;"【4】","")</f>
        <v/>
      </c>
      <c r="S129" s="158" t="str">
        <f>""</f>
        <v/>
      </c>
      <c r="T129" s="159" t="str">
        <f>IF(まとめ札【15時】!N2&lt;&gt;"",まとめ札【15時】!N2,"")</f>
        <v/>
      </c>
      <c r="U129" s="158" t="str">
        <f>""</f>
        <v/>
      </c>
      <c r="V129" s="158">
        <v>0</v>
      </c>
      <c r="W129" s="160" t="str">
        <f t="shared" si="42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60" si="43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60" si="44">IF(Z129&lt;&gt;"",
IF(VALUE(T129-V129)&gt;VALUE(Y129*Z129),
"+"&amp;(T129-V129)-Y129*Z129,
(T129-V129)-Y129*Z129),"")</f>
        <v/>
      </c>
      <c r="AC129" t="str">
        <f t="shared" ref="AC129:AC140" si="45">IF(R129&lt;&gt;"",ROW(),"")</f>
        <v/>
      </c>
      <c r="AD129" t="str">
        <f t="array" aca="1" ref="AD129" ca="1">IFERROR(SMALL(IF(AC$1:AC$311&lt;&gt;0,AC$1:AC$311),ROW(A129)),"")</f>
        <v/>
      </c>
    </row>
    <row r="130" spans="17:30" x14ac:dyDescent="0.45">
      <c r="Q130" s="158" t="str">
        <f>""</f>
        <v/>
      </c>
      <c r="R130" s="158" t="str">
        <f>IF(T130&lt;&gt;"",まとめ札【15時】!A3&amp;"【4】","")</f>
        <v/>
      </c>
      <c r="S130" s="158" t="str">
        <f>""</f>
        <v/>
      </c>
      <c r="T130" s="158" t="str">
        <f>IF(まとめ札【15時】!N3&lt;&gt;"",まとめ札【15時】!N3,"")</f>
        <v/>
      </c>
      <c r="U130" s="158" t="str">
        <f>""</f>
        <v/>
      </c>
      <c r="V130" s="158">
        <v>0</v>
      </c>
      <c r="W130" s="161" t="str">
        <f t="shared" si="42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3"/>
        <v/>
      </c>
      <c r="AA130" t="str">
        <f t="shared" si="44"/>
        <v/>
      </c>
      <c r="AC130" t="str">
        <f t="shared" si="45"/>
        <v/>
      </c>
      <c r="AD130" t="str">
        <f t="array" aca="1" ref="AD130" ca="1">IFERROR(SMALL(IF(AC$1:AC$311&lt;&gt;0,AC$1:AC$311),ROW(A130)),"")</f>
        <v/>
      </c>
    </row>
    <row r="131" spans="17:30" x14ac:dyDescent="0.45">
      <c r="Q131" s="158" t="str">
        <f>""</f>
        <v/>
      </c>
      <c r="R131" s="158" t="str">
        <f>IF(T131&lt;&gt;"",まとめ札【15時】!A4&amp;"【4】","")</f>
        <v/>
      </c>
      <c r="S131" s="158" t="str">
        <f>""</f>
        <v/>
      </c>
      <c r="T131" s="158" t="str">
        <f>IF(まとめ札【15時】!N4&lt;&gt;"",まとめ札【15時】!N4,"")</f>
        <v/>
      </c>
      <c r="U131" s="158" t="str">
        <f>""</f>
        <v/>
      </c>
      <c r="V131" s="158">
        <v>0</v>
      </c>
      <c r="W131" s="161" t="str">
        <f t="shared" si="42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3"/>
        <v/>
      </c>
      <c r="AA131" t="str">
        <f t="shared" si="44"/>
        <v/>
      </c>
      <c r="AC131" t="str">
        <f t="shared" si="45"/>
        <v/>
      </c>
      <c r="AD131" t="str">
        <f t="array" aca="1" ref="AD131" ca="1">IFERROR(SMALL(IF(AC$1:AC$311&lt;&gt;0,AC$1:AC$311),ROW(A131)),"")</f>
        <v/>
      </c>
    </row>
    <row r="132" spans="17:30" x14ac:dyDescent="0.45">
      <c r="Q132" s="158" t="str">
        <f>""</f>
        <v/>
      </c>
      <c r="R132" s="158" t="str">
        <f>IF(T132&lt;&gt;"",まとめ札【15時】!A5&amp;"【4】","")</f>
        <v/>
      </c>
      <c r="S132" s="158" t="str">
        <f>""</f>
        <v/>
      </c>
      <c r="T132" s="158" t="str">
        <f>IF(まとめ札【15時】!N5&lt;&gt;"",まとめ札【15時】!N5,"")</f>
        <v/>
      </c>
      <c r="U132" s="158" t="str">
        <f>""</f>
        <v/>
      </c>
      <c r="V132" s="158">
        <v>0</v>
      </c>
      <c r="W132" s="161" t="str">
        <f t="shared" si="42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3"/>
        <v/>
      </c>
      <c r="AA132" t="str">
        <f t="shared" si="44"/>
        <v/>
      </c>
      <c r="AC132" t="str">
        <f t="shared" si="45"/>
        <v/>
      </c>
      <c r="AD132" t="str">
        <f t="array" aca="1" ref="AD132" ca="1">IFERROR(SMALL(IF(AC$1:AC$311&lt;&gt;0,AC$1:AC$311),ROW(A132)),"")</f>
        <v/>
      </c>
    </row>
    <row r="133" spans="17:30" x14ac:dyDescent="0.45">
      <c r="Q133" s="158" t="str">
        <f>""</f>
        <v/>
      </c>
      <c r="R133" s="158" t="str">
        <f>IF(T133&lt;&gt;"",まとめ札【15時】!A6&amp;"【4】","")</f>
        <v/>
      </c>
      <c r="S133" s="158" t="str">
        <f>""</f>
        <v/>
      </c>
      <c r="T133" s="158" t="str">
        <f>IF(まとめ札【15時】!N6&lt;&gt;"",まとめ札【15時】!N6,"")</f>
        <v/>
      </c>
      <c r="U133" s="158" t="str">
        <f>""</f>
        <v/>
      </c>
      <c r="V133" s="158">
        <v>0</v>
      </c>
      <c r="W133" s="161" t="str">
        <f t="shared" si="42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3"/>
        <v/>
      </c>
      <c r="AA133" t="str">
        <f t="shared" si="44"/>
        <v/>
      </c>
      <c r="AC133" t="str">
        <f t="shared" si="45"/>
        <v/>
      </c>
      <c r="AD133" t="str">
        <f t="array" aca="1" ref="AD133" ca="1">IFERROR(SMALL(IF(AC$1:AC$311&lt;&gt;0,AC$1:AC$311),ROW(A133)),"")</f>
        <v/>
      </c>
    </row>
    <row r="134" spans="17:30" x14ac:dyDescent="0.45">
      <c r="Q134" s="158" t="str">
        <f>""</f>
        <v/>
      </c>
      <c r="R134" s="158" t="str">
        <f>IF(T134&lt;&gt;"",まとめ札【15時】!A7&amp;"【4】","")</f>
        <v/>
      </c>
      <c r="S134" s="158" t="str">
        <f>""</f>
        <v/>
      </c>
      <c r="T134" s="158" t="str">
        <f>IF(まとめ札【15時】!N7&lt;&gt;"",まとめ札【15時】!N7,"")</f>
        <v/>
      </c>
      <c r="U134" s="158" t="str">
        <f>""</f>
        <v/>
      </c>
      <c r="V134" s="158">
        <v>0</v>
      </c>
      <c r="W134" s="161" t="str">
        <f t="shared" si="42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3"/>
        <v/>
      </c>
      <c r="AA134" t="str">
        <f t="shared" si="44"/>
        <v/>
      </c>
      <c r="AC134" t="str">
        <f t="shared" si="45"/>
        <v/>
      </c>
      <c r="AD134" t="str">
        <f t="array" aca="1" ref="AD134" ca="1">IFERROR(SMALL(IF(AC$1:AC$311&lt;&gt;0,AC$1:AC$311),ROW(A134)),"")</f>
        <v/>
      </c>
    </row>
    <row r="135" spans="17:30" x14ac:dyDescent="0.45">
      <c r="Q135" s="158" t="str">
        <f>""</f>
        <v/>
      </c>
      <c r="R135" s="158" t="str">
        <f>IF(T135&lt;&gt;"",まとめ札【15時】!A8&amp;"【4】","")</f>
        <v/>
      </c>
      <c r="S135" s="158" t="str">
        <f>""</f>
        <v/>
      </c>
      <c r="T135" s="158" t="str">
        <f>IF(まとめ札【15時】!N8&lt;&gt;"",まとめ札【15時】!N8,"")</f>
        <v/>
      </c>
      <c r="U135" s="158" t="str">
        <f>""</f>
        <v/>
      </c>
      <c r="V135" s="158">
        <v>0</v>
      </c>
      <c r="W135" s="161" t="str">
        <f t="shared" si="42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3"/>
        <v/>
      </c>
      <c r="AA135" t="str">
        <f t="shared" si="44"/>
        <v/>
      </c>
      <c r="AC135" t="str">
        <f t="shared" si="45"/>
        <v/>
      </c>
      <c r="AD135" t="str">
        <f t="array" aca="1" ref="AD135" ca="1">IFERROR(SMALL(IF(AC$1:AC$311&lt;&gt;0,AC$1:AC$311),ROW(A135)),"")</f>
        <v/>
      </c>
    </row>
    <row r="136" spans="17:30" x14ac:dyDescent="0.45">
      <c r="Q136" s="158" t="str">
        <f>""</f>
        <v/>
      </c>
      <c r="R136" s="158" t="str">
        <f>IF(T136&lt;&gt;"",まとめ札【15時】!A9&amp;"【4】","")</f>
        <v/>
      </c>
      <c r="S136" s="158" t="str">
        <f>""</f>
        <v/>
      </c>
      <c r="T136" s="158" t="str">
        <f>IF(まとめ札【15時】!N9&lt;&gt;"",まとめ札【15時】!N9,"")</f>
        <v/>
      </c>
      <c r="U136" s="158" t="str">
        <f>""</f>
        <v/>
      </c>
      <c r="V136" s="158">
        <v>0</v>
      </c>
      <c r="W136" s="161" t="str">
        <f t="shared" si="42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3"/>
        <v/>
      </c>
      <c r="AA136" t="str">
        <f t="shared" si="44"/>
        <v/>
      </c>
      <c r="AC136" t="str">
        <f t="shared" si="45"/>
        <v/>
      </c>
      <c r="AD136" t="str">
        <f t="array" aca="1" ref="AD136" ca="1">IFERROR(SMALL(IF(AC$1:AC$311&lt;&gt;0,AC$1:AC$311),ROW(A136)),"")</f>
        <v/>
      </c>
    </row>
    <row r="137" spans="17:30" x14ac:dyDescent="0.45">
      <c r="Q137" s="158" t="str">
        <f>""</f>
        <v/>
      </c>
      <c r="R137" s="158" t="str">
        <f>IF(T137&lt;&gt;"",まとめ札【15時】!A10&amp;"【4】","")</f>
        <v/>
      </c>
      <c r="S137" s="158" t="str">
        <f>""</f>
        <v/>
      </c>
      <c r="T137" s="158" t="str">
        <f>IF(まとめ札【15時】!N10&lt;&gt;"",まとめ札【15時】!N10,"")</f>
        <v/>
      </c>
      <c r="U137" s="158" t="str">
        <f>""</f>
        <v/>
      </c>
      <c r="V137" s="158">
        <v>0</v>
      </c>
      <c r="W137" s="161" t="str">
        <f t="shared" si="42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3"/>
        <v/>
      </c>
      <c r="AA137" t="str">
        <f t="shared" si="44"/>
        <v/>
      </c>
      <c r="AC137" t="str">
        <f t="shared" si="45"/>
        <v/>
      </c>
      <c r="AD137" t="str">
        <f t="array" aca="1" ref="AD137" ca="1">IFERROR(SMALL(IF(AC$1:AC$311&lt;&gt;0,AC$1:AC$311),ROW(A137)),"")</f>
        <v/>
      </c>
    </row>
    <row r="138" spans="17:30" x14ac:dyDescent="0.45">
      <c r="Q138" s="164" t="str">
        <f ca="1">IF(R138&lt;&gt;"",5100,"")</f>
        <v/>
      </c>
      <c r="R138" s="164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64" t="str">
        <f t="array" aca="1" ref="S138" ca="1">IF(R138&lt;&gt;"",
IF(COUNTIF($R$1:$R$50,"*雙葉*")=1,INDIRECT("S"&amp;MATCH("*雙葉*",$R$1:$R$50,0)),""),"")</f>
        <v/>
      </c>
      <c r="T138" s="164" t="str">
        <f t="array" aca="1" ref="T138" ca="1">IF(R138&lt;&gt;"",
INDIRECT("'盛付札（関数）'!H"&amp;MATCH("*雙葉*",'盛付札（関数）'!C1:C70,0)&amp;""),"")</f>
        <v/>
      </c>
      <c r="U138" s="164" t="str">
        <f t="array" aca="1" ref="U138" ca="1">IF(R138&lt;&gt;"",
INDIRECT("'盛付札（関数）'!I"&amp;MATCH("*雙葉*",'盛付札（関数）'!C1:C70,0)&amp;""),"")</f>
        <v/>
      </c>
      <c r="V138" s="164" t="str">
        <f t="array" aca="1" ref="V138" ca="1">IF(R138&lt;&gt;"",
INDIRECT("'盛付札（関数）'!M"&amp;MATCH("*雙葉*",'盛付札（関数）'!C1:C70,0)&amp;""),"")</f>
        <v/>
      </c>
      <c r="W138" s="164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3"/>
        <v/>
      </c>
      <c r="AA138" t="str">
        <f t="shared" ca="1" si="44"/>
        <v/>
      </c>
      <c r="AC138" t="str">
        <f t="shared" ca="1" si="45"/>
        <v/>
      </c>
      <c r="AD138" t="str">
        <f t="array" aca="1" ref="AD138" ca="1">IFERROR(SMALL(IF(AC$1:AC$311&lt;&gt;0,AC$1:AC$311),ROW(A138)),"")</f>
        <v/>
      </c>
    </row>
    <row r="139" spans="17:30" x14ac:dyDescent="0.45">
      <c r="Q139" s="164" t="str">
        <f ca="1">IF(R139&lt;&gt;"",5100,"")</f>
        <v/>
      </c>
      <c r="R139" s="164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64" t="str">
        <f t="array" aca="1" ref="S139" ca="1">IF(R139&lt;&gt;"",
IF(COUNTIF($R$1:$R$50,"*雙葉*")=1,INDIRECT("S"&amp;MATCH("*雙葉*",$R$1:$R$50,0)),""),"")</f>
        <v/>
      </c>
      <c r="T139" s="164" t="str">
        <f t="array" aca="1" ref="T139" ca="1">IF(R139&lt;&gt;"",
INDIRECT("'盛付札（関数）'!H"&amp;MATCH("*雙葉*",'盛付札（関数）'!C71:C140,0)+70&amp;""),"")</f>
        <v/>
      </c>
      <c r="U139" s="164" t="str">
        <f t="array" aca="1" ref="U139" ca="1">IF(R139&lt;&gt;"",
INDIRECT("'盛付札（関数）'!I"&amp;MATCH("*雙葉*",'盛付札（関数）'!C71:C140,0)+70&amp;""),"")</f>
        <v/>
      </c>
      <c r="V139" s="164" t="str">
        <f t="array" aca="1" ref="V139" ca="1">IF(R139&lt;&gt;"",
INDIRECT("'盛付札（関数）'!M"&amp;MATCH("*雙葉*",'盛付札（関数）'!C71:C140,0)+70&amp;""),"")</f>
        <v/>
      </c>
      <c r="W139" s="164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3"/>
        <v/>
      </c>
      <c r="AA139" t="str">
        <f t="shared" ca="1" si="44"/>
        <v/>
      </c>
      <c r="AC139" t="str">
        <f t="shared" ca="1" si="45"/>
        <v/>
      </c>
    </row>
    <row r="140" spans="17:30" x14ac:dyDescent="0.45">
      <c r="Q140" s="165"/>
      <c r="R140" s="165" t="s">
        <v>161</v>
      </c>
      <c r="S140" s="165"/>
      <c r="T140" s="165" t="e">
        <f ca="1">社食等の札!E6</f>
        <v>#N/A</v>
      </c>
      <c r="U140" s="165"/>
      <c r="V140" s="165"/>
      <c r="W140" s="165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C140">
        <f t="shared" si="45"/>
        <v>140</v>
      </c>
    </row>
    <row r="141" spans="17:30" x14ac:dyDescent="0.45">
      <c r="Q141" s="165"/>
      <c r="R141" s="165"/>
      <c r="S141" s="165"/>
      <c r="T141" s="165"/>
      <c r="U141" s="165"/>
      <c r="V141" s="165"/>
      <c r="W141" s="165"/>
      <c r="Y141"/>
    </row>
    <row r="142" spans="17:30" x14ac:dyDescent="0.45">
      <c r="Q142" s="165"/>
      <c r="R142" s="165"/>
      <c r="S142" s="165"/>
      <c r="T142" s="165"/>
      <c r="U142" s="165"/>
      <c r="V142" s="165"/>
      <c r="W142" s="165"/>
      <c r="Y142"/>
    </row>
    <row r="143" spans="17:30" x14ac:dyDescent="0.45">
      <c r="Q143" s="165"/>
      <c r="R143" s="165"/>
      <c r="S143" s="165"/>
      <c r="T143" s="165"/>
      <c r="U143" s="165"/>
      <c r="V143" s="165"/>
      <c r="W143" s="165"/>
      <c r="Y143"/>
    </row>
    <row r="144" spans="17:30" x14ac:dyDescent="0.45">
      <c r="Q144" s="165"/>
      <c r="R144" s="165"/>
      <c r="S144" s="165"/>
      <c r="T144" s="165"/>
      <c r="U144" s="165"/>
      <c r="V144" s="165"/>
      <c r="W144" s="165"/>
      <c r="Y144"/>
    </row>
    <row r="145" spans="17:25" x14ac:dyDescent="0.45">
      <c r="Q145" s="165"/>
      <c r="R145" s="165"/>
      <c r="S145" s="165"/>
      <c r="T145" s="165"/>
      <c r="U145" s="165"/>
      <c r="V145" s="165"/>
      <c r="W145" s="165"/>
      <c r="Y145"/>
    </row>
    <row r="146" spans="17:25" x14ac:dyDescent="0.45">
      <c r="Q146" s="165"/>
      <c r="R146" s="165"/>
      <c r="S146" s="165"/>
      <c r="T146" s="165"/>
      <c r="U146" s="165"/>
      <c r="V146" s="165"/>
      <c r="W146" s="165"/>
      <c r="Y146"/>
    </row>
    <row r="147" spans="17:25" x14ac:dyDescent="0.45">
      <c r="Q147" s="165"/>
      <c r="R147" s="165"/>
      <c r="S147" s="165"/>
      <c r="T147" s="165"/>
      <c r="U147" s="165"/>
      <c r="V147" s="165"/>
      <c r="W147" s="165"/>
      <c r="Y147"/>
    </row>
    <row r="148" spans="17:25" x14ac:dyDescent="0.45">
      <c r="Q148" s="165"/>
      <c r="R148" s="165"/>
      <c r="S148" s="165"/>
      <c r="T148" s="165"/>
      <c r="U148" s="165"/>
      <c r="V148" s="165"/>
      <c r="W148" s="165"/>
      <c r="Y148"/>
    </row>
    <row r="149" spans="17:25" x14ac:dyDescent="0.45">
      <c r="Q149" s="165"/>
      <c r="R149" s="165"/>
      <c r="S149" s="165"/>
      <c r="T149" s="165"/>
      <c r="U149" s="165"/>
      <c r="V149" s="165"/>
      <c r="W149" s="165"/>
      <c r="Y149"/>
    </row>
    <row r="150" spans="17:25" x14ac:dyDescent="0.45">
      <c r="Q150" s="165"/>
      <c r="R150" s="165"/>
      <c r="S150" s="165"/>
      <c r="T150" s="165"/>
      <c r="U150" s="165"/>
      <c r="V150" s="165"/>
      <c r="W150" s="165"/>
      <c r="Y150"/>
    </row>
    <row r="151" spans="17:25" x14ac:dyDescent="0.45">
      <c r="Q151" s="165"/>
      <c r="R151" s="165"/>
      <c r="S151" s="165"/>
      <c r="T151" s="165"/>
      <c r="U151" s="165"/>
      <c r="V151" s="165"/>
      <c r="W151" s="165"/>
      <c r="Y151"/>
    </row>
    <row r="152" spans="17:25" x14ac:dyDescent="0.45">
      <c r="Q152" s="165"/>
      <c r="R152" s="165"/>
      <c r="S152" s="165"/>
      <c r="T152" s="165"/>
      <c r="U152" s="165"/>
      <c r="V152" s="165"/>
      <c r="W152" s="165"/>
      <c r="Y152"/>
    </row>
    <row r="153" spans="17:25" x14ac:dyDescent="0.45">
      <c r="Q153" s="165"/>
      <c r="R153" s="165"/>
      <c r="S153" s="165"/>
      <c r="T153" s="165"/>
      <c r="U153" s="165"/>
      <c r="V153" s="165"/>
      <c r="W153" s="165"/>
      <c r="Y153"/>
    </row>
    <row r="154" spans="17:25" x14ac:dyDescent="0.45">
      <c r="Q154" s="165"/>
      <c r="R154" s="165"/>
      <c r="S154" s="165"/>
      <c r="T154" s="165"/>
      <c r="U154" s="165"/>
      <c r="V154" s="165"/>
      <c r="W154" s="165"/>
      <c r="Y154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M23" sqref="B1:N23"/>
    </sheetView>
  </sheetViews>
  <sheetFormatPr defaultRowHeight="22.2" x14ac:dyDescent="0.55000000000000004"/>
  <cols>
    <col min="1" max="1" width="2.7968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09765625" style="38" customWidth="1"/>
    <col min="8" max="8" width="8.8984375" style="147" hidden="1" customWidth="1"/>
    <col min="9" max="9" width="8.1992187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09765625" style="38" customWidth="1"/>
    <col min="23" max="23" width="8.8984375" style="147" hidden="1" customWidth="1"/>
    <col min="24" max="24" width="8.1992187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09765625" style="38" customWidth="1"/>
    <col min="38" max="38" width="8.8984375" style="147" hidden="1" customWidth="1"/>
    <col min="39" max="39" width="8.1992187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09765625" style="38" customWidth="1"/>
    <col min="53" max="53" width="8.8984375" style="147" hidden="1" customWidth="1"/>
    <col min="54" max="54" width="8.1992187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7968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09765625" style="38" customWidth="1"/>
    <col min="68" max="68" width="8.8984375" style="147" hidden="1" customWidth="1"/>
    <col min="69" max="69" width="8.1992187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09765625" style="38" customWidth="1"/>
    <col min="83" max="83" width="8.8984375" style="147" hidden="1" customWidth="1"/>
    <col min="84" max="84" width="8.1992187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09765625" style="38" customWidth="1"/>
    <col min="98" max="98" width="8.8984375" style="147" hidden="1" customWidth="1"/>
    <col min="99" max="99" width="8.1992187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09765625" style="38" customWidth="1"/>
    <col min="113" max="113" width="8.8984375" style="147" hidden="1" customWidth="1"/>
    <col min="114" max="114" width="8.1992187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09765625" style="38" customWidth="1"/>
    <col min="128" max="128" width="8.8984375" style="147" hidden="1" customWidth="1"/>
    <col min="129" max="129" width="8.1992187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09765625" style="38" customWidth="1"/>
    <col min="143" max="143" width="8.8984375" style="147" hidden="1" customWidth="1"/>
    <col min="144" max="144" width="8.1992187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ca="1">IF(OFFSET(変更先抽出【15時】!$A$1,A1-1,29)&lt;&gt;"",OFFSET(変更先抽出【15時】!$A$1,A1-1,30),"")</f>
        <v/>
      </c>
      <c r="D1" s="212"/>
      <c r="E1" s="212"/>
      <c r="F1" s="212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ca="1">IF(OFFSET(変更先抽出【15時】!$A$1,H1-1,29)&lt;&gt;"",OFFSET(変更先抽出【15時】!$A$1,H1-1,30),"")</f>
        <v/>
      </c>
      <c r="K1" s="212"/>
      <c r="L1" s="212"/>
      <c r="M1" s="212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ca="1">IF(OFFSET(変更先抽出【15時】!$A$1,P1-1,29)&lt;&gt;"",OFFSET(変更先抽出【15時】!$A$1,P1-1,30),"")</f>
        <v/>
      </c>
      <c r="S1" s="212"/>
      <c r="T1" s="212"/>
      <c r="U1" s="212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ca="1">IF(OFFSET(変更先抽出【15時】!$A$1,W1-1,29)&lt;&gt;"",OFFSET(変更先抽出【15時】!$A$1,W1-1,30),"")</f>
        <v/>
      </c>
      <c r="Z1" s="212"/>
      <c r="AA1" s="212"/>
      <c r="AB1" s="212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ca="1">IF(OFFSET(変更先抽出【15時】!$A$1,AE1-1,29)&lt;&gt;"",OFFSET(変更先抽出【15時】!$A$1,AE1-1,30),"")</f>
        <v/>
      </c>
      <c r="AH1" s="212"/>
      <c r="AI1" s="212"/>
      <c r="AJ1" s="212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ca="1">IF(OFFSET(変更先抽出【15時】!$A$1,AL1-1,29)&lt;&gt;"",OFFSET(変更先抽出【15時】!$A$1,AL1-1,30),"")</f>
        <v/>
      </c>
      <c r="AO1" s="212"/>
      <c r="AP1" s="212"/>
      <c r="AQ1" s="212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ca="1">IF(OFFSET(変更先抽出【15時】!$A$1,AT1-1,29)&lt;&gt;"",OFFSET(変更先抽出【15時】!$A$1,AT1-1,30),"")</f>
        <v/>
      </c>
      <c r="AW1" s="212"/>
      <c r="AX1" s="212"/>
      <c r="AY1" s="212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ca="1">IF(OFFSET(変更先抽出【15時】!$A$1,BA1-1,29)&lt;&gt;"",OFFSET(変更先抽出【15時】!$A$1,BA1-1,30),"")</f>
        <v/>
      </c>
      <c r="BD1" s="212"/>
      <c r="BE1" s="212"/>
      <c r="BF1" s="212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ca="1">IF(OFFSET(変更先抽出【15時】!$A$1,BI1-1,29)&lt;&gt;"",OFFSET(変更先抽出【15時】!$A$1,BI1-1,30),"")</f>
        <v/>
      </c>
      <c r="BL1" s="212"/>
      <c r="BM1" s="212"/>
      <c r="BN1" s="212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ca="1">IF(OFFSET(変更先抽出【15時】!$A$1,BP1-1,29)&lt;&gt;"",OFFSET(変更先抽出【15時】!$A$1,BP1-1,30),"")</f>
        <v/>
      </c>
      <c r="BS1" s="212"/>
      <c r="BT1" s="212"/>
      <c r="BU1" s="212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ca="1">IF(OFFSET(変更先抽出【15時】!$A$1,BX1-1,29)&lt;&gt;"",OFFSET(変更先抽出【15時】!$A$1,BX1-1,30),"")</f>
        <v/>
      </c>
      <c r="CA1" s="212"/>
      <c r="CB1" s="212"/>
      <c r="CC1" s="212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ca="1">IF(OFFSET(変更先抽出【15時】!$A$1,CE1-1,29)&lt;&gt;"",OFFSET(変更先抽出【15時】!$A$1,CE1-1,30),"")</f>
        <v/>
      </c>
      <c r="CH1" s="212"/>
      <c r="CI1" s="212"/>
      <c r="CJ1" s="212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ca="1">IF(OFFSET(変更先抽出【15時】!$A$1,CM1-1,29)&lt;&gt;"",OFFSET(変更先抽出【15時】!$A$1,CM1-1,30),"")</f>
        <v/>
      </c>
      <c r="CP1" s="212"/>
      <c r="CQ1" s="212"/>
      <c r="CR1" s="212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ca="1">IF(OFFSET(変更先抽出【15時】!$A$1,CT1-1,29)&lt;&gt;"",OFFSET(変更先抽出【15時】!$A$1,CT1-1,30),"")</f>
        <v/>
      </c>
      <c r="CW1" s="212"/>
      <c r="CX1" s="212"/>
      <c r="CY1" s="212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ca="1">IF(OFFSET(変更先抽出【15時】!$A$1,DB1-1,29)&lt;&gt;"",OFFSET(変更先抽出【15時】!$A$1,DB1-1,30),"")</f>
        <v/>
      </c>
      <c r="DE1" s="212"/>
      <c r="DF1" s="212"/>
      <c r="DG1" s="212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ca="1">IF(OFFSET(変更先抽出【15時】!$A$1,DI1-1,29)&lt;&gt;"",OFFSET(変更先抽出【15時】!$A$1,DI1-1,30),"")</f>
        <v/>
      </c>
      <c r="DL1" s="212"/>
      <c r="DM1" s="212"/>
      <c r="DN1" s="212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ca="1">IF(OFFSET(変更先抽出【15時】!$A$1,DQ1-1,29)&lt;&gt;"",OFFSET(変更先抽出【15時】!$A$1,DQ1-1,30),"")</f>
        <v/>
      </c>
      <c r="DT1" s="212"/>
      <c r="DU1" s="212"/>
      <c r="DV1" s="212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ca="1">IF(OFFSET(変更先抽出【15時】!$A$1,DX1-1,29)&lt;&gt;"",OFFSET(変更先抽出【15時】!$A$1,DX1-1,30),"")</f>
        <v/>
      </c>
      <c r="EA1" s="212"/>
      <c r="EB1" s="212"/>
      <c r="EC1" s="212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ca="1">IF(OFFSET(変更先抽出【15時】!$A$1,EF1-1,29)&lt;&gt;"",OFFSET(変更先抽出【15時】!$A$1,EF1-1,30),"")</f>
        <v/>
      </c>
      <c r="EI1" s="212"/>
      <c r="EJ1" s="212"/>
      <c r="EK1" s="212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ca="1">IF(OFFSET(変更先抽出【15時】!$A$1,EM1-1,29)&lt;&gt;"",OFFSET(変更先抽出【15時】!$A$1,EM1-1,30),"")</f>
        <v/>
      </c>
      <c r="EP1" s="212"/>
      <c r="EQ1" s="212"/>
      <c r="ER1" s="212"/>
      <c r="ES1" s="39" t="str">
        <f ca="1">IF(EO1&lt;&gt;"","様","")</f>
        <v/>
      </c>
      <c r="ET1" s="22"/>
    </row>
    <row r="2" spans="1:150" s="148" customFormat="1" x14ac:dyDescent="0.55000000000000004">
      <c r="A2" s="30"/>
      <c r="B2" s="166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57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66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57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66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57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66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57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66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57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66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57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66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57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66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57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66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57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66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57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66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57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66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57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66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57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66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57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66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57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66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57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66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57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66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57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66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57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66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57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48" customFormat="1" x14ac:dyDescent="0.55000000000000004">
      <c r="A3" s="30"/>
      <c r="B3" s="31"/>
      <c r="C3" s="209" t="str">
        <f ca="1">IF(B2&lt;&gt;"","先生",
IF(OR(C1&lt;&gt;"",COUNTIF(C1,"*【*")),"園児",""))</f>
        <v/>
      </c>
      <c r="D3" s="210"/>
      <c r="E3" s="22"/>
      <c r="F3" s="121" t="str">
        <f ca="1">IF(B2&lt;&gt;"","",
IF(OR(C1&lt;&gt;"",COUNTIF(C1,"*【*")),"先生",""))</f>
        <v/>
      </c>
      <c r="G3" s="37"/>
      <c r="H3" s="33"/>
      <c r="I3" s="31"/>
      <c r="J3" s="209" t="str">
        <f ca="1">IF(I2&lt;&gt;"","先生",
IF(OR(J1&lt;&gt;"",COUNTIF(J1,"*【*")),"園児",""))</f>
        <v/>
      </c>
      <c r="K3" s="210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09" t="str">
        <f ca="1">IF(Q2&lt;&gt;"","先生",
IF(OR(R1&lt;&gt;"",COUNTIF(R1,"*【*")),"園児",""))</f>
        <v/>
      </c>
      <c r="S3" s="210"/>
      <c r="T3" s="22"/>
      <c r="U3" s="121" t="str">
        <f ca="1">IF(Q2&lt;&gt;"","",
IF(OR(R1&lt;&gt;"",COUNTIF(R1,"*【*")),"先生",""))</f>
        <v/>
      </c>
      <c r="V3" s="37"/>
      <c r="W3" s="33"/>
      <c r="X3" s="31"/>
      <c r="Y3" s="209" t="str">
        <f ca="1">IF(X2&lt;&gt;"","先生",
IF(OR(Y1&lt;&gt;"",COUNTIF(Y1,"*【*")),"園児",""))</f>
        <v/>
      </c>
      <c r="Z3" s="210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09" t="str">
        <f ca="1">IF(AF2&lt;&gt;"","先生",
IF(OR(AG1&lt;&gt;"",COUNTIF(AG1,"*【*")),"園児",""))</f>
        <v/>
      </c>
      <c r="AH3" s="210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09" t="str">
        <f ca="1">IF(AM2&lt;&gt;"","先生",
IF(OR(AN1&lt;&gt;"",COUNTIF(AN1,"*【*")),"園児",""))</f>
        <v/>
      </c>
      <c r="AO3" s="210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09" t="str">
        <f ca="1">IF(AU2&lt;&gt;"","先生",
IF(OR(AV1&lt;&gt;"",COUNTIF(AV1,"*【*")),"園児",""))</f>
        <v/>
      </c>
      <c r="AW3" s="210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09" t="str">
        <f ca="1">IF(BB2&lt;&gt;"","先生",
IF(OR(BC1&lt;&gt;"",COUNTIF(BC1,"*【*")),"園児",""))</f>
        <v/>
      </c>
      <c r="BD3" s="210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09" t="str">
        <f ca="1">IF(BJ2&lt;&gt;"","先生",
IF(OR(BK1&lt;&gt;"",COUNTIF(BK1,"*【*")),"園児",""))</f>
        <v/>
      </c>
      <c r="BL3" s="210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09" t="str">
        <f ca="1">IF(BQ2&lt;&gt;"","先生",
IF(OR(BR1&lt;&gt;"",COUNTIF(BR1,"*【*")),"園児",""))</f>
        <v/>
      </c>
      <c r="BS3" s="210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09" t="str">
        <f ca="1">IF(BY2&lt;&gt;"","先生",
IF(OR(BZ1&lt;&gt;"",COUNTIF(BZ1,"*【*")),"園児",""))</f>
        <v/>
      </c>
      <c r="CA3" s="210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09" t="str">
        <f ca="1">IF(CF2&lt;&gt;"","先生",
IF(OR(CG1&lt;&gt;"",COUNTIF(CG1,"*【*")),"園児",""))</f>
        <v/>
      </c>
      <c r="CH3" s="210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09" t="str">
        <f ca="1">IF(CN2&lt;&gt;"","先生",
IF(OR(CO1&lt;&gt;"",COUNTIF(CO1,"*【*")),"園児",""))</f>
        <v/>
      </c>
      <c r="CP3" s="210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09" t="str">
        <f ca="1">IF(CU2&lt;&gt;"","先生",
IF(OR(CV1&lt;&gt;"",COUNTIF(CV1,"*【*")),"園児",""))</f>
        <v/>
      </c>
      <c r="CW3" s="210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09" t="str">
        <f ca="1">IF(DC2&lt;&gt;"","先生",
IF(OR(DD1&lt;&gt;"",COUNTIF(DD1,"*【*")),"園児",""))</f>
        <v/>
      </c>
      <c r="DE3" s="210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09" t="str">
        <f ca="1">IF(DJ2&lt;&gt;"","先生",
IF(OR(DK1&lt;&gt;"",COUNTIF(DK1,"*【*")),"園児",""))</f>
        <v/>
      </c>
      <c r="DL3" s="210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09" t="str">
        <f ca="1">IF(DR2&lt;&gt;"","先生",
IF(OR(DS1&lt;&gt;"",COUNTIF(DS1,"*【*")),"園児",""))</f>
        <v/>
      </c>
      <c r="DT3" s="210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09" t="str">
        <f ca="1">IF(DY2&lt;&gt;"","先生",
IF(OR(DZ1&lt;&gt;"",COUNTIF(DZ1,"*【*")),"園児",""))</f>
        <v/>
      </c>
      <c r="EA3" s="210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09" t="str">
        <f ca="1">IF(EG2&lt;&gt;"","先生",
IF(OR(EH1&lt;&gt;"",COUNTIF(EH1,"*【*")),"園児",""))</f>
        <v/>
      </c>
      <c r="EI3" s="210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09" t="str">
        <f ca="1">IF(EN2&lt;&gt;"","先生",
IF(OR(EO1&lt;&gt;"",COUNTIF(EO1,"*【*")),"園児",""))</f>
        <v/>
      </c>
      <c r="EP3" s="210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 x14ac:dyDescent="1.05">
      <c r="B4" s="25"/>
      <c r="C4" s="207" t="str">
        <f ca="1">IF(C1&lt;&gt;"",OFFSET(変更先抽出【15時】!$A$1,A1-1,32),"")</f>
        <v/>
      </c>
      <c r="D4" s="208"/>
      <c r="E4" s="44"/>
      <c r="F4" s="203" t="str">
        <f ca="1">IF(B2&lt;&gt;"","",
IF(C1&lt;&gt;"",OFFSET(変更先抽出【15時】!$A$1,A1-1,33),""))</f>
        <v/>
      </c>
      <c r="G4" s="204"/>
      <c r="H4" s="26"/>
      <c r="I4" s="25"/>
      <c r="J4" s="207" t="str">
        <f ca="1">IF(J1&lt;&gt;"",OFFSET(変更先抽出【15時】!$A$1,H1-1,32),"")</f>
        <v/>
      </c>
      <c r="K4" s="208"/>
      <c r="L4" s="44"/>
      <c r="M4" s="203" t="str">
        <f ca="1">IF(I2&lt;&gt;"","",
IF(J1&lt;&gt;"",OFFSET(変更先抽出【15時】!$A$1,H1-1,33),""))</f>
        <v/>
      </c>
      <c r="N4" s="204"/>
      <c r="Q4" s="25"/>
      <c r="R4" s="207" t="str">
        <f ca="1">IF(R1&lt;&gt;"",OFFSET(変更先抽出【15時】!$A$1,P1-1,32),"")</f>
        <v/>
      </c>
      <c r="S4" s="208"/>
      <c r="T4" s="44"/>
      <c r="U4" s="203" t="str">
        <f ca="1">IF(Q2&lt;&gt;"","",
IF(R1&lt;&gt;"",OFFSET(変更先抽出【15時】!$A$1,P1-1,33),""))</f>
        <v/>
      </c>
      <c r="V4" s="204"/>
      <c r="W4" s="26"/>
      <c r="X4" s="25"/>
      <c r="Y4" s="207" t="str">
        <f ca="1">IF(Y1&lt;&gt;"",OFFSET(変更先抽出【15時】!$A$1,W1-1,32),"")</f>
        <v/>
      </c>
      <c r="Z4" s="208"/>
      <c r="AA4" s="44"/>
      <c r="AB4" s="203" t="str">
        <f ca="1">IF(X2&lt;&gt;"","",
IF(Y1&lt;&gt;"",OFFSET(変更先抽出【15時】!$A$1,W1-1,33),""))</f>
        <v/>
      </c>
      <c r="AC4" s="204"/>
      <c r="AF4" s="25"/>
      <c r="AG4" s="207" t="str">
        <f ca="1">IF(AG1&lt;&gt;"",OFFSET(変更先抽出【15時】!$A$1,AE1-1,32),"")</f>
        <v/>
      </c>
      <c r="AH4" s="208"/>
      <c r="AI4" s="44"/>
      <c r="AJ4" s="203" t="str">
        <f ca="1">IF(AF2&lt;&gt;"","",
IF(AG1&lt;&gt;"",OFFSET(変更先抽出【15時】!$A$1,AE1-1,33),""))</f>
        <v/>
      </c>
      <c r="AK4" s="204"/>
      <c r="AL4" s="26"/>
      <c r="AM4" s="25"/>
      <c r="AN4" s="207" t="str">
        <f ca="1">IF(AN1&lt;&gt;"",OFFSET(変更先抽出【15時】!$A$1,AL1-1,32),"")</f>
        <v/>
      </c>
      <c r="AO4" s="208"/>
      <c r="AP4" s="44"/>
      <c r="AQ4" s="203" t="str">
        <f ca="1">IF(AM2&lt;&gt;"","",
IF(AN1&lt;&gt;"",OFFSET(変更先抽出【15時】!$A$1,AL1-1,33),""))</f>
        <v/>
      </c>
      <c r="AR4" s="204"/>
      <c r="AU4" s="25"/>
      <c r="AV4" s="207" t="str">
        <f ca="1">IF(AV1&lt;&gt;"",OFFSET(変更先抽出【15時】!$A$1,AT1-1,32),"")</f>
        <v/>
      </c>
      <c r="AW4" s="208"/>
      <c r="AX4" s="44"/>
      <c r="AY4" s="203" t="str">
        <f ca="1">IF(AU2&lt;&gt;"","",
IF(AV1&lt;&gt;"",OFFSET(変更先抽出【15時】!$A$1,AT1-1,33),""))</f>
        <v/>
      </c>
      <c r="AZ4" s="204"/>
      <c r="BA4" s="26"/>
      <c r="BB4" s="25"/>
      <c r="BC4" s="207" t="str">
        <f ca="1">IF(BC1&lt;&gt;"",OFFSET(変更先抽出【15時】!$A$1,BA1-1,32),"")</f>
        <v/>
      </c>
      <c r="BD4" s="208"/>
      <c r="BE4" s="44"/>
      <c r="BF4" s="203" t="str">
        <f ca="1">IF(BB2&lt;&gt;"","",
IF(BC1&lt;&gt;"",OFFSET(変更先抽出【15時】!$A$1,BA1-1,33),""))</f>
        <v/>
      </c>
      <c r="BG4" s="204"/>
      <c r="BJ4" s="25"/>
      <c r="BK4" s="207" t="str">
        <f ca="1">IF(BK1&lt;&gt;"",OFFSET(変更先抽出【15時】!$A$1,BI1-1,32),"")</f>
        <v/>
      </c>
      <c r="BL4" s="208"/>
      <c r="BM4" s="44"/>
      <c r="BN4" s="203" t="str">
        <f ca="1">IF(BJ2&lt;&gt;"","",
IF(BK1&lt;&gt;"",OFFSET(変更先抽出【15時】!$A$1,BI1-1,33),""))</f>
        <v/>
      </c>
      <c r="BO4" s="204"/>
      <c r="BP4" s="26"/>
      <c r="BQ4" s="25"/>
      <c r="BR4" s="207" t="str">
        <f ca="1">IF(BR1&lt;&gt;"",OFFSET(変更先抽出【15時】!$A$1,BP1-1,32),"")</f>
        <v/>
      </c>
      <c r="BS4" s="208"/>
      <c r="BT4" s="44"/>
      <c r="BU4" s="203" t="str">
        <f ca="1">IF(BQ2&lt;&gt;"","",
IF(BR1&lt;&gt;"",OFFSET(変更先抽出【15時】!$A$1,BP1-1,33),""))</f>
        <v/>
      </c>
      <c r="BV4" s="204"/>
      <c r="BY4" s="25"/>
      <c r="BZ4" s="207" t="str">
        <f ca="1">IF(BZ1&lt;&gt;"",OFFSET(変更先抽出【15時】!$A$1,BX1-1,32),"")</f>
        <v/>
      </c>
      <c r="CA4" s="208"/>
      <c r="CB4" s="44"/>
      <c r="CC4" s="203" t="str">
        <f ca="1">IF(BY2&lt;&gt;"","",
IF(BZ1&lt;&gt;"",OFFSET(変更先抽出【15時】!$A$1,BX1-1,33),""))</f>
        <v/>
      </c>
      <c r="CD4" s="204"/>
      <c r="CE4" s="26"/>
      <c r="CF4" s="25"/>
      <c r="CG4" s="207" t="str">
        <f ca="1">IF(CG1&lt;&gt;"",OFFSET(変更先抽出【15時】!$A$1,CE1-1,32),"")</f>
        <v/>
      </c>
      <c r="CH4" s="208"/>
      <c r="CI4" s="44"/>
      <c r="CJ4" s="203" t="str">
        <f ca="1">IF(CF2&lt;&gt;"","",
IF(CG1&lt;&gt;"",OFFSET(変更先抽出【15時】!$A$1,CE1-1,33),""))</f>
        <v/>
      </c>
      <c r="CK4" s="204"/>
      <c r="CN4" s="25"/>
      <c r="CO4" s="207" t="str">
        <f ca="1">IF(CO1&lt;&gt;"",OFFSET(変更先抽出【15時】!$A$1,CM1-1,32),"")</f>
        <v/>
      </c>
      <c r="CP4" s="208"/>
      <c r="CQ4" s="44"/>
      <c r="CR4" s="203" t="str">
        <f ca="1">IF(CN2&lt;&gt;"","",
IF(CO1&lt;&gt;"",OFFSET(変更先抽出【15時】!$A$1,CM1-1,33),""))</f>
        <v/>
      </c>
      <c r="CS4" s="204"/>
      <c r="CT4" s="26"/>
      <c r="CU4" s="25"/>
      <c r="CV4" s="207" t="str">
        <f ca="1">IF(CV1&lt;&gt;"",OFFSET(変更先抽出【15時】!$A$1,CT1-1,32),"")</f>
        <v/>
      </c>
      <c r="CW4" s="208"/>
      <c r="CX4" s="44"/>
      <c r="CY4" s="203" t="str">
        <f ca="1">IF(CU2&lt;&gt;"","",
IF(CV1&lt;&gt;"",OFFSET(変更先抽出【15時】!$A$1,CT1-1,33),""))</f>
        <v/>
      </c>
      <c r="CZ4" s="204"/>
      <c r="DC4" s="25"/>
      <c r="DD4" s="207" t="str">
        <f ca="1">IF(DD1&lt;&gt;"",OFFSET(変更先抽出【15時】!$A$1,DB1-1,32),"")</f>
        <v/>
      </c>
      <c r="DE4" s="208"/>
      <c r="DF4" s="44"/>
      <c r="DG4" s="203" t="str">
        <f ca="1">IF(DC2&lt;&gt;"","",
IF(DD1&lt;&gt;"",OFFSET(変更先抽出【15時】!$A$1,DB1-1,33),""))</f>
        <v/>
      </c>
      <c r="DH4" s="204"/>
      <c r="DI4" s="26"/>
      <c r="DJ4" s="25"/>
      <c r="DK4" s="207" t="str">
        <f ca="1">IF(DK1&lt;&gt;"",OFFSET(変更先抽出【15時】!$A$1,DI1-1,32),"")</f>
        <v/>
      </c>
      <c r="DL4" s="208"/>
      <c r="DM4" s="44"/>
      <c r="DN4" s="203" t="str">
        <f ca="1">IF(DJ2&lt;&gt;"","",
IF(DK1&lt;&gt;"",OFFSET(変更先抽出【15時】!$A$1,DI1-1,33),""))</f>
        <v/>
      </c>
      <c r="DO4" s="204"/>
      <c r="DR4" s="25"/>
      <c r="DS4" s="207" t="str">
        <f ca="1">IF(DS1&lt;&gt;"",OFFSET(変更先抽出【15時】!$A$1,DQ1-1,32),"")</f>
        <v/>
      </c>
      <c r="DT4" s="208"/>
      <c r="DU4" s="44"/>
      <c r="DV4" s="203" t="str">
        <f ca="1">IF(DR2&lt;&gt;"","",
IF(DS1&lt;&gt;"",OFFSET(変更先抽出【15時】!$A$1,DQ1-1,33),""))</f>
        <v/>
      </c>
      <c r="DW4" s="204"/>
      <c r="DX4" s="26"/>
      <c r="DY4" s="25"/>
      <c r="DZ4" s="207" t="str">
        <f ca="1">IF(DZ1&lt;&gt;"",OFFSET(変更先抽出【15時】!$A$1,DX1-1,32),"")</f>
        <v/>
      </c>
      <c r="EA4" s="208"/>
      <c r="EB4" s="44"/>
      <c r="EC4" s="203" t="str">
        <f ca="1">IF(DY2&lt;&gt;"","",
IF(DZ1&lt;&gt;"",OFFSET(変更先抽出【15時】!$A$1,DX1-1,33),""))</f>
        <v/>
      </c>
      <c r="ED4" s="204"/>
      <c r="EG4" s="25"/>
      <c r="EH4" s="207" t="str">
        <f ca="1">IF(EH1&lt;&gt;"",OFFSET(変更先抽出【15時】!$A$1,EF1-1,32),"")</f>
        <v/>
      </c>
      <c r="EI4" s="208"/>
      <c r="EJ4" s="44"/>
      <c r="EK4" s="203" t="str">
        <f ca="1">IF(EG2&lt;&gt;"","",
IF(EH1&lt;&gt;"",OFFSET(変更先抽出【15時】!$A$1,EF1-1,33),""))</f>
        <v/>
      </c>
      <c r="EL4" s="204"/>
      <c r="EM4" s="26"/>
      <c r="EN4" s="25"/>
      <c r="EO4" s="207" t="str">
        <f ca="1">IF(EO1&lt;&gt;"",OFFSET(変更先抽出【15時】!$A$1,EM1-1,32),"")</f>
        <v/>
      </c>
      <c r="EP4" s="208"/>
      <c r="EQ4" s="44"/>
      <c r="ER4" s="203" t="str">
        <f ca="1">IF(EN2&lt;&gt;"","",
IF(EO1&lt;&gt;"",OFFSET(変更先抽出【15時】!$A$1,EM1-1,33),""))</f>
        <v/>
      </c>
      <c r="ES4" s="204"/>
    </row>
    <row r="5" spans="1:150" ht="15.6" customHeight="1" x14ac:dyDescent="0.45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 x14ac:dyDescent="0.55000000000000004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 x14ac:dyDescent="0.45">
      <c r="B7" s="213" t="str">
        <f ca="1">IF(C1&lt;&gt;"",IFERROR(INT(C4/C6),""),"")</f>
        <v/>
      </c>
      <c r="C7" s="206"/>
      <c r="D7" s="213" t="str">
        <f ca="1">IF(C1&lt;&gt;"",IFERROR(MOD(C4,C6),""),"")</f>
        <v/>
      </c>
      <c r="E7" s="206"/>
      <c r="F7" s="214" t="str">
        <f ca="1">IF(AND(C1&lt;&gt;"",C3&lt;&gt;"先生"),
IF(COUNTIF(C1,"*【*"),"",OFFSET(変更先抽出【15時】!$A$1,A1-1,34)),"")</f>
        <v/>
      </c>
      <c r="G7" s="206"/>
      <c r="I7" s="213" t="str">
        <f ca="1">IF(J1&lt;&gt;"",IFERROR(INT(J4/J6),""),"")</f>
        <v/>
      </c>
      <c r="J7" s="206"/>
      <c r="K7" s="213" t="str">
        <f ca="1">IF(J1&lt;&gt;"",IFERROR(MOD(J4,J6),""),"")</f>
        <v/>
      </c>
      <c r="L7" s="206"/>
      <c r="M7" s="214" t="str">
        <f ca="1">IF(AND(J1&lt;&gt;"",J3&lt;&gt;"先生"),
IF(COUNTIF(J1,"*【*"),"",OFFSET(変更先抽出【15時】!$A$1,H1-1,34)),"")</f>
        <v/>
      </c>
      <c r="N7" s="206"/>
      <c r="Q7" s="213" t="str">
        <f ca="1">IF(R1&lt;&gt;"",IFERROR(INT(R4/R6),""),"")</f>
        <v/>
      </c>
      <c r="R7" s="206"/>
      <c r="S7" s="213" t="str">
        <f ca="1">IF(R1&lt;&gt;"",IFERROR(MOD(R4,R6),""),"")</f>
        <v/>
      </c>
      <c r="T7" s="206"/>
      <c r="U7" s="214" t="str">
        <f ca="1">IF(AND(R1&lt;&gt;"",R3&lt;&gt;"先生"),
IF(COUNTIF(R1,"*【*"),"",OFFSET(変更先抽出【15時】!$A$1,P1-1,34)),"")</f>
        <v/>
      </c>
      <c r="V7" s="206"/>
      <c r="X7" s="213" t="str">
        <f ca="1">IF(Y1&lt;&gt;"",IFERROR(INT(Y4/Y6),""),"")</f>
        <v/>
      </c>
      <c r="Y7" s="206"/>
      <c r="Z7" s="213" t="str">
        <f ca="1">IF(Y1&lt;&gt;"",IFERROR(MOD(Y4,Y6),""),"")</f>
        <v/>
      </c>
      <c r="AA7" s="206"/>
      <c r="AB7" s="214" t="str">
        <f ca="1">IF(AND(Y1&lt;&gt;"",Y3&lt;&gt;"先生"),
IF(COUNTIF(Y1,"*【*"),"",OFFSET(変更先抽出【15時】!$A$1,W1-1,34)),"")</f>
        <v/>
      </c>
      <c r="AC7" s="206"/>
      <c r="AF7" s="213" t="str">
        <f ca="1">IF(AG1&lt;&gt;"",IFERROR(INT(AG4/AG6),""),"")</f>
        <v/>
      </c>
      <c r="AG7" s="206"/>
      <c r="AH7" s="213" t="str">
        <f ca="1">IF(AG1&lt;&gt;"",IFERROR(MOD(AG4,AG6),""),"")</f>
        <v/>
      </c>
      <c r="AI7" s="206"/>
      <c r="AJ7" s="214" t="str">
        <f ca="1">IF(AG1&lt;&gt;"",OFFSET(変更先抽出【15時】!$A$1,AE1-1,34),"")</f>
        <v/>
      </c>
      <c r="AK7" s="206"/>
      <c r="AM7" s="213" t="str">
        <f ca="1">IF(AN1&lt;&gt;"",IFERROR(INT(AN4/AN6),""),"")</f>
        <v/>
      </c>
      <c r="AN7" s="206"/>
      <c r="AO7" s="213" t="str">
        <f ca="1">IF(AN1&lt;&gt;"",IFERROR(MOD(AN4,AN6),""),"")</f>
        <v/>
      </c>
      <c r="AP7" s="206"/>
      <c r="AQ7" s="214" t="str">
        <f ca="1">IF(AN1&lt;&gt;"",OFFSET(変更先抽出【15時】!$A$1,AL1-1,34),"")</f>
        <v/>
      </c>
      <c r="AR7" s="206"/>
      <c r="AU7" s="213" t="str">
        <f ca="1">IF(AV1&lt;&gt;"",IFERROR(INT(AV4/AV6),""),"")</f>
        <v/>
      </c>
      <c r="AV7" s="206"/>
      <c r="AW7" s="213" t="str">
        <f ca="1">IF(AV1&lt;&gt;"",IFERROR(MOD(AV4,AV6),""),"")</f>
        <v/>
      </c>
      <c r="AX7" s="206"/>
      <c r="AY7" s="214" t="str">
        <f ca="1">IF(AV1&lt;&gt;"",OFFSET(変更先抽出【15時】!$A$1,AT1-1,34),"")</f>
        <v/>
      </c>
      <c r="AZ7" s="206"/>
      <c r="BB7" s="213" t="str">
        <f ca="1">IF(BC1&lt;&gt;"",IFERROR(INT(BC4/BC6),""),"")</f>
        <v/>
      </c>
      <c r="BC7" s="206"/>
      <c r="BD7" s="213" t="str">
        <f ca="1">IF(BC1&lt;&gt;"",IFERROR(MOD(BC4,BC6),""),"")</f>
        <v/>
      </c>
      <c r="BE7" s="206"/>
      <c r="BF7" s="214" t="str">
        <f ca="1">IF(BC1&lt;&gt;"",OFFSET(変更先抽出【15時】!$A$1,BA1-1,34),"")</f>
        <v/>
      </c>
      <c r="BG7" s="206"/>
      <c r="BJ7" s="213" t="str">
        <f ca="1">IF(BK1&lt;&gt;"",IFERROR(INT(BK4/BK6),""),"")</f>
        <v/>
      </c>
      <c r="BK7" s="206"/>
      <c r="BL7" s="213" t="str">
        <f ca="1">IF(BK1&lt;&gt;"",IFERROR(MOD(BK4,BK6),""),"")</f>
        <v/>
      </c>
      <c r="BM7" s="206"/>
      <c r="BN7" s="214" t="str">
        <f ca="1">IF(BK1&lt;&gt;"",OFFSET(変更先抽出【15時】!$A$1,BI1-1,34),"")</f>
        <v/>
      </c>
      <c r="BO7" s="206"/>
      <c r="BQ7" s="213" t="str">
        <f ca="1">IF(BR1&lt;&gt;"",IFERROR(INT(BR4/BR6),""),"")</f>
        <v/>
      </c>
      <c r="BR7" s="206"/>
      <c r="BS7" s="213" t="str">
        <f ca="1">IF(BR1&lt;&gt;"",IFERROR(MOD(BR4,BR6),""),"")</f>
        <v/>
      </c>
      <c r="BT7" s="206"/>
      <c r="BU7" s="214" t="str">
        <f ca="1">IF(BR1&lt;&gt;"",OFFSET(変更先抽出【15時】!$A$1,BP1-1,34),"")</f>
        <v/>
      </c>
      <c r="BV7" s="206"/>
      <c r="BY7" s="213" t="str">
        <f ca="1">IF(BZ1&lt;&gt;"",IFERROR(INT(BZ4/BZ6),""),"")</f>
        <v/>
      </c>
      <c r="BZ7" s="206"/>
      <c r="CA7" s="213" t="str">
        <f ca="1">IF(BZ1&lt;&gt;"",IFERROR(MOD(BZ4,BZ6),""),"")</f>
        <v/>
      </c>
      <c r="CB7" s="206"/>
      <c r="CC7" s="214" t="str">
        <f ca="1">IF(BZ1&lt;&gt;"",OFFSET(変更先抽出【15時】!$A$1,BX1-1,34),"")</f>
        <v/>
      </c>
      <c r="CD7" s="206"/>
      <c r="CF7" s="213" t="str">
        <f ca="1">IF(CG1&lt;&gt;"",IFERROR(INT(CG4/CG6),""),"")</f>
        <v/>
      </c>
      <c r="CG7" s="206"/>
      <c r="CH7" s="213" t="str">
        <f ca="1">IF(CG1&lt;&gt;"",IFERROR(MOD(CG4,CG6),""),"")</f>
        <v/>
      </c>
      <c r="CI7" s="206"/>
      <c r="CJ7" s="214" t="str">
        <f ca="1">IF(CG1&lt;&gt;"",OFFSET(変更先抽出【15時】!$A$1,CE1-1,34),"")</f>
        <v/>
      </c>
      <c r="CK7" s="206"/>
      <c r="CN7" s="213" t="str">
        <f ca="1">IF(CO1&lt;&gt;"",IFERROR(INT(CO4/CO6),""),"")</f>
        <v/>
      </c>
      <c r="CO7" s="206"/>
      <c r="CP7" s="213" t="str">
        <f ca="1">IF(CO1&lt;&gt;"",IFERROR(MOD(CO4,CO6),""),"")</f>
        <v/>
      </c>
      <c r="CQ7" s="206"/>
      <c r="CR7" s="214" t="str">
        <f ca="1">IF(CO1&lt;&gt;"",OFFSET(変更先抽出【15時】!$A$1,CM1-1,34),"")</f>
        <v/>
      </c>
      <c r="CS7" s="206"/>
      <c r="CU7" s="213" t="str">
        <f ca="1">IF(CV1&lt;&gt;"",IFERROR(INT(CV4/CV6),""),"")</f>
        <v/>
      </c>
      <c r="CV7" s="206"/>
      <c r="CW7" s="213" t="str">
        <f ca="1">IF(CV1&lt;&gt;"",IFERROR(MOD(CV4,CV6),""),"")</f>
        <v/>
      </c>
      <c r="CX7" s="206"/>
      <c r="CY7" s="214" t="str">
        <f ca="1">IF(CV1&lt;&gt;"",OFFSET(変更先抽出【15時】!$A$1,CT1-1,34),"")</f>
        <v/>
      </c>
      <c r="CZ7" s="206"/>
      <c r="DC7" s="213" t="str">
        <f ca="1">IF(DD1&lt;&gt;"",IFERROR(INT(DD4/DD6),""),"")</f>
        <v/>
      </c>
      <c r="DD7" s="206"/>
      <c r="DE7" s="213" t="str">
        <f ca="1">IF(DD1&lt;&gt;"",IFERROR(MOD(DD4,DD6),""),"")</f>
        <v/>
      </c>
      <c r="DF7" s="206"/>
      <c r="DG7" s="214" t="str">
        <f ca="1">IF(DD1&lt;&gt;"",OFFSET(変更先抽出【15時】!$A$1,DB1-1,34),"")</f>
        <v/>
      </c>
      <c r="DH7" s="206"/>
      <c r="DJ7" s="213" t="str">
        <f ca="1">IF(DK1&lt;&gt;"",IFERROR(INT(DK4/DK6),""),"")</f>
        <v/>
      </c>
      <c r="DK7" s="206"/>
      <c r="DL7" s="213" t="str">
        <f ca="1">IF(DK1&lt;&gt;"",IFERROR(MOD(DK4,DK6),""),"")</f>
        <v/>
      </c>
      <c r="DM7" s="206"/>
      <c r="DN7" s="214" t="str">
        <f ca="1">IF(DK1&lt;&gt;"",OFFSET(変更先抽出【15時】!$A$1,DI1-1,34),"")</f>
        <v/>
      </c>
      <c r="DO7" s="206"/>
      <c r="DR7" s="213" t="str">
        <f ca="1">IF(DS1&lt;&gt;"",IFERROR(INT(DS4/DS6),""),"")</f>
        <v/>
      </c>
      <c r="DS7" s="206"/>
      <c r="DT7" s="213" t="str">
        <f ca="1">IF(DS1&lt;&gt;"",IFERROR(MOD(DS4,DS6),""),"")</f>
        <v/>
      </c>
      <c r="DU7" s="206"/>
      <c r="DV7" s="214" t="str">
        <f ca="1">IF(DS1&lt;&gt;"",OFFSET(変更先抽出【15時】!$A$1,DQ1-1,34),"")</f>
        <v/>
      </c>
      <c r="DW7" s="206"/>
      <c r="DY7" s="213" t="str">
        <f ca="1">IF(DZ1&lt;&gt;"",IFERROR(INT(DZ4/DZ6),""),"")</f>
        <v/>
      </c>
      <c r="DZ7" s="206"/>
      <c r="EA7" s="213" t="str">
        <f ca="1">IF(DZ1&lt;&gt;"",IFERROR(MOD(DZ4,DZ6),""),"")</f>
        <v/>
      </c>
      <c r="EB7" s="206"/>
      <c r="EC7" s="214" t="str">
        <f ca="1">IF(DZ1&lt;&gt;"",OFFSET(変更先抽出【15時】!$A$1,DX1-1,34),"")</f>
        <v/>
      </c>
      <c r="ED7" s="206"/>
      <c r="EG7" s="213" t="str">
        <f ca="1">IF(EH1&lt;&gt;"",IFERROR(INT(EH4/EH6),""),"")</f>
        <v/>
      </c>
      <c r="EH7" s="206"/>
      <c r="EI7" s="213" t="str">
        <f ca="1">IF(EH1&lt;&gt;"",IFERROR(MOD(EH4,EH6),""),"")</f>
        <v/>
      </c>
      <c r="EJ7" s="206"/>
      <c r="EK7" s="214" t="str">
        <f ca="1">IF(EH1&lt;&gt;"",OFFSET(変更先抽出【15時】!$A$1,EF1-1,34),"")</f>
        <v/>
      </c>
      <c r="EL7" s="206"/>
      <c r="EN7" s="213" t="str">
        <f ca="1">IF(EO1&lt;&gt;"",IFERROR(INT(EO4/EO6),""),"")</f>
        <v/>
      </c>
      <c r="EO7" s="206"/>
      <c r="EP7" s="213" t="str">
        <f ca="1">IF(EO1&lt;&gt;"",IFERROR(MOD(EO4,EO6),""),"")</f>
        <v/>
      </c>
      <c r="EQ7" s="206"/>
      <c r="ER7" s="214" t="str">
        <f ca="1">IF(EO1&lt;&gt;"",OFFSET(変更先抽出【15時】!$A$1,EM1-1,34),"")</f>
        <v/>
      </c>
      <c r="ES7" s="206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 x14ac:dyDescent="0.55000000000000004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ca="1">IF(OFFSET(変更先抽出【15時】!$A$1,A9-1,29)&lt;&gt;"",OFFSET(変更先抽出【15時】!$A$1,A9-1,30),"")</f>
        <v/>
      </c>
      <c r="D9" s="212"/>
      <c r="E9" s="212"/>
      <c r="F9" s="212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ca="1">IF(OFFSET(変更先抽出【15時】!$A$1,H9-1,29)&lt;&gt;"",OFFSET(変更先抽出【15時】!$A$1,H9-1,30),"")</f>
        <v/>
      </c>
      <c r="K9" s="212"/>
      <c r="L9" s="212"/>
      <c r="M9" s="212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ca="1">IF(OFFSET(変更先抽出【15時】!$A$1,P9-1,29)&lt;&gt;"",OFFSET(変更先抽出【15時】!$A$1,P9-1,30),"")</f>
        <v/>
      </c>
      <c r="S9" s="212"/>
      <c r="T9" s="212"/>
      <c r="U9" s="212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ca="1">IF(OFFSET(変更先抽出【15時】!$A$1,W9-1,29)&lt;&gt;"",OFFSET(変更先抽出【15時】!$A$1,W9-1,30),"")</f>
        <v/>
      </c>
      <c r="Z9" s="212"/>
      <c r="AA9" s="212"/>
      <c r="AB9" s="212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ca="1">IF(OFFSET(変更先抽出【15時】!$A$1,AE9-1,29)&lt;&gt;"",OFFSET(変更先抽出【15時】!$A$1,AE9-1,30),"")</f>
        <v/>
      </c>
      <c r="AH9" s="212"/>
      <c r="AI9" s="212"/>
      <c r="AJ9" s="212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ca="1">IF(OFFSET(変更先抽出【15時】!$A$1,AL9-1,29)&lt;&gt;"",OFFSET(変更先抽出【15時】!$A$1,AL9-1,30),"")</f>
        <v/>
      </c>
      <c r="AO9" s="212"/>
      <c r="AP9" s="212"/>
      <c r="AQ9" s="212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ca="1">IF(OFFSET(変更先抽出【15時】!$A$1,AT9-1,29)&lt;&gt;"",OFFSET(変更先抽出【15時】!$A$1,AT9-1,30),"")</f>
        <v/>
      </c>
      <c r="AW9" s="212"/>
      <c r="AX9" s="212"/>
      <c r="AY9" s="212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ca="1">IF(OFFSET(変更先抽出【15時】!$A$1,BA9-1,29)&lt;&gt;"",OFFSET(変更先抽出【15時】!$A$1,BA9-1,30),"")</f>
        <v/>
      </c>
      <c r="BD9" s="212"/>
      <c r="BE9" s="212"/>
      <c r="BF9" s="212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ca="1">IF(OFFSET(変更先抽出【15時】!$A$1,BI9-1,29)&lt;&gt;"",OFFSET(変更先抽出【15時】!$A$1,BI9-1,30),"")</f>
        <v/>
      </c>
      <c r="BL9" s="212"/>
      <c r="BM9" s="212"/>
      <c r="BN9" s="212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ca="1">IF(OFFSET(変更先抽出【15時】!$A$1,BP9-1,29)&lt;&gt;"",OFFSET(変更先抽出【15時】!$A$1,BP9-1,30),"")</f>
        <v/>
      </c>
      <c r="BS9" s="212"/>
      <c r="BT9" s="212"/>
      <c r="BU9" s="212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ca="1">IF(OFFSET(変更先抽出【15時】!$A$1,BX9-1,29)&lt;&gt;"",OFFSET(変更先抽出【15時】!$A$1,BX9-1,30),"")</f>
        <v/>
      </c>
      <c r="CA9" s="212"/>
      <c r="CB9" s="212"/>
      <c r="CC9" s="212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ca="1">IF(OFFSET(変更先抽出【15時】!$A$1,CE9-1,29)&lt;&gt;"",OFFSET(変更先抽出【15時】!$A$1,CE9-1,30),"")</f>
        <v/>
      </c>
      <c r="CH9" s="212"/>
      <c r="CI9" s="212"/>
      <c r="CJ9" s="212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ca="1">IF(OFFSET(変更先抽出【15時】!$A$1,CM9-1,29)&lt;&gt;"",OFFSET(変更先抽出【15時】!$A$1,CM9-1,30),"")</f>
        <v/>
      </c>
      <c r="CP9" s="212"/>
      <c r="CQ9" s="212"/>
      <c r="CR9" s="212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ca="1">IF(OFFSET(変更先抽出【15時】!$A$1,CT9-1,29)&lt;&gt;"",OFFSET(変更先抽出【15時】!$A$1,CT9-1,30),"")</f>
        <v/>
      </c>
      <c r="CW9" s="212"/>
      <c r="CX9" s="212"/>
      <c r="CY9" s="212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ca="1">IF(OFFSET(変更先抽出【15時】!$A$1,DB9-1,29)&lt;&gt;"",OFFSET(変更先抽出【15時】!$A$1,DB9-1,30),"")</f>
        <v/>
      </c>
      <c r="DE9" s="212"/>
      <c r="DF9" s="212"/>
      <c r="DG9" s="212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ca="1">IF(OFFSET(変更先抽出【15時】!$A$1,DI9-1,29)&lt;&gt;"",OFFSET(変更先抽出【15時】!$A$1,DI9-1,30),"")</f>
        <v/>
      </c>
      <c r="DL9" s="212"/>
      <c r="DM9" s="212"/>
      <c r="DN9" s="212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ca="1">IF(OFFSET(変更先抽出【15時】!$A$1,DQ9-1,29)&lt;&gt;"",OFFSET(変更先抽出【15時】!$A$1,DQ9-1,30),"")</f>
        <v/>
      </c>
      <c r="DT9" s="212"/>
      <c r="DU9" s="212"/>
      <c r="DV9" s="212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ca="1">IF(OFFSET(変更先抽出【15時】!$A$1,DX9-1,29)&lt;&gt;"",OFFSET(変更先抽出【15時】!$A$1,DX9-1,30),"")</f>
        <v/>
      </c>
      <c r="EA9" s="212"/>
      <c r="EB9" s="212"/>
      <c r="EC9" s="212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ca="1">IF(OFFSET(変更先抽出【15時】!$A$1,EF9-1,29)&lt;&gt;"",OFFSET(変更先抽出【15時】!$A$1,EF9-1,30),"")</f>
        <v/>
      </c>
      <c r="EI9" s="212"/>
      <c r="EJ9" s="212"/>
      <c r="EK9" s="212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ca="1">IF(OFFSET(変更先抽出【15時】!$A$1,EM9-1,29)&lt;&gt;"",OFFSET(変更先抽出【15時】!$A$1,EM9-1,30),"")</f>
        <v/>
      </c>
      <c r="EP9" s="212"/>
      <c r="EQ9" s="212"/>
      <c r="ER9" s="212"/>
      <c r="ES9" s="39" t="str">
        <f ca="1">IF(EO9&lt;&gt;"","様","")</f>
        <v/>
      </c>
      <c r="ET9" s="22"/>
    </row>
    <row r="10" spans="1:150" s="148" customFormat="1" x14ac:dyDescent="0.55000000000000004">
      <c r="A10" s="30"/>
      <c r="B10" s="166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57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66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57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66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57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66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57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66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57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66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57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66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57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66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57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66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57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66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57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66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57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66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57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66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57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66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57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66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57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66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57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66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57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66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57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66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57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66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57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48" customFormat="1" x14ac:dyDescent="0.55000000000000004">
      <c r="A11" s="30"/>
      <c r="B11" s="31"/>
      <c r="C11" s="209" t="str">
        <f ca="1">IF(B10&lt;&gt;"","先生",
IF(OR(C9&lt;&gt;"",COUNTIF(C9,"*【*")),"園児",""))</f>
        <v/>
      </c>
      <c r="D11" s="210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09" t="str">
        <f ca="1">IF(I10&lt;&gt;"","先生",
IF(OR(J9&lt;&gt;"",COUNTIF(J9,"*【*")),"園児",""))</f>
        <v/>
      </c>
      <c r="K11" s="210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09" t="str">
        <f ca="1">IF(Q10&lt;&gt;"","先生",
IF(OR(R9&lt;&gt;"",COUNTIF(R9,"*【*")),"園児",""))</f>
        <v/>
      </c>
      <c r="S11" s="210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09" t="str">
        <f ca="1">IF(X10&lt;&gt;"","先生",
IF(OR(Y9&lt;&gt;"",COUNTIF(Y9,"*【*")),"園児",""))</f>
        <v/>
      </c>
      <c r="Z11" s="210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09" t="str">
        <f ca="1">IF(AF10&lt;&gt;"","先生",
IF(OR(AG9&lt;&gt;"",COUNTIF(AG9,"*【*")),"園児",""))</f>
        <v/>
      </c>
      <c r="AH11" s="210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09" t="str">
        <f ca="1">IF(AM10&lt;&gt;"","先生",
IF(OR(AN9&lt;&gt;"",COUNTIF(AN9,"*【*")),"園児",""))</f>
        <v/>
      </c>
      <c r="AO11" s="210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09" t="str">
        <f ca="1">IF(AU10&lt;&gt;"","先生",
IF(OR(AV9&lt;&gt;"",COUNTIF(AV9,"*【*")),"園児",""))</f>
        <v/>
      </c>
      <c r="AW11" s="210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09" t="str">
        <f ca="1">IF(BB10&lt;&gt;"","先生",
IF(OR(BC9&lt;&gt;"",COUNTIF(BC9,"*【*")),"園児",""))</f>
        <v/>
      </c>
      <c r="BD11" s="210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09" t="str">
        <f ca="1">IF(BJ10&lt;&gt;"","先生",
IF(OR(BK9&lt;&gt;"",COUNTIF(BK9,"*【*")),"園児",""))</f>
        <v/>
      </c>
      <c r="BL11" s="210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09" t="str">
        <f ca="1">IF(BQ10&lt;&gt;"","先生",
IF(OR(BR9&lt;&gt;"",COUNTIF(BR9,"*【*")),"園児",""))</f>
        <v/>
      </c>
      <c r="BS11" s="210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09" t="str">
        <f ca="1">IF(BY10&lt;&gt;"","先生",
IF(OR(BZ9&lt;&gt;"",COUNTIF(BZ9,"*【*")),"園児",""))</f>
        <v/>
      </c>
      <c r="CA11" s="210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09" t="str">
        <f ca="1">IF(CF10&lt;&gt;"","先生",
IF(OR(CG9&lt;&gt;"",COUNTIF(CG9,"*【*")),"園児",""))</f>
        <v/>
      </c>
      <c r="CH11" s="210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09" t="str">
        <f ca="1">IF(CN10&lt;&gt;"","先生",
IF(OR(CO9&lt;&gt;"",COUNTIF(CO9,"*【*")),"園児",""))</f>
        <v/>
      </c>
      <c r="CP11" s="210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09" t="str">
        <f ca="1">IF(CU10&lt;&gt;"","先生",
IF(OR(CV9&lt;&gt;"",COUNTIF(CV9,"*【*")),"園児",""))</f>
        <v/>
      </c>
      <c r="CW11" s="210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09" t="str">
        <f ca="1">IF(DC10&lt;&gt;"","先生",
IF(OR(DD9&lt;&gt;"",COUNTIF(DD9,"*【*")),"園児",""))</f>
        <v/>
      </c>
      <c r="DE11" s="210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09" t="str">
        <f ca="1">IF(DJ10&lt;&gt;"","先生",
IF(OR(DK9&lt;&gt;"",COUNTIF(DK9,"*【*")),"園児",""))</f>
        <v/>
      </c>
      <c r="DL11" s="210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09" t="str">
        <f ca="1">IF(DR10&lt;&gt;"","先生",
IF(OR(DS9&lt;&gt;"",COUNTIF(DS9,"*【*")),"園児",""))</f>
        <v/>
      </c>
      <c r="DT11" s="210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09" t="str">
        <f ca="1">IF(DY10&lt;&gt;"","先生",
IF(OR(DZ9&lt;&gt;"",COUNTIF(DZ9,"*【*")),"園児",""))</f>
        <v/>
      </c>
      <c r="EA11" s="210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09" t="str">
        <f ca="1">IF(EG10&lt;&gt;"","先生",
IF(OR(EH9&lt;&gt;"",COUNTIF(EH9,"*【*")),"園児",""))</f>
        <v/>
      </c>
      <c r="EI11" s="210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09" t="str">
        <f ca="1">IF(EN10&lt;&gt;"","先生",
IF(OR(EO9&lt;&gt;"",COUNTIF(EO9,"*【*")),"園児",""))</f>
        <v/>
      </c>
      <c r="EP11" s="210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 x14ac:dyDescent="1.05">
      <c r="B12" s="25"/>
      <c r="C12" s="207" t="str">
        <f ca="1">IF(C9&lt;&gt;"",OFFSET(変更先抽出【15時】!$A$1,A9-1,32),"")</f>
        <v/>
      </c>
      <c r="D12" s="208"/>
      <c r="E12" s="44"/>
      <c r="F12" s="203" t="str">
        <f ca="1">IF(B10&lt;&gt;"","",
IF(C9&lt;&gt;"",OFFSET(変更先抽出【15時】!$A$1,A9-1,33),""))</f>
        <v/>
      </c>
      <c r="G12" s="204"/>
      <c r="H12" s="26"/>
      <c r="I12" s="25"/>
      <c r="J12" s="207" t="str">
        <f ca="1">IF(J9&lt;&gt;"",OFFSET(変更先抽出【15時】!$A$1,H9-1,32),"")</f>
        <v/>
      </c>
      <c r="K12" s="208"/>
      <c r="L12" s="44"/>
      <c r="M12" s="203" t="str">
        <f ca="1">IF(I10&lt;&gt;"","",
IF(J9&lt;&gt;"",OFFSET(変更先抽出【15時】!$A$1,H9-1,33),""))</f>
        <v/>
      </c>
      <c r="N12" s="204"/>
      <c r="Q12" s="25"/>
      <c r="R12" s="207" t="str">
        <f ca="1">IF(R9&lt;&gt;"",OFFSET(変更先抽出【15時】!$A$1,P9-1,32),"")</f>
        <v/>
      </c>
      <c r="S12" s="208"/>
      <c r="T12" s="44"/>
      <c r="U12" s="203" t="str">
        <f ca="1">IF(Q10&lt;&gt;"","",
IF(R9&lt;&gt;"",OFFSET(変更先抽出【15時】!$A$1,P9-1,33),""))</f>
        <v/>
      </c>
      <c r="V12" s="204"/>
      <c r="W12" s="26"/>
      <c r="X12" s="25"/>
      <c r="Y12" s="207" t="str">
        <f ca="1">IF(Y9&lt;&gt;"",OFFSET(変更先抽出【15時】!$A$1,W9-1,32),"")</f>
        <v/>
      </c>
      <c r="Z12" s="208"/>
      <c r="AA12" s="44"/>
      <c r="AB12" s="203" t="str">
        <f ca="1">IF(X10&lt;&gt;"","",
IF(Y9&lt;&gt;"",OFFSET(変更先抽出【15時】!$A$1,W9-1,33),""))</f>
        <v/>
      </c>
      <c r="AC12" s="204"/>
      <c r="AF12" s="25"/>
      <c r="AG12" s="207" t="str">
        <f ca="1">IF(AG9&lt;&gt;"",OFFSET(変更先抽出【15時】!$A$1,AE9-1,32),"")</f>
        <v/>
      </c>
      <c r="AH12" s="208"/>
      <c r="AI12" s="44"/>
      <c r="AJ12" s="203" t="str">
        <f ca="1">IF(AF10&lt;&gt;"","",
IF(AG9&lt;&gt;"",OFFSET(変更先抽出【15時】!$A$1,AE9-1,33),""))</f>
        <v/>
      </c>
      <c r="AK12" s="204"/>
      <c r="AL12" s="26"/>
      <c r="AM12" s="25"/>
      <c r="AN12" s="207" t="str">
        <f ca="1">IF(AN9&lt;&gt;"",OFFSET(変更先抽出【15時】!$A$1,AL9-1,32),"")</f>
        <v/>
      </c>
      <c r="AO12" s="208"/>
      <c r="AP12" s="44"/>
      <c r="AQ12" s="203" t="str">
        <f ca="1">IF(AM10&lt;&gt;"","",
IF(AN9&lt;&gt;"",OFFSET(変更先抽出【15時】!$A$1,AL9-1,33),""))</f>
        <v/>
      </c>
      <c r="AR12" s="204"/>
      <c r="AU12" s="25"/>
      <c r="AV12" s="207" t="str">
        <f ca="1">IF(AV9&lt;&gt;"",OFFSET(変更先抽出【15時】!$A$1,AT9-1,32),"")</f>
        <v/>
      </c>
      <c r="AW12" s="208"/>
      <c r="AX12" s="44"/>
      <c r="AY12" s="203" t="str">
        <f ca="1">IF(AU10&lt;&gt;"","",
IF(AV9&lt;&gt;"",OFFSET(変更先抽出【15時】!$A$1,AT9-1,33),""))</f>
        <v/>
      </c>
      <c r="AZ12" s="204"/>
      <c r="BA12" s="26"/>
      <c r="BB12" s="25"/>
      <c r="BC12" s="207" t="str">
        <f ca="1">IF(BC9&lt;&gt;"",OFFSET(変更先抽出【15時】!$A$1,BA9-1,32),"")</f>
        <v/>
      </c>
      <c r="BD12" s="208"/>
      <c r="BE12" s="44"/>
      <c r="BF12" s="203" t="str">
        <f ca="1">IF(BB10&lt;&gt;"","",
IF(BC9&lt;&gt;"",OFFSET(変更先抽出【15時】!$A$1,BA9-1,33),""))</f>
        <v/>
      </c>
      <c r="BG12" s="204"/>
      <c r="BJ12" s="25"/>
      <c r="BK12" s="207" t="str">
        <f ca="1">IF(BK9&lt;&gt;"",OFFSET(変更先抽出【15時】!$A$1,BI9-1,32),"")</f>
        <v/>
      </c>
      <c r="BL12" s="208"/>
      <c r="BM12" s="44"/>
      <c r="BN12" s="203" t="str">
        <f ca="1">IF(BJ10&lt;&gt;"","",
IF(BK9&lt;&gt;"",OFFSET(変更先抽出【15時】!$A$1,BI9-1,33),""))</f>
        <v/>
      </c>
      <c r="BO12" s="204"/>
      <c r="BP12" s="26"/>
      <c r="BQ12" s="25"/>
      <c r="BR12" s="207" t="str">
        <f ca="1">IF(BR9&lt;&gt;"",OFFSET(変更先抽出【15時】!$A$1,BP9-1,32),"")</f>
        <v/>
      </c>
      <c r="BS12" s="208"/>
      <c r="BT12" s="44"/>
      <c r="BU12" s="203" t="str">
        <f ca="1">IF(BQ10&lt;&gt;"","",
IF(BR9&lt;&gt;"",OFFSET(変更先抽出【15時】!$A$1,BP9-1,33),""))</f>
        <v/>
      </c>
      <c r="BV12" s="204"/>
      <c r="BY12" s="25"/>
      <c r="BZ12" s="207" t="str">
        <f ca="1">IF(BZ9&lt;&gt;"",OFFSET(変更先抽出【15時】!$A$1,BX9-1,32),"")</f>
        <v/>
      </c>
      <c r="CA12" s="208"/>
      <c r="CB12" s="44"/>
      <c r="CC12" s="203" t="str">
        <f ca="1">IF(BY10&lt;&gt;"","",
IF(BZ9&lt;&gt;"",OFFSET(変更先抽出【15時】!$A$1,BX9-1,33),""))</f>
        <v/>
      </c>
      <c r="CD12" s="204"/>
      <c r="CE12" s="26"/>
      <c r="CF12" s="25"/>
      <c r="CG12" s="207" t="str">
        <f ca="1">IF(CG9&lt;&gt;"",OFFSET(変更先抽出【15時】!$A$1,CE9-1,32),"")</f>
        <v/>
      </c>
      <c r="CH12" s="208"/>
      <c r="CI12" s="44"/>
      <c r="CJ12" s="203" t="str">
        <f ca="1">IF(CF10&lt;&gt;"","",
IF(CG9&lt;&gt;"",OFFSET(変更先抽出【15時】!$A$1,CE9-1,33),""))</f>
        <v/>
      </c>
      <c r="CK12" s="204"/>
      <c r="CN12" s="25"/>
      <c r="CO12" s="207" t="str">
        <f ca="1">IF(CO9&lt;&gt;"",OFFSET(変更先抽出【15時】!$A$1,CM9-1,32),"")</f>
        <v/>
      </c>
      <c r="CP12" s="208"/>
      <c r="CQ12" s="44"/>
      <c r="CR12" s="203" t="str">
        <f ca="1">IF(CN10&lt;&gt;"","",
IF(CO9&lt;&gt;"",OFFSET(変更先抽出【15時】!$A$1,CM9-1,33),""))</f>
        <v/>
      </c>
      <c r="CS12" s="204"/>
      <c r="CT12" s="26"/>
      <c r="CU12" s="25"/>
      <c r="CV12" s="207" t="str">
        <f ca="1">IF(CV9&lt;&gt;"",OFFSET(変更先抽出【15時】!$A$1,CT9-1,32),"")</f>
        <v/>
      </c>
      <c r="CW12" s="208"/>
      <c r="CX12" s="44"/>
      <c r="CY12" s="203" t="str">
        <f ca="1">IF(CU10&lt;&gt;"","",
IF(CV9&lt;&gt;"",OFFSET(変更先抽出【15時】!$A$1,CT9-1,33),""))</f>
        <v/>
      </c>
      <c r="CZ12" s="204"/>
      <c r="DC12" s="25"/>
      <c r="DD12" s="207" t="str">
        <f ca="1">IF(DD9&lt;&gt;"",OFFSET(変更先抽出【15時】!$A$1,DB9-1,32),"")</f>
        <v/>
      </c>
      <c r="DE12" s="208"/>
      <c r="DF12" s="44"/>
      <c r="DG12" s="203" t="str">
        <f ca="1">IF(DC10&lt;&gt;"","",
IF(DD9&lt;&gt;"",OFFSET(変更先抽出【15時】!$A$1,DB9-1,33),""))</f>
        <v/>
      </c>
      <c r="DH12" s="204"/>
      <c r="DI12" s="26"/>
      <c r="DJ12" s="25"/>
      <c r="DK12" s="207" t="str">
        <f ca="1">IF(DK9&lt;&gt;"",OFFSET(変更先抽出【15時】!$A$1,DI9-1,32),"")</f>
        <v/>
      </c>
      <c r="DL12" s="208"/>
      <c r="DM12" s="44"/>
      <c r="DN12" s="203" t="str">
        <f ca="1">IF(DJ10&lt;&gt;"","",
IF(DK9&lt;&gt;"",OFFSET(変更先抽出【15時】!$A$1,DI9-1,33),""))</f>
        <v/>
      </c>
      <c r="DO12" s="204"/>
      <c r="DR12" s="25"/>
      <c r="DS12" s="207" t="str">
        <f ca="1">IF(DS9&lt;&gt;"",OFFSET(変更先抽出【15時】!$A$1,DQ9-1,32),"")</f>
        <v/>
      </c>
      <c r="DT12" s="208"/>
      <c r="DU12" s="44"/>
      <c r="DV12" s="203" t="str">
        <f ca="1">IF(DR10&lt;&gt;"","",
IF(DS9&lt;&gt;"",OFFSET(変更先抽出【15時】!$A$1,DQ9-1,33),""))</f>
        <v/>
      </c>
      <c r="DW12" s="204"/>
      <c r="DX12" s="26"/>
      <c r="DY12" s="25"/>
      <c r="DZ12" s="207" t="str">
        <f ca="1">IF(DZ9&lt;&gt;"",OFFSET(変更先抽出【15時】!$A$1,DX9-1,32),"")</f>
        <v/>
      </c>
      <c r="EA12" s="208"/>
      <c r="EB12" s="44"/>
      <c r="EC12" s="203" t="str">
        <f ca="1">IF(DY10&lt;&gt;"","",
IF(DZ9&lt;&gt;"",OFFSET(変更先抽出【15時】!$A$1,DX9-1,33),""))</f>
        <v/>
      </c>
      <c r="ED12" s="204"/>
      <c r="EG12" s="25"/>
      <c r="EH12" s="207" t="str">
        <f ca="1">IF(EH9&lt;&gt;"",OFFSET(変更先抽出【15時】!$A$1,EF9-1,32),"")</f>
        <v/>
      </c>
      <c r="EI12" s="208"/>
      <c r="EJ12" s="44"/>
      <c r="EK12" s="203" t="str">
        <f ca="1">IF(EG10&lt;&gt;"","",
IF(EH9&lt;&gt;"",OFFSET(変更先抽出【15時】!$A$1,EF9-1,33),""))</f>
        <v/>
      </c>
      <c r="EL12" s="204"/>
      <c r="EM12" s="26"/>
      <c r="EN12" s="25"/>
      <c r="EO12" s="207" t="str">
        <f ca="1">IF(EO9&lt;&gt;"",OFFSET(変更先抽出【15時】!$A$1,EM9-1,32),"")</f>
        <v/>
      </c>
      <c r="EP12" s="208"/>
      <c r="EQ12" s="44"/>
      <c r="ER12" s="203" t="str">
        <f ca="1">IF(EN10&lt;&gt;"","",
IF(EO9&lt;&gt;"",OFFSET(変更先抽出【15時】!$A$1,EM9-1,33),""))</f>
        <v/>
      </c>
      <c r="ES12" s="204"/>
    </row>
    <row r="13" spans="1:150" ht="15.6" customHeight="1" x14ac:dyDescent="0.45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 x14ac:dyDescent="0.55000000000000004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 x14ac:dyDescent="0.45">
      <c r="B15" s="213" t="str">
        <f ca="1">IF(C9&lt;&gt;"",IFERROR(INT(C12/C14),""),"")</f>
        <v/>
      </c>
      <c r="C15" s="206"/>
      <c r="D15" s="213" t="str">
        <f ca="1">IF(C9&lt;&gt;"",IFERROR(MOD(C12,C14),""),"")</f>
        <v/>
      </c>
      <c r="E15" s="206"/>
      <c r="F15" s="214" t="str">
        <f ca="1">IF(AND(C9&lt;&gt;"",C11&lt;&gt;"先生"),
IF(COUNTIF(C9,"*【*"),"",OFFSET(変更先抽出【15時】!$A$1,A9-1,34)),"")</f>
        <v/>
      </c>
      <c r="G15" s="206"/>
      <c r="I15" s="213" t="str">
        <f ca="1">IF(J9&lt;&gt;"",IFERROR(INT(J12/J14),""),"")</f>
        <v/>
      </c>
      <c r="J15" s="206"/>
      <c r="K15" s="213" t="str">
        <f ca="1">IF(J9&lt;&gt;"",IFERROR(MOD(J12,J14),""),"")</f>
        <v/>
      </c>
      <c r="L15" s="206"/>
      <c r="M15" s="214" t="str">
        <f ca="1">IF(AND(J9&lt;&gt;"",J11&lt;&gt;"先生"),
IF(COUNTIF(J9,"*【*"),"",OFFSET(変更先抽出【15時】!$A$1,H9-1,34)),"")</f>
        <v/>
      </c>
      <c r="N15" s="206"/>
      <c r="Q15" s="213" t="str">
        <f ca="1">IF(R9&lt;&gt;"",IFERROR(INT(R12/R14),""),"")</f>
        <v/>
      </c>
      <c r="R15" s="206"/>
      <c r="S15" s="213" t="str">
        <f ca="1">IF(R9&lt;&gt;"",IFERROR(MOD(R12,R14),""),"")</f>
        <v/>
      </c>
      <c r="T15" s="206"/>
      <c r="U15" s="214" t="str">
        <f ca="1">IF(AND(R9&lt;&gt;"",R11&lt;&gt;"先生"),
IF(COUNTIF(R9,"*【*"),"",OFFSET(変更先抽出【15時】!$A$1,P9-1,34)),"")</f>
        <v/>
      </c>
      <c r="V15" s="206"/>
      <c r="X15" s="213" t="str">
        <f ca="1">IF(Y9&lt;&gt;"",IFERROR(INT(Y12/Y14),""),"")</f>
        <v/>
      </c>
      <c r="Y15" s="206"/>
      <c r="Z15" s="213" t="str">
        <f ca="1">IF(Y9&lt;&gt;"",IFERROR(MOD(Y12,Y14),""),"")</f>
        <v/>
      </c>
      <c r="AA15" s="206"/>
      <c r="AB15" s="214" t="str">
        <f ca="1">IF(AND(Y9&lt;&gt;"",Y11&lt;&gt;"先生"),
IF(COUNTIF(Y9,"*【*"),"",OFFSET(変更先抽出【15時】!$A$1,W9-1,34)),"")</f>
        <v/>
      </c>
      <c r="AC15" s="206"/>
      <c r="AF15" s="213" t="str">
        <f ca="1">IF(AG9&lt;&gt;"",IFERROR(INT(AG12/AG14),""),"")</f>
        <v/>
      </c>
      <c r="AG15" s="206"/>
      <c r="AH15" s="213" t="str">
        <f ca="1">IF(AG9&lt;&gt;"",IFERROR(MOD(AG12,AG14),""),"")</f>
        <v/>
      </c>
      <c r="AI15" s="206"/>
      <c r="AJ15" s="214" t="str">
        <f ca="1">IF(AG9&lt;&gt;"",OFFSET(変更先抽出【15時】!$A$1,AE9-1,34),"")</f>
        <v/>
      </c>
      <c r="AK15" s="206"/>
      <c r="AM15" s="213" t="str">
        <f ca="1">IF(AN9&lt;&gt;"",IFERROR(INT(AN12/AN14),""),"")</f>
        <v/>
      </c>
      <c r="AN15" s="206"/>
      <c r="AO15" s="213" t="str">
        <f ca="1">IF(AN9&lt;&gt;"",IFERROR(MOD(AN12,AN14),""),"")</f>
        <v/>
      </c>
      <c r="AP15" s="206"/>
      <c r="AQ15" s="214" t="str">
        <f ca="1">IF(AN9&lt;&gt;"",OFFSET(変更先抽出【15時】!$A$1,AL9-1,34),"")</f>
        <v/>
      </c>
      <c r="AR15" s="206"/>
      <c r="AU15" s="213" t="str">
        <f ca="1">IF(AV9&lt;&gt;"",IFERROR(INT(AV12/AV14),""),"")</f>
        <v/>
      </c>
      <c r="AV15" s="206"/>
      <c r="AW15" s="213" t="str">
        <f ca="1">IF(AV9&lt;&gt;"",IFERROR(MOD(AV12,AV14),""),"")</f>
        <v/>
      </c>
      <c r="AX15" s="206"/>
      <c r="AY15" s="214" t="str">
        <f ca="1">IF(AV9&lt;&gt;"",OFFSET(変更先抽出【15時】!$A$1,AT9-1,34),"")</f>
        <v/>
      </c>
      <c r="AZ15" s="206"/>
      <c r="BB15" s="213" t="str">
        <f ca="1">IF(BC9&lt;&gt;"",IFERROR(INT(BC12/BC14),""),"")</f>
        <v/>
      </c>
      <c r="BC15" s="206"/>
      <c r="BD15" s="213" t="str">
        <f ca="1">IF(BC9&lt;&gt;"",IFERROR(MOD(BC12,BC14),""),"")</f>
        <v/>
      </c>
      <c r="BE15" s="206"/>
      <c r="BF15" s="214" t="str">
        <f ca="1">IF(BC9&lt;&gt;"",OFFSET(変更先抽出【15時】!$A$1,BA9-1,34),"")</f>
        <v/>
      </c>
      <c r="BG15" s="206"/>
      <c r="BJ15" s="213" t="str">
        <f ca="1">IF(BK9&lt;&gt;"",IFERROR(INT(BK12/BK14),""),"")</f>
        <v/>
      </c>
      <c r="BK15" s="206"/>
      <c r="BL15" s="213" t="str">
        <f ca="1">IF(BK9&lt;&gt;"",IFERROR(MOD(BK12,BK14),""),"")</f>
        <v/>
      </c>
      <c r="BM15" s="206"/>
      <c r="BN15" s="214" t="str">
        <f ca="1">IF(BK9&lt;&gt;"",OFFSET(変更先抽出【15時】!$A$1,BI9-1,34),"")</f>
        <v/>
      </c>
      <c r="BO15" s="206"/>
      <c r="BQ15" s="213" t="str">
        <f ca="1">IF(BR9&lt;&gt;"",IFERROR(INT(BR12/BR14),""),"")</f>
        <v/>
      </c>
      <c r="BR15" s="206"/>
      <c r="BS15" s="213" t="str">
        <f ca="1">IF(BR9&lt;&gt;"",IFERROR(MOD(BR12,BR14),""),"")</f>
        <v/>
      </c>
      <c r="BT15" s="206"/>
      <c r="BU15" s="214" t="str">
        <f ca="1">IF(BR9&lt;&gt;"",OFFSET(変更先抽出【15時】!$A$1,BP9-1,34),"")</f>
        <v/>
      </c>
      <c r="BV15" s="206"/>
      <c r="BY15" s="213" t="str">
        <f ca="1">IF(BZ9&lt;&gt;"",IFERROR(INT(BZ12/BZ14),""),"")</f>
        <v/>
      </c>
      <c r="BZ15" s="206"/>
      <c r="CA15" s="213" t="str">
        <f ca="1">IF(BZ9&lt;&gt;"",IFERROR(MOD(BZ12,BZ14),""),"")</f>
        <v/>
      </c>
      <c r="CB15" s="206"/>
      <c r="CC15" s="214" t="str">
        <f ca="1">IF(BZ9&lt;&gt;"",OFFSET(変更先抽出【15時】!$A$1,BX9-1,34),"")</f>
        <v/>
      </c>
      <c r="CD15" s="206"/>
      <c r="CF15" s="213" t="str">
        <f ca="1">IF(CG9&lt;&gt;"",IFERROR(INT(CG12/CG14),""),"")</f>
        <v/>
      </c>
      <c r="CG15" s="206"/>
      <c r="CH15" s="213" t="str">
        <f ca="1">IF(CG9&lt;&gt;"",IFERROR(MOD(CG12,CG14),""),"")</f>
        <v/>
      </c>
      <c r="CI15" s="206"/>
      <c r="CJ15" s="214" t="str">
        <f ca="1">IF(CG9&lt;&gt;"",OFFSET(変更先抽出【15時】!$A$1,CE9-1,34),"")</f>
        <v/>
      </c>
      <c r="CK15" s="206"/>
      <c r="CN15" s="213" t="str">
        <f ca="1">IF(CO9&lt;&gt;"",IFERROR(INT(CO12/CO14),""),"")</f>
        <v/>
      </c>
      <c r="CO15" s="206"/>
      <c r="CP15" s="213" t="str">
        <f ca="1">IF(CO9&lt;&gt;"",IFERROR(MOD(CO12,CO14),""),"")</f>
        <v/>
      </c>
      <c r="CQ15" s="206"/>
      <c r="CR15" s="214" t="str">
        <f ca="1">IF(CO9&lt;&gt;"",OFFSET(変更先抽出【15時】!$A$1,CM9-1,34),"")</f>
        <v/>
      </c>
      <c r="CS15" s="206"/>
      <c r="CU15" s="213" t="str">
        <f ca="1">IF(CV9&lt;&gt;"",IFERROR(INT(CV12/CV14),""),"")</f>
        <v/>
      </c>
      <c r="CV15" s="206"/>
      <c r="CW15" s="213" t="str">
        <f ca="1">IF(CV9&lt;&gt;"",IFERROR(MOD(CV12,CV14),""),"")</f>
        <v/>
      </c>
      <c r="CX15" s="206"/>
      <c r="CY15" s="214" t="str">
        <f ca="1">IF(CV9&lt;&gt;"",OFFSET(変更先抽出【15時】!$A$1,CT9-1,34),"")</f>
        <v/>
      </c>
      <c r="CZ15" s="206"/>
      <c r="DC15" s="213" t="str">
        <f ca="1">IF(DD9&lt;&gt;"",IFERROR(INT(DD12/DD14),""),"")</f>
        <v/>
      </c>
      <c r="DD15" s="206"/>
      <c r="DE15" s="213" t="str">
        <f ca="1">IF(DD9&lt;&gt;"",IFERROR(MOD(DD12,DD14),""),"")</f>
        <v/>
      </c>
      <c r="DF15" s="206"/>
      <c r="DG15" s="214" t="str">
        <f ca="1">IF(DD9&lt;&gt;"",OFFSET(変更先抽出【15時】!$A$1,DB9-1,34),"")</f>
        <v/>
      </c>
      <c r="DH15" s="206"/>
      <c r="DJ15" s="213" t="str">
        <f ca="1">IF(DK9&lt;&gt;"",IFERROR(INT(DK12/DK14),""),"")</f>
        <v/>
      </c>
      <c r="DK15" s="206"/>
      <c r="DL15" s="213" t="str">
        <f ca="1">IF(DK9&lt;&gt;"",IFERROR(MOD(DK12,DK14),""),"")</f>
        <v/>
      </c>
      <c r="DM15" s="206"/>
      <c r="DN15" s="214" t="str">
        <f ca="1">IF(DK9&lt;&gt;"",OFFSET(変更先抽出【15時】!$A$1,DI9-1,34),"")</f>
        <v/>
      </c>
      <c r="DO15" s="206"/>
      <c r="DR15" s="213" t="str">
        <f ca="1">IF(DS9&lt;&gt;"",IFERROR(INT(DS12/DS14),""),"")</f>
        <v/>
      </c>
      <c r="DS15" s="206"/>
      <c r="DT15" s="213" t="str">
        <f ca="1">IF(DS9&lt;&gt;"",IFERROR(MOD(DS12,DS14),""),"")</f>
        <v/>
      </c>
      <c r="DU15" s="206"/>
      <c r="DV15" s="214" t="str">
        <f ca="1">IF(DS9&lt;&gt;"",OFFSET(変更先抽出【15時】!$A$1,DQ9-1,34),"")</f>
        <v/>
      </c>
      <c r="DW15" s="206"/>
      <c r="DY15" s="213" t="str">
        <f ca="1">IF(DZ9&lt;&gt;"",IFERROR(INT(DZ12/DZ14),""),"")</f>
        <v/>
      </c>
      <c r="DZ15" s="206"/>
      <c r="EA15" s="213" t="str">
        <f ca="1">IF(DZ9&lt;&gt;"",IFERROR(MOD(DZ12,DZ14),""),"")</f>
        <v/>
      </c>
      <c r="EB15" s="206"/>
      <c r="EC15" s="214" t="str">
        <f ca="1">IF(DZ9&lt;&gt;"",OFFSET(変更先抽出【15時】!$A$1,DX9-1,34),"")</f>
        <v/>
      </c>
      <c r="ED15" s="206"/>
      <c r="EG15" s="213" t="str">
        <f ca="1">IF(EH9&lt;&gt;"",IFERROR(INT(EH12/EH14),""),"")</f>
        <v/>
      </c>
      <c r="EH15" s="206"/>
      <c r="EI15" s="213" t="str">
        <f ca="1">IF(EH9&lt;&gt;"",IFERROR(MOD(EH12,EH14),""),"")</f>
        <v/>
      </c>
      <c r="EJ15" s="206"/>
      <c r="EK15" s="214" t="str">
        <f ca="1">IF(EH9&lt;&gt;"",OFFSET(変更先抽出【15時】!$A$1,EF9-1,34),"")</f>
        <v/>
      </c>
      <c r="EL15" s="206"/>
      <c r="EN15" s="213" t="str">
        <f ca="1">IF(EO9&lt;&gt;"",IFERROR(INT(EO12/EO14),""),"")</f>
        <v/>
      </c>
      <c r="EO15" s="206"/>
      <c r="EP15" s="213" t="str">
        <f ca="1">IF(EO9&lt;&gt;"",IFERROR(MOD(EO12,EO14),""),"")</f>
        <v/>
      </c>
      <c r="EQ15" s="206"/>
      <c r="ER15" s="214" t="str">
        <f ca="1">IF(EO9&lt;&gt;"",OFFSET(変更先抽出【15時】!$A$1,EM9-1,34),"")</f>
        <v/>
      </c>
      <c r="ES15" s="206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 x14ac:dyDescent="0.55000000000000004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ca="1">IF(OFFSET(変更先抽出【15時】!$A$1,A17-1,29)&lt;&gt;"",OFFSET(変更先抽出【15時】!$A$1,A17-1,30),"")</f>
        <v/>
      </c>
      <c r="D17" s="212"/>
      <c r="E17" s="212"/>
      <c r="F17" s="212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ca="1">IF(OFFSET(変更先抽出【15時】!$A$1,H17-1,29)&lt;&gt;"",OFFSET(変更先抽出【15時】!$A$1,H17-1,30),"")</f>
        <v/>
      </c>
      <c r="K17" s="212"/>
      <c r="L17" s="212"/>
      <c r="M17" s="212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ca="1">IF(OFFSET(変更先抽出【15時】!$A$1,P17-1,29)&lt;&gt;"",OFFSET(変更先抽出【15時】!$A$1,P17-1,30),"")</f>
        <v/>
      </c>
      <c r="S17" s="212"/>
      <c r="T17" s="212"/>
      <c r="U17" s="212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ca="1">IF(OFFSET(変更先抽出【15時】!$A$1,W17-1,29)&lt;&gt;"",OFFSET(変更先抽出【15時】!$A$1,W17-1,30),"")</f>
        <v/>
      </c>
      <c r="Z17" s="212"/>
      <c r="AA17" s="212"/>
      <c r="AB17" s="212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ca="1">IF(OFFSET(変更先抽出【15時】!$A$1,AE17-1,29)&lt;&gt;"",OFFSET(変更先抽出【15時】!$A$1,AE17-1,30),"")</f>
        <v/>
      </c>
      <c r="AH17" s="212"/>
      <c r="AI17" s="212"/>
      <c r="AJ17" s="212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ca="1">IF(OFFSET(変更先抽出【15時】!$A$1,AL17-1,29)&lt;&gt;"",OFFSET(変更先抽出【15時】!$A$1,AL17-1,30),"")</f>
        <v/>
      </c>
      <c r="AO17" s="212"/>
      <c r="AP17" s="212"/>
      <c r="AQ17" s="212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ca="1">IF(OFFSET(変更先抽出【15時】!$A$1,AT17-1,29)&lt;&gt;"",OFFSET(変更先抽出【15時】!$A$1,AT17-1,30),"")</f>
        <v/>
      </c>
      <c r="AW17" s="212"/>
      <c r="AX17" s="212"/>
      <c r="AY17" s="212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ca="1">IF(OFFSET(変更先抽出【15時】!$A$1,BA17-1,29)&lt;&gt;"",OFFSET(変更先抽出【15時】!$A$1,BA17-1,30),"")</f>
        <v/>
      </c>
      <c r="BD17" s="212"/>
      <c r="BE17" s="212"/>
      <c r="BF17" s="212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ca="1">IF(OFFSET(変更先抽出【15時】!$A$1,BI17-1,29)&lt;&gt;"",OFFSET(変更先抽出【15時】!$A$1,BI17-1,30),"")</f>
        <v/>
      </c>
      <c r="BL17" s="212"/>
      <c r="BM17" s="212"/>
      <c r="BN17" s="212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ca="1">IF(OFFSET(変更先抽出【15時】!$A$1,BP17-1,29)&lt;&gt;"",OFFSET(変更先抽出【15時】!$A$1,BP17-1,30),"")</f>
        <v/>
      </c>
      <c r="BS17" s="212"/>
      <c r="BT17" s="212"/>
      <c r="BU17" s="212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ca="1">IF(OFFSET(変更先抽出【15時】!$A$1,BX17-1,29)&lt;&gt;"",OFFSET(変更先抽出【15時】!$A$1,BX17-1,30),"")</f>
        <v/>
      </c>
      <c r="CA17" s="212"/>
      <c r="CB17" s="212"/>
      <c r="CC17" s="212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ca="1">IF(OFFSET(変更先抽出【15時】!$A$1,CE17-1,29)&lt;&gt;"",OFFSET(変更先抽出【15時】!$A$1,CE17-1,30),"")</f>
        <v/>
      </c>
      <c r="CH17" s="212"/>
      <c r="CI17" s="212"/>
      <c r="CJ17" s="212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ca="1">IF(OFFSET(変更先抽出【15時】!$A$1,CM17-1,29)&lt;&gt;"",OFFSET(変更先抽出【15時】!$A$1,CM17-1,30),"")</f>
        <v/>
      </c>
      <c r="CP17" s="212"/>
      <c r="CQ17" s="212"/>
      <c r="CR17" s="212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ca="1">IF(OFFSET(変更先抽出【15時】!$A$1,CT17-1,29)&lt;&gt;"",OFFSET(変更先抽出【15時】!$A$1,CT17-1,30),"")</f>
        <v/>
      </c>
      <c r="CW17" s="212"/>
      <c r="CX17" s="212"/>
      <c r="CY17" s="212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ca="1">IF(OFFSET(変更先抽出【15時】!$A$1,DB17-1,29)&lt;&gt;"",OFFSET(変更先抽出【15時】!$A$1,DB17-1,30),"")</f>
        <v/>
      </c>
      <c r="DE17" s="212"/>
      <c r="DF17" s="212"/>
      <c r="DG17" s="212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ca="1">IF(OFFSET(変更先抽出【15時】!$A$1,DI17-1,29)&lt;&gt;"",OFFSET(変更先抽出【15時】!$A$1,DI17-1,30),"")</f>
        <v/>
      </c>
      <c r="DL17" s="212"/>
      <c r="DM17" s="212"/>
      <c r="DN17" s="212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ca="1">IF(OFFSET(変更先抽出【15時】!$A$1,DQ17-1,29)&lt;&gt;"",OFFSET(変更先抽出【15時】!$A$1,DQ17-1,30),"")</f>
        <v/>
      </c>
      <c r="DT17" s="212"/>
      <c r="DU17" s="212"/>
      <c r="DV17" s="212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ca="1">IF(OFFSET(変更先抽出【15時】!$A$1,DX17-1,29)&lt;&gt;"",OFFSET(変更先抽出【15時】!$A$1,DX17-1,30),"")</f>
        <v/>
      </c>
      <c r="EA17" s="212"/>
      <c r="EB17" s="212"/>
      <c r="EC17" s="212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ca="1">IF(OFFSET(変更先抽出【15時】!$A$1,EF17-1,29)&lt;&gt;"",OFFSET(変更先抽出【15時】!$A$1,EF17-1,30),"")</f>
        <v/>
      </c>
      <c r="EI17" s="212"/>
      <c r="EJ17" s="212"/>
      <c r="EK17" s="212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ca="1">IF(OFFSET(変更先抽出【15時】!$A$1,EM17-1,29)&lt;&gt;"",OFFSET(変更先抽出【15時】!$A$1,EM17-1,30),"")</f>
        <v/>
      </c>
      <c r="EP17" s="212"/>
      <c r="EQ17" s="212"/>
      <c r="ER17" s="212"/>
      <c r="ES17" s="39" t="str">
        <f ca="1">IF(EO17&lt;&gt;"","様","")</f>
        <v/>
      </c>
      <c r="ET17" s="22"/>
    </row>
    <row r="18" spans="1:150" s="148" customFormat="1" x14ac:dyDescent="0.55000000000000004">
      <c r="A18" s="30"/>
      <c r="B18" s="166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57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66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57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66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57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66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57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66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57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66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57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66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57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66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57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66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57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66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57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66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57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66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57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66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57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66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57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66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57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66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57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66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57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66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57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66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57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66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57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48" customFormat="1" x14ac:dyDescent="0.55000000000000004">
      <c r="A19" s="30"/>
      <c r="B19" s="31"/>
      <c r="C19" s="209" t="str">
        <f ca="1">IF(B18&lt;&gt;"","先生",
IF(OR(C17&lt;&gt;"",COUNTIF(C17,"*【*")),"園児",""))</f>
        <v/>
      </c>
      <c r="D19" s="210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09" t="str">
        <f ca="1">IF(I18&lt;&gt;"","先生",
IF(OR(J17&lt;&gt;"",COUNTIF(J17,"*【*")),"園児",""))</f>
        <v/>
      </c>
      <c r="K19" s="210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09" t="str">
        <f ca="1">IF(Q18&lt;&gt;"","先生",
IF(OR(R17&lt;&gt;"",COUNTIF(R17,"*【*")),"園児",""))</f>
        <v/>
      </c>
      <c r="S19" s="210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09" t="str">
        <f ca="1">IF(X18&lt;&gt;"","先生",
IF(OR(Y17&lt;&gt;"",COUNTIF(Y17,"*【*")),"園児",""))</f>
        <v/>
      </c>
      <c r="Z19" s="210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09" t="str">
        <f ca="1">IF(AF18&lt;&gt;"","先生",
IF(OR(AG17&lt;&gt;"",COUNTIF(AG17,"*【*")),"園児",""))</f>
        <v/>
      </c>
      <c r="AH19" s="210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09" t="str">
        <f ca="1">IF(AM18&lt;&gt;"","先生",
IF(OR(AN17&lt;&gt;"",COUNTIF(AN17,"*【*")),"園児",""))</f>
        <v/>
      </c>
      <c r="AO19" s="210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09" t="str">
        <f ca="1">IF(AU18&lt;&gt;"","先生",
IF(OR(AV17&lt;&gt;"",COUNTIF(AV17,"*【*")),"園児",""))</f>
        <v/>
      </c>
      <c r="AW19" s="210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09" t="str">
        <f ca="1">IF(BB18&lt;&gt;"","先生",
IF(OR(BC17&lt;&gt;"",COUNTIF(BC17,"*【*")),"園児",""))</f>
        <v/>
      </c>
      <c r="BD19" s="210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09" t="str">
        <f ca="1">IF(BJ18&lt;&gt;"","先生",
IF(OR(BK17&lt;&gt;"",COUNTIF(BK17,"*【*")),"園児",""))</f>
        <v/>
      </c>
      <c r="BL19" s="210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09" t="str">
        <f ca="1">IF(BQ18&lt;&gt;"","先生",
IF(OR(BR17&lt;&gt;"",COUNTIF(BR17,"*【*")),"園児",""))</f>
        <v/>
      </c>
      <c r="BS19" s="210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09" t="str">
        <f ca="1">IF(BY18&lt;&gt;"","先生",
IF(OR(BZ17&lt;&gt;"",COUNTIF(BZ17,"*【*")),"園児",""))</f>
        <v/>
      </c>
      <c r="CA19" s="210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09" t="str">
        <f ca="1">IF(CF18&lt;&gt;"","先生",
IF(OR(CG17&lt;&gt;"",COUNTIF(CG17,"*【*")),"園児",""))</f>
        <v/>
      </c>
      <c r="CH19" s="210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09" t="str">
        <f ca="1">IF(CN18&lt;&gt;"","先生",
IF(OR(CO17&lt;&gt;"",COUNTIF(CO17,"*【*")),"園児",""))</f>
        <v/>
      </c>
      <c r="CP19" s="210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09" t="str">
        <f ca="1">IF(CU18&lt;&gt;"","先生",
IF(OR(CV17&lt;&gt;"",COUNTIF(CV17,"*【*")),"園児",""))</f>
        <v/>
      </c>
      <c r="CW19" s="210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09" t="str">
        <f ca="1">IF(DC18&lt;&gt;"","先生",
IF(OR(DD17&lt;&gt;"",COUNTIF(DD17,"*【*")),"園児",""))</f>
        <v/>
      </c>
      <c r="DE19" s="210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09" t="str">
        <f ca="1">IF(DJ18&lt;&gt;"","先生",
IF(OR(DK17&lt;&gt;"",COUNTIF(DK17,"*【*")),"園児",""))</f>
        <v/>
      </c>
      <c r="DL19" s="210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09" t="str">
        <f ca="1">IF(DR18&lt;&gt;"","先生",
IF(OR(DS17&lt;&gt;"",COUNTIF(DS17,"*【*")),"園児",""))</f>
        <v/>
      </c>
      <c r="DT19" s="210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09" t="str">
        <f ca="1">IF(DY18&lt;&gt;"","先生",
IF(OR(DZ17&lt;&gt;"",COUNTIF(DZ17,"*【*")),"園児",""))</f>
        <v/>
      </c>
      <c r="EA19" s="210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09" t="str">
        <f ca="1">IF(EG18&lt;&gt;"","先生",
IF(OR(EH17&lt;&gt;"",COUNTIF(EH17,"*【*")),"園児",""))</f>
        <v/>
      </c>
      <c r="EI19" s="210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09" t="str">
        <f ca="1">IF(EN18&lt;&gt;"","先生",
IF(OR(EO17&lt;&gt;"",COUNTIF(EO17,"*【*")),"園児",""))</f>
        <v/>
      </c>
      <c r="EP19" s="210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 x14ac:dyDescent="1.05">
      <c r="B20" s="25"/>
      <c r="C20" s="207" t="str">
        <f ca="1">IF(C17&lt;&gt;"",OFFSET(変更先抽出【15時】!$A$1,A17-1,32),"")</f>
        <v/>
      </c>
      <c r="D20" s="208"/>
      <c r="E20" s="44"/>
      <c r="F20" s="203" t="str">
        <f ca="1">IF(B18&lt;&gt;"","",
IF(C17&lt;&gt;"",OFFSET(変更先抽出【15時】!$A$1,A17-1,33),""))</f>
        <v/>
      </c>
      <c r="G20" s="204"/>
      <c r="H20" s="26"/>
      <c r="I20" s="25"/>
      <c r="J20" s="207" t="str">
        <f ca="1">IF(J17&lt;&gt;"",OFFSET(変更先抽出【15時】!$A$1,H17-1,32),"")</f>
        <v/>
      </c>
      <c r="K20" s="208"/>
      <c r="L20" s="44"/>
      <c r="M20" s="203" t="str">
        <f ca="1">IF(I18&lt;&gt;"","",
IF(J17&lt;&gt;"",OFFSET(変更先抽出【15時】!$A$1,H17-1,33),""))</f>
        <v/>
      </c>
      <c r="N20" s="204"/>
      <c r="Q20" s="25"/>
      <c r="R20" s="207" t="str">
        <f ca="1">IF(R17&lt;&gt;"",OFFSET(変更先抽出【15時】!$A$1,P17-1,32),"")</f>
        <v/>
      </c>
      <c r="S20" s="208"/>
      <c r="T20" s="44"/>
      <c r="U20" s="203" t="str">
        <f ca="1">IF(Q18&lt;&gt;"","",
IF(R17&lt;&gt;"",OFFSET(変更先抽出【15時】!$A$1,P17-1,33),""))</f>
        <v/>
      </c>
      <c r="V20" s="204"/>
      <c r="W20" s="26"/>
      <c r="X20" s="25"/>
      <c r="Y20" s="207" t="str">
        <f ca="1">IF(Y17&lt;&gt;"",OFFSET(変更先抽出【15時】!$A$1,W17-1,32),"")</f>
        <v/>
      </c>
      <c r="Z20" s="208"/>
      <c r="AA20" s="44"/>
      <c r="AB20" s="203" t="str">
        <f ca="1">IF(X18&lt;&gt;"","",
IF(Y17&lt;&gt;"",OFFSET(変更先抽出【15時】!$A$1,W17-1,33),""))</f>
        <v/>
      </c>
      <c r="AC20" s="204"/>
      <c r="AF20" s="25"/>
      <c r="AG20" s="207" t="str">
        <f ca="1">IF(AG17&lt;&gt;"",OFFSET(変更先抽出【15時】!$A$1,AE17-1,32),"")</f>
        <v/>
      </c>
      <c r="AH20" s="208"/>
      <c r="AI20" s="44"/>
      <c r="AJ20" s="203" t="str">
        <f ca="1">IF(AF18&lt;&gt;"","",
IF(AG17&lt;&gt;"",OFFSET(変更先抽出【15時】!$A$1,AE17-1,33),""))</f>
        <v/>
      </c>
      <c r="AK20" s="204"/>
      <c r="AL20" s="26"/>
      <c r="AM20" s="25"/>
      <c r="AN20" s="207" t="str">
        <f ca="1">IF(AN17&lt;&gt;"",OFFSET(変更先抽出【15時】!$A$1,AL17-1,32),"")</f>
        <v/>
      </c>
      <c r="AO20" s="208"/>
      <c r="AP20" s="44"/>
      <c r="AQ20" s="203" t="str">
        <f ca="1">IF(AM18&lt;&gt;"","",
IF(AN17&lt;&gt;"",OFFSET(変更先抽出【15時】!$A$1,AL17-1,33),""))</f>
        <v/>
      </c>
      <c r="AR20" s="204"/>
      <c r="AU20" s="25"/>
      <c r="AV20" s="207" t="str">
        <f ca="1">IF(AV17&lt;&gt;"",OFFSET(変更先抽出【15時】!$A$1,AT17-1,32),"")</f>
        <v/>
      </c>
      <c r="AW20" s="208"/>
      <c r="AX20" s="44"/>
      <c r="AY20" s="203" t="str">
        <f ca="1">IF(AU18&lt;&gt;"","",
IF(AV17&lt;&gt;"",OFFSET(変更先抽出【15時】!$A$1,AT17-1,33),""))</f>
        <v/>
      </c>
      <c r="AZ20" s="204"/>
      <c r="BA20" s="26"/>
      <c r="BB20" s="25"/>
      <c r="BC20" s="207" t="str">
        <f ca="1">IF(BC17&lt;&gt;"",OFFSET(変更先抽出【15時】!$A$1,BA17-1,32),"")</f>
        <v/>
      </c>
      <c r="BD20" s="208"/>
      <c r="BE20" s="44"/>
      <c r="BF20" s="203" t="str">
        <f ca="1">IF(BB18&lt;&gt;"","",
IF(BC17&lt;&gt;"",OFFSET(変更先抽出【15時】!$A$1,BA17-1,33),""))</f>
        <v/>
      </c>
      <c r="BG20" s="204"/>
      <c r="BJ20" s="25"/>
      <c r="BK20" s="207" t="str">
        <f ca="1">IF(BK17&lt;&gt;"",OFFSET(変更先抽出【15時】!$A$1,BI17-1,32),"")</f>
        <v/>
      </c>
      <c r="BL20" s="208"/>
      <c r="BM20" s="44"/>
      <c r="BN20" s="203" t="str">
        <f ca="1">IF(BJ18&lt;&gt;"","",
IF(BK17&lt;&gt;"",OFFSET(変更先抽出【15時】!$A$1,BI17-1,33),""))</f>
        <v/>
      </c>
      <c r="BO20" s="204"/>
      <c r="BP20" s="26"/>
      <c r="BQ20" s="25"/>
      <c r="BR20" s="207" t="str">
        <f ca="1">IF(BR17&lt;&gt;"",OFFSET(変更先抽出【15時】!$A$1,BP17-1,32),"")</f>
        <v/>
      </c>
      <c r="BS20" s="208"/>
      <c r="BT20" s="44"/>
      <c r="BU20" s="203" t="str">
        <f ca="1">IF(BQ18&lt;&gt;"","",
IF(BR17&lt;&gt;"",OFFSET(変更先抽出【15時】!$A$1,BP17-1,33),""))</f>
        <v/>
      </c>
      <c r="BV20" s="204"/>
      <c r="BY20" s="25"/>
      <c r="BZ20" s="207" t="str">
        <f ca="1">IF(BZ17&lt;&gt;"",OFFSET(変更先抽出【15時】!$A$1,BX17-1,32),"")</f>
        <v/>
      </c>
      <c r="CA20" s="208"/>
      <c r="CB20" s="44"/>
      <c r="CC20" s="203" t="str">
        <f ca="1">IF(BY18&lt;&gt;"","",
IF(BZ17&lt;&gt;"",OFFSET(変更先抽出【15時】!$A$1,BX17-1,33),""))</f>
        <v/>
      </c>
      <c r="CD20" s="204"/>
      <c r="CE20" s="26"/>
      <c r="CF20" s="25"/>
      <c r="CG20" s="207" t="str">
        <f ca="1">IF(CG17&lt;&gt;"",OFFSET(変更先抽出【15時】!$A$1,CE17-1,32),"")</f>
        <v/>
      </c>
      <c r="CH20" s="208"/>
      <c r="CI20" s="44"/>
      <c r="CJ20" s="203" t="str">
        <f ca="1">IF(CF18&lt;&gt;"","",
IF(CG17&lt;&gt;"",OFFSET(変更先抽出【15時】!$A$1,CE17-1,33),""))</f>
        <v/>
      </c>
      <c r="CK20" s="204"/>
      <c r="CN20" s="25"/>
      <c r="CO20" s="207" t="str">
        <f ca="1">IF(CO17&lt;&gt;"",OFFSET(変更先抽出【15時】!$A$1,CM17-1,32),"")</f>
        <v/>
      </c>
      <c r="CP20" s="208"/>
      <c r="CQ20" s="44"/>
      <c r="CR20" s="203" t="str">
        <f ca="1">IF(CN18&lt;&gt;"","",
IF(CO17&lt;&gt;"",OFFSET(変更先抽出【15時】!$A$1,CM17-1,33),""))</f>
        <v/>
      </c>
      <c r="CS20" s="204"/>
      <c r="CT20" s="26"/>
      <c r="CU20" s="25"/>
      <c r="CV20" s="207" t="str">
        <f ca="1">IF(CV17&lt;&gt;"",OFFSET(変更先抽出【15時】!$A$1,CT17-1,32),"")</f>
        <v/>
      </c>
      <c r="CW20" s="208"/>
      <c r="CX20" s="44"/>
      <c r="CY20" s="203" t="str">
        <f ca="1">IF(CU18&lt;&gt;"","",
IF(CV17&lt;&gt;"",OFFSET(変更先抽出【15時】!$A$1,CT17-1,33),""))</f>
        <v/>
      </c>
      <c r="CZ20" s="204"/>
      <c r="DC20" s="25"/>
      <c r="DD20" s="207" t="str">
        <f ca="1">IF(DD17&lt;&gt;"",OFFSET(変更先抽出【15時】!$A$1,DB17-1,32),"")</f>
        <v/>
      </c>
      <c r="DE20" s="208"/>
      <c r="DF20" s="44"/>
      <c r="DG20" s="203" t="str">
        <f ca="1">IF(DC18&lt;&gt;"","",
IF(DD17&lt;&gt;"",OFFSET(変更先抽出【15時】!$A$1,DB17-1,33),""))</f>
        <v/>
      </c>
      <c r="DH20" s="204"/>
      <c r="DI20" s="26"/>
      <c r="DJ20" s="25"/>
      <c r="DK20" s="207" t="str">
        <f ca="1">IF(DK17&lt;&gt;"",OFFSET(変更先抽出【15時】!$A$1,DI17-1,32),"")</f>
        <v/>
      </c>
      <c r="DL20" s="208"/>
      <c r="DM20" s="44"/>
      <c r="DN20" s="203" t="str">
        <f ca="1">IF(DJ18&lt;&gt;"","",
IF(DK17&lt;&gt;"",OFFSET(変更先抽出【15時】!$A$1,DI17-1,33),""))</f>
        <v/>
      </c>
      <c r="DO20" s="204"/>
      <c r="DR20" s="25"/>
      <c r="DS20" s="207" t="str">
        <f ca="1">IF(DS17&lt;&gt;"",OFFSET(変更先抽出【15時】!$A$1,DQ17-1,32),"")</f>
        <v/>
      </c>
      <c r="DT20" s="208"/>
      <c r="DU20" s="44"/>
      <c r="DV20" s="203" t="str">
        <f ca="1">IF(DR18&lt;&gt;"","",
IF(DS17&lt;&gt;"",OFFSET(変更先抽出【15時】!$A$1,DQ17-1,33),""))</f>
        <v/>
      </c>
      <c r="DW20" s="204"/>
      <c r="DX20" s="26"/>
      <c r="DY20" s="25"/>
      <c r="DZ20" s="207" t="str">
        <f ca="1">IF(DZ17&lt;&gt;"",OFFSET(変更先抽出【15時】!$A$1,DX17-1,32),"")</f>
        <v/>
      </c>
      <c r="EA20" s="208"/>
      <c r="EB20" s="44"/>
      <c r="EC20" s="203" t="str">
        <f ca="1">IF(DY18&lt;&gt;"","",
IF(DZ17&lt;&gt;"",OFFSET(変更先抽出【15時】!$A$1,DX17-1,33),""))</f>
        <v/>
      </c>
      <c r="ED20" s="204"/>
      <c r="EG20" s="25"/>
      <c r="EH20" s="207" t="str">
        <f ca="1">IF(EH17&lt;&gt;"",OFFSET(変更先抽出【15時】!$A$1,EF17-1,32),"")</f>
        <v/>
      </c>
      <c r="EI20" s="208"/>
      <c r="EJ20" s="44"/>
      <c r="EK20" s="203" t="str">
        <f ca="1">IF(EG18&lt;&gt;"","",
IF(EH17&lt;&gt;"",OFFSET(変更先抽出【15時】!$A$1,EF17-1,33),""))</f>
        <v/>
      </c>
      <c r="EL20" s="204"/>
      <c r="EM20" s="26"/>
      <c r="EN20" s="25"/>
      <c r="EO20" s="207" t="str">
        <f ca="1">IF(EO17&lt;&gt;"",OFFSET(変更先抽出【15時】!$A$1,EM17-1,32),"")</f>
        <v/>
      </c>
      <c r="EP20" s="208"/>
      <c r="EQ20" s="44"/>
      <c r="ER20" s="203" t="str">
        <f ca="1">IF(EN18&lt;&gt;"","",
IF(EO17&lt;&gt;"",OFFSET(変更先抽出【15時】!$A$1,EM17-1,33),""))</f>
        <v/>
      </c>
      <c r="ES20" s="204"/>
    </row>
    <row r="21" spans="1:150" ht="15.6" customHeight="1" x14ac:dyDescent="0.45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 x14ac:dyDescent="0.55000000000000004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 x14ac:dyDescent="0.45">
      <c r="B23" s="213" t="str">
        <f ca="1">IF(C17&lt;&gt;"",IFERROR(INT(C20/C22),""),"")</f>
        <v/>
      </c>
      <c r="C23" s="206"/>
      <c r="D23" s="213" t="str">
        <f ca="1">IF(C17&lt;&gt;"",IFERROR(MOD(C20,C22),""),"")</f>
        <v/>
      </c>
      <c r="E23" s="206"/>
      <c r="F23" s="214" t="str">
        <f ca="1">IF(AND(C17&lt;&gt;"",C19&lt;&gt;"先生"),
IF(COUNTIF(C17,"*【*"),"",OFFSET(変更先抽出【15時】!$A$1,A17-1,34)),"")</f>
        <v/>
      </c>
      <c r="G23" s="206"/>
      <c r="I23" s="213" t="str">
        <f ca="1">IF(J17&lt;&gt;"",IFERROR(INT(J20/J22),""),"")</f>
        <v/>
      </c>
      <c r="J23" s="206"/>
      <c r="K23" s="213" t="str">
        <f ca="1">IF(J17&lt;&gt;"",IFERROR(MOD(J20,J22),""),"")</f>
        <v/>
      </c>
      <c r="L23" s="206"/>
      <c r="M23" s="214" t="str">
        <f ca="1">IF(AND(J17&lt;&gt;"",J19&lt;&gt;"先生"),
IF(COUNTIF(J17,"*【*"),"",OFFSET(変更先抽出【15時】!$A$1,H17-1,34)),"")</f>
        <v/>
      </c>
      <c r="N23" s="206"/>
      <c r="Q23" s="213" t="str">
        <f ca="1">IF(R17&lt;&gt;"",IFERROR(INT(R20/R22),""),"")</f>
        <v/>
      </c>
      <c r="R23" s="206"/>
      <c r="S23" s="213" t="str">
        <f ca="1">IF(R17&lt;&gt;"",IFERROR(MOD(R20,R22),""),"")</f>
        <v/>
      </c>
      <c r="T23" s="206"/>
      <c r="U23" s="214" t="str">
        <f ca="1">IF(AND(R17&lt;&gt;"",R19&lt;&gt;"先生"),
IF(COUNTIF(R17,"*【*"),"",OFFSET(変更先抽出【15時】!$A$1,P17-1,34)),"")</f>
        <v/>
      </c>
      <c r="V23" s="206"/>
      <c r="X23" s="213" t="str">
        <f ca="1">IF(Y17&lt;&gt;"",IFERROR(INT(Y20/Y22),""),"")</f>
        <v/>
      </c>
      <c r="Y23" s="206"/>
      <c r="Z23" s="213" t="str">
        <f ca="1">IF(Y17&lt;&gt;"",IFERROR(MOD(Y20,Y22),""),"")</f>
        <v/>
      </c>
      <c r="AA23" s="206"/>
      <c r="AB23" s="214" t="str">
        <f ca="1">IF(AND(Y17&lt;&gt;"",Y19&lt;&gt;"先生"),
IF(COUNTIF(Y17,"*【*"),"",OFFSET(変更先抽出【15時】!$A$1,W17-1,34)),"")</f>
        <v/>
      </c>
      <c r="AC23" s="206"/>
      <c r="AF23" s="213" t="str">
        <f ca="1">IF(AG17&lt;&gt;"",IFERROR(INT(AG20/AG22),""),"")</f>
        <v/>
      </c>
      <c r="AG23" s="206"/>
      <c r="AH23" s="213" t="str">
        <f ca="1">IF(AG17&lt;&gt;"",IFERROR(MOD(AG20,AG22),""),"")</f>
        <v/>
      </c>
      <c r="AI23" s="206"/>
      <c r="AJ23" s="214" t="str">
        <f ca="1">IF(AG17&lt;&gt;"",OFFSET(変更先抽出【15時】!$A$1,AE17-1,34),"")</f>
        <v/>
      </c>
      <c r="AK23" s="206"/>
      <c r="AM23" s="213" t="str">
        <f ca="1">IF(AN17&lt;&gt;"",IFERROR(INT(AN20/AN22),""),"")</f>
        <v/>
      </c>
      <c r="AN23" s="206"/>
      <c r="AO23" s="213" t="str">
        <f ca="1">IF(AN17&lt;&gt;"",IFERROR(MOD(AN20,AN22),""),"")</f>
        <v/>
      </c>
      <c r="AP23" s="206"/>
      <c r="AQ23" s="214" t="str">
        <f ca="1">IF(AN17&lt;&gt;"",OFFSET(変更先抽出【15時】!$A$1,AL17-1,34),"")</f>
        <v/>
      </c>
      <c r="AR23" s="206"/>
      <c r="AU23" s="213" t="str">
        <f ca="1">IF(AV17&lt;&gt;"",IFERROR(INT(AV20/AV22),""),"")</f>
        <v/>
      </c>
      <c r="AV23" s="206"/>
      <c r="AW23" s="213" t="str">
        <f ca="1">IF(AV17&lt;&gt;"",IFERROR(MOD(AV20,AV22),""),"")</f>
        <v/>
      </c>
      <c r="AX23" s="206"/>
      <c r="AY23" s="214" t="str">
        <f ca="1">IF(AV17&lt;&gt;"",OFFSET(変更先抽出【15時】!$A$1,AT17-1,34),"")</f>
        <v/>
      </c>
      <c r="AZ23" s="206"/>
      <c r="BB23" s="213" t="str">
        <f ca="1">IF(BC17&lt;&gt;"",IFERROR(INT(BC20/BC22),""),"")</f>
        <v/>
      </c>
      <c r="BC23" s="206"/>
      <c r="BD23" s="213" t="str">
        <f ca="1">IF(BC17&lt;&gt;"",IFERROR(MOD(BC20,BC22),""),"")</f>
        <v/>
      </c>
      <c r="BE23" s="206"/>
      <c r="BF23" s="214" t="str">
        <f ca="1">IF(BC17&lt;&gt;"",OFFSET(変更先抽出【15時】!$A$1,BA17-1,34),"")</f>
        <v/>
      </c>
      <c r="BG23" s="206"/>
      <c r="BJ23" s="213" t="str">
        <f ca="1">IF(BK17&lt;&gt;"",IFERROR(INT(BK20/BK22),""),"")</f>
        <v/>
      </c>
      <c r="BK23" s="206"/>
      <c r="BL23" s="213" t="str">
        <f ca="1">IF(BK17&lt;&gt;"",IFERROR(MOD(BK20,BK22),""),"")</f>
        <v/>
      </c>
      <c r="BM23" s="206"/>
      <c r="BN23" s="214" t="str">
        <f ca="1">IF(BK17&lt;&gt;"",OFFSET(変更先抽出【15時】!$A$1,BI17-1,34),"")</f>
        <v/>
      </c>
      <c r="BO23" s="206"/>
      <c r="BQ23" s="213" t="str">
        <f ca="1">IF(BR17&lt;&gt;"",IFERROR(INT(BR20/BR22),""),"")</f>
        <v/>
      </c>
      <c r="BR23" s="206"/>
      <c r="BS23" s="213" t="str">
        <f ca="1">IF(BR17&lt;&gt;"",IFERROR(MOD(BR20,BR22),""),"")</f>
        <v/>
      </c>
      <c r="BT23" s="206"/>
      <c r="BU23" s="214" t="str">
        <f ca="1">IF(BR17&lt;&gt;"",OFFSET(変更先抽出【15時】!$A$1,BP17-1,34),"")</f>
        <v/>
      </c>
      <c r="BV23" s="206"/>
      <c r="BY23" s="213" t="str">
        <f ca="1">IF(BZ17&lt;&gt;"",IFERROR(INT(BZ20/BZ22),""),"")</f>
        <v/>
      </c>
      <c r="BZ23" s="206"/>
      <c r="CA23" s="213" t="str">
        <f ca="1">IF(BZ17&lt;&gt;"",IFERROR(MOD(BZ20,BZ22),""),"")</f>
        <v/>
      </c>
      <c r="CB23" s="206"/>
      <c r="CC23" s="214" t="str">
        <f ca="1">IF(BZ17&lt;&gt;"",OFFSET(変更先抽出【15時】!$A$1,BX17-1,34),"")</f>
        <v/>
      </c>
      <c r="CD23" s="206"/>
      <c r="CF23" s="213" t="str">
        <f ca="1">IF(CG17&lt;&gt;"",IFERROR(INT(CG20/CG22),""),"")</f>
        <v/>
      </c>
      <c r="CG23" s="206"/>
      <c r="CH23" s="213" t="str">
        <f ca="1">IF(CG17&lt;&gt;"",IFERROR(MOD(CG20,CG22),""),"")</f>
        <v/>
      </c>
      <c r="CI23" s="206"/>
      <c r="CJ23" s="214" t="str">
        <f ca="1">IF(CG17&lt;&gt;"",OFFSET(変更先抽出【15時】!$A$1,CE17-1,34),"")</f>
        <v/>
      </c>
      <c r="CK23" s="206"/>
      <c r="CN23" s="213" t="str">
        <f ca="1">IF(CO17&lt;&gt;"",IFERROR(INT(CO20/CO22),""),"")</f>
        <v/>
      </c>
      <c r="CO23" s="206"/>
      <c r="CP23" s="213" t="str">
        <f ca="1">IF(CO17&lt;&gt;"",IFERROR(MOD(CO20,CO22),""),"")</f>
        <v/>
      </c>
      <c r="CQ23" s="206"/>
      <c r="CR23" s="214" t="str">
        <f ca="1">IF(CO17&lt;&gt;"",OFFSET(変更先抽出【15時】!$A$1,CM17-1,34),"")</f>
        <v/>
      </c>
      <c r="CS23" s="206"/>
      <c r="CU23" s="213" t="str">
        <f ca="1">IF(CV17&lt;&gt;"",IFERROR(INT(CV20/CV22),""),"")</f>
        <v/>
      </c>
      <c r="CV23" s="206"/>
      <c r="CW23" s="213" t="str">
        <f ca="1">IF(CV17&lt;&gt;"",IFERROR(MOD(CV20,CV22),""),"")</f>
        <v/>
      </c>
      <c r="CX23" s="206"/>
      <c r="CY23" s="214" t="str">
        <f ca="1">IF(CV17&lt;&gt;"",OFFSET(変更先抽出【15時】!$A$1,CT17-1,34),"")</f>
        <v/>
      </c>
      <c r="CZ23" s="206"/>
      <c r="DC23" s="213" t="str">
        <f ca="1">IF(DD17&lt;&gt;"",IFERROR(INT(DD20/DD22),""),"")</f>
        <v/>
      </c>
      <c r="DD23" s="206"/>
      <c r="DE23" s="213" t="str">
        <f ca="1">IF(DD17&lt;&gt;"",IFERROR(MOD(DD20,DD22),""),"")</f>
        <v/>
      </c>
      <c r="DF23" s="206"/>
      <c r="DG23" s="214" t="str">
        <f ca="1">IF(DD17&lt;&gt;"",OFFSET(変更先抽出【15時】!$A$1,DB17-1,34),"")</f>
        <v/>
      </c>
      <c r="DH23" s="206"/>
      <c r="DJ23" s="213" t="str">
        <f ca="1">IF(DK17&lt;&gt;"",IFERROR(INT(DK20/DK22),""),"")</f>
        <v/>
      </c>
      <c r="DK23" s="206"/>
      <c r="DL23" s="213" t="str">
        <f ca="1">IF(DK17&lt;&gt;"",IFERROR(MOD(DK20,DK22),""),"")</f>
        <v/>
      </c>
      <c r="DM23" s="206"/>
      <c r="DN23" s="214" t="str">
        <f ca="1">IF(DK17&lt;&gt;"",OFFSET(変更先抽出【15時】!$A$1,DI17-1,34),"")</f>
        <v/>
      </c>
      <c r="DO23" s="206"/>
      <c r="DR23" s="213" t="str">
        <f ca="1">IF(DS17&lt;&gt;"",IFERROR(INT(DS20/DS22),""),"")</f>
        <v/>
      </c>
      <c r="DS23" s="206"/>
      <c r="DT23" s="213" t="str">
        <f ca="1">IF(DS17&lt;&gt;"",IFERROR(MOD(DS20,DS22),""),"")</f>
        <v/>
      </c>
      <c r="DU23" s="206"/>
      <c r="DV23" s="214" t="str">
        <f ca="1">IF(DS17&lt;&gt;"",OFFSET(変更先抽出【15時】!$A$1,DQ17-1,34),"")</f>
        <v/>
      </c>
      <c r="DW23" s="206"/>
      <c r="DY23" s="213" t="str">
        <f ca="1">IF(DZ17&lt;&gt;"",IFERROR(INT(DZ20/DZ22),""),"")</f>
        <v/>
      </c>
      <c r="DZ23" s="206"/>
      <c r="EA23" s="213" t="str">
        <f ca="1">IF(DZ17&lt;&gt;"",IFERROR(MOD(DZ20,DZ22),""),"")</f>
        <v/>
      </c>
      <c r="EB23" s="206"/>
      <c r="EC23" s="214" t="str">
        <f ca="1">IF(DZ17&lt;&gt;"",OFFSET(変更先抽出【15時】!$A$1,DX17-1,34),"")</f>
        <v/>
      </c>
      <c r="ED23" s="206"/>
      <c r="EG23" s="213" t="str">
        <f ca="1">IF(EH17&lt;&gt;"",IFERROR(INT(EH20/EH22),""),"")</f>
        <v/>
      </c>
      <c r="EH23" s="206"/>
      <c r="EI23" s="213" t="str">
        <f ca="1">IF(EH17&lt;&gt;"",IFERROR(MOD(EH20,EH22),""),"")</f>
        <v/>
      </c>
      <c r="EJ23" s="206"/>
      <c r="EK23" s="214" t="str">
        <f ca="1">IF(EH17&lt;&gt;"",OFFSET(変更先抽出【15時】!$A$1,EF17-1,34),"")</f>
        <v/>
      </c>
      <c r="EL23" s="206"/>
      <c r="EN23" s="213" t="str">
        <f ca="1">IF(EO17&lt;&gt;"",IFERROR(INT(EO20/EO22),""),"")</f>
        <v/>
      </c>
      <c r="EO23" s="206"/>
      <c r="EP23" s="213" t="str">
        <f ca="1">IF(EO17&lt;&gt;"",IFERROR(MOD(EO20,EO22),""),"")</f>
        <v/>
      </c>
      <c r="EQ23" s="206"/>
      <c r="ER23" s="214" t="str">
        <f ca="1">IF(EO17&lt;&gt;"",OFFSET(変更先抽出【15時】!$A$1,EM17-1,34),"")</f>
        <v/>
      </c>
      <c r="ES23" s="206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 x14ac:dyDescent="0.55000000000000004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ca="1">IF(OFFSET(変更先抽出【15時】!$A$1,A25-1,29)&lt;&gt;"",OFFSET(変更先抽出【15時】!$A$1,A25-1,30),"")</f>
        <v/>
      </c>
      <c r="D25" s="212"/>
      <c r="E25" s="212"/>
      <c r="F25" s="212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ca="1">IF(OFFSET(変更先抽出【15時】!$A$1,H25-1,29)&lt;&gt;"",OFFSET(変更先抽出【15時】!$A$1,H25-1,30),"")</f>
        <v/>
      </c>
      <c r="K25" s="212"/>
      <c r="L25" s="212"/>
      <c r="M25" s="212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ca="1">IF(OFFSET(変更先抽出【15時】!$A$1,P25-1,29)&lt;&gt;"",OFFSET(変更先抽出【15時】!$A$1,P25-1,30),"")</f>
        <v/>
      </c>
      <c r="S25" s="212"/>
      <c r="T25" s="212"/>
      <c r="U25" s="212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ca="1">IF(OFFSET(変更先抽出【15時】!$A$1,W25-1,29)&lt;&gt;"",OFFSET(変更先抽出【15時】!$A$1,W25-1,30),"")</f>
        <v/>
      </c>
      <c r="Z25" s="212"/>
      <c r="AA25" s="212"/>
      <c r="AB25" s="212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ca="1">IF(OFFSET(変更先抽出【15時】!$A$1,AE25-1,29)&lt;&gt;"",OFFSET(変更先抽出【15時】!$A$1,AE25-1,30),"")</f>
        <v/>
      </c>
      <c r="AH25" s="212"/>
      <c r="AI25" s="212"/>
      <c r="AJ25" s="212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ca="1">IF(OFFSET(変更先抽出【15時】!$A$1,AL25-1,29)&lt;&gt;"",OFFSET(変更先抽出【15時】!$A$1,AL25-1,30),"")</f>
        <v/>
      </c>
      <c r="AO25" s="212"/>
      <c r="AP25" s="212"/>
      <c r="AQ25" s="212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ca="1">IF(OFFSET(変更先抽出【15時】!$A$1,AT25-1,29)&lt;&gt;"",OFFSET(変更先抽出【15時】!$A$1,AT25-1,30),"")</f>
        <v/>
      </c>
      <c r="AW25" s="212"/>
      <c r="AX25" s="212"/>
      <c r="AY25" s="212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ca="1">IF(OFFSET(変更先抽出【15時】!$A$1,BA25-1,29)&lt;&gt;"",OFFSET(変更先抽出【15時】!$A$1,BA25-1,30),"")</f>
        <v/>
      </c>
      <c r="BD25" s="212"/>
      <c r="BE25" s="212"/>
      <c r="BF25" s="212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ca="1">IF(OFFSET(変更先抽出【15時】!$A$1,BI25-1,29)&lt;&gt;"",OFFSET(変更先抽出【15時】!$A$1,BI25-1,30),"")</f>
        <v/>
      </c>
      <c r="BL25" s="212"/>
      <c r="BM25" s="212"/>
      <c r="BN25" s="212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ca="1">IF(OFFSET(変更先抽出【15時】!$A$1,BP25-1,29)&lt;&gt;"",OFFSET(変更先抽出【15時】!$A$1,BP25-1,30),"")</f>
        <v/>
      </c>
      <c r="BS25" s="212"/>
      <c r="BT25" s="212"/>
      <c r="BU25" s="212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ca="1">IF(OFFSET(変更先抽出【15時】!$A$1,BX25-1,29)&lt;&gt;"",OFFSET(変更先抽出【15時】!$A$1,BX25-1,30),"")</f>
        <v/>
      </c>
      <c r="CA25" s="212"/>
      <c r="CB25" s="212"/>
      <c r="CC25" s="212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ca="1">IF(OFFSET(変更先抽出【15時】!$A$1,CE25-1,29)&lt;&gt;"",OFFSET(変更先抽出【15時】!$A$1,CE25-1,30),"")</f>
        <v/>
      </c>
      <c r="CH25" s="212"/>
      <c r="CI25" s="212"/>
      <c r="CJ25" s="212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ca="1">IF(OFFSET(変更先抽出【15時】!$A$1,CM25-1,29)&lt;&gt;"",OFFSET(変更先抽出【15時】!$A$1,CM25-1,30),"")</f>
        <v/>
      </c>
      <c r="CP25" s="212"/>
      <c r="CQ25" s="212"/>
      <c r="CR25" s="212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ca="1">IF(OFFSET(変更先抽出【15時】!$A$1,CT25-1,29)&lt;&gt;"",OFFSET(変更先抽出【15時】!$A$1,CT25-1,30),"")</f>
        <v/>
      </c>
      <c r="CW25" s="212"/>
      <c r="CX25" s="212"/>
      <c r="CY25" s="212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ca="1">IF(OFFSET(変更先抽出【15時】!$A$1,DB25-1,29)&lt;&gt;"",OFFSET(変更先抽出【15時】!$A$1,DB25-1,30),"")</f>
        <v/>
      </c>
      <c r="DE25" s="212"/>
      <c r="DF25" s="212"/>
      <c r="DG25" s="212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ca="1">IF(OFFSET(変更先抽出【15時】!$A$1,DI25-1,29)&lt;&gt;"",OFFSET(変更先抽出【15時】!$A$1,DI25-1,30),"")</f>
        <v/>
      </c>
      <c r="DL25" s="212"/>
      <c r="DM25" s="212"/>
      <c r="DN25" s="212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ca="1">IF(OFFSET(変更先抽出【15時】!$A$1,DQ25-1,29)&lt;&gt;"",OFFSET(変更先抽出【15時】!$A$1,DQ25-1,30),"")</f>
        <v/>
      </c>
      <c r="DT25" s="212"/>
      <c r="DU25" s="212"/>
      <c r="DV25" s="212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ca="1">IF(OFFSET(変更先抽出【15時】!$A$1,DX25-1,29)&lt;&gt;"",OFFSET(変更先抽出【15時】!$A$1,DX25-1,30),"")</f>
        <v/>
      </c>
      <c r="EA25" s="212"/>
      <c r="EB25" s="212"/>
      <c r="EC25" s="212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ca="1">IF(OFFSET(変更先抽出【15時】!$A$1,EF25-1,29)&lt;&gt;"",OFFSET(変更先抽出【15時】!$A$1,EF25-1,30),"")</f>
        <v/>
      </c>
      <c r="EI25" s="212"/>
      <c r="EJ25" s="212"/>
      <c r="EK25" s="212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ca="1">IF(OFFSET(変更先抽出【15時】!$A$1,EM25-1,29)&lt;&gt;"",OFFSET(変更先抽出【15時】!$A$1,EM25-1,30),"")</f>
        <v/>
      </c>
      <c r="EP25" s="212"/>
      <c r="EQ25" s="212"/>
      <c r="ER25" s="212"/>
      <c r="ES25" s="39" t="str">
        <f ca="1">IF(EO25&lt;&gt;"","様","")</f>
        <v/>
      </c>
      <c r="ET25" s="22"/>
    </row>
    <row r="26" spans="1:150" s="148" customFormat="1" x14ac:dyDescent="0.55000000000000004">
      <c r="A26" s="30"/>
      <c r="B26" s="166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57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66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57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66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57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66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57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66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57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66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57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66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57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66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57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66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57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66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57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66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57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66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57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66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57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66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57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66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57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66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57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66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57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66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57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66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57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66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57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48" customFormat="1" x14ac:dyDescent="0.55000000000000004">
      <c r="A27" s="30"/>
      <c r="B27" s="31"/>
      <c r="C27" s="209" t="str">
        <f ca="1">IF(B26&lt;&gt;"","先生",
IF(OR(C25&lt;&gt;"",COUNTIF(C25,"*【*")),"園児",""))</f>
        <v/>
      </c>
      <c r="D27" s="210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09" t="str">
        <f ca="1">IF(I26&lt;&gt;"","先生",
IF(OR(J25&lt;&gt;"",COUNTIF(J25,"*【*")),"園児",""))</f>
        <v/>
      </c>
      <c r="K27" s="210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09" t="str">
        <f ca="1">IF(Q26&lt;&gt;"","先生",
IF(OR(R25&lt;&gt;"",COUNTIF(R25,"*【*")),"園児",""))</f>
        <v/>
      </c>
      <c r="S27" s="210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09" t="str">
        <f ca="1">IF(X26&lt;&gt;"","先生",
IF(OR(Y25&lt;&gt;"",COUNTIF(Y25,"*【*")),"園児",""))</f>
        <v/>
      </c>
      <c r="Z27" s="210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09" t="str">
        <f ca="1">IF(AF26&lt;&gt;"","先生",
IF(OR(AG25&lt;&gt;"",COUNTIF(AG25,"*【*")),"園児",""))</f>
        <v/>
      </c>
      <c r="AH27" s="210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09" t="str">
        <f ca="1">IF(AM26&lt;&gt;"","先生",
IF(OR(AN25&lt;&gt;"",COUNTIF(AN25,"*【*")),"園児",""))</f>
        <v/>
      </c>
      <c r="AO27" s="210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09" t="str">
        <f ca="1">IF(AU26&lt;&gt;"","先生",
IF(OR(AV25&lt;&gt;"",COUNTIF(AV25,"*【*")),"園児",""))</f>
        <v/>
      </c>
      <c r="AW27" s="210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09" t="str">
        <f ca="1">IF(BB26&lt;&gt;"","先生",
IF(OR(BC25&lt;&gt;"",COUNTIF(BC25,"*【*")),"園児",""))</f>
        <v/>
      </c>
      <c r="BD27" s="210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09" t="str">
        <f ca="1">IF(BJ26&lt;&gt;"","先生",
IF(OR(BK25&lt;&gt;"",COUNTIF(BK25,"*【*")),"園児",""))</f>
        <v/>
      </c>
      <c r="BL27" s="210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09" t="str">
        <f ca="1">IF(BQ26&lt;&gt;"","先生",
IF(OR(BR25&lt;&gt;"",COUNTIF(BR25,"*【*")),"園児",""))</f>
        <v/>
      </c>
      <c r="BS27" s="210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09" t="str">
        <f ca="1">IF(BY26&lt;&gt;"","先生",
IF(OR(BZ25&lt;&gt;"",COUNTIF(BZ25,"*【*")),"園児",""))</f>
        <v/>
      </c>
      <c r="CA27" s="210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09" t="str">
        <f ca="1">IF(CF26&lt;&gt;"","先生",
IF(OR(CG25&lt;&gt;"",COUNTIF(CG25,"*【*")),"園児",""))</f>
        <v/>
      </c>
      <c r="CH27" s="210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09" t="str">
        <f ca="1">IF(CN26&lt;&gt;"","先生",
IF(OR(CO25&lt;&gt;"",COUNTIF(CO25,"*【*")),"園児",""))</f>
        <v/>
      </c>
      <c r="CP27" s="210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09" t="str">
        <f ca="1">IF(CU26&lt;&gt;"","先生",
IF(OR(CV25&lt;&gt;"",COUNTIF(CV25,"*【*")),"園児",""))</f>
        <v/>
      </c>
      <c r="CW27" s="210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09" t="str">
        <f ca="1">IF(DC26&lt;&gt;"","先生",
IF(OR(DD25&lt;&gt;"",COUNTIF(DD25,"*【*")),"園児",""))</f>
        <v/>
      </c>
      <c r="DE27" s="210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09" t="str">
        <f ca="1">IF(DJ26&lt;&gt;"","先生",
IF(OR(DK25&lt;&gt;"",COUNTIF(DK25,"*【*")),"園児",""))</f>
        <v/>
      </c>
      <c r="DL27" s="210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09" t="str">
        <f ca="1">IF(DR26&lt;&gt;"","先生",
IF(OR(DS25&lt;&gt;"",COUNTIF(DS25,"*【*")),"園児",""))</f>
        <v/>
      </c>
      <c r="DT27" s="210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09" t="str">
        <f ca="1">IF(DY26&lt;&gt;"","先生",
IF(OR(DZ25&lt;&gt;"",COUNTIF(DZ25,"*【*")),"園児",""))</f>
        <v/>
      </c>
      <c r="EA27" s="210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09" t="str">
        <f ca="1">IF(EG26&lt;&gt;"","先生",
IF(OR(EH25&lt;&gt;"",COUNTIF(EH25,"*【*")),"園児",""))</f>
        <v/>
      </c>
      <c r="EI27" s="210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09" t="str">
        <f ca="1">IF(EN26&lt;&gt;"","先生",
IF(OR(EO25&lt;&gt;"",COUNTIF(EO25,"*【*")),"園児",""))</f>
        <v/>
      </c>
      <c r="EP27" s="210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 x14ac:dyDescent="1.05">
      <c r="B28" s="25"/>
      <c r="C28" s="207" t="str">
        <f ca="1">IF(C25&lt;&gt;"",OFFSET(変更先抽出【15時】!$A$1,A25-1,32),"")</f>
        <v/>
      </c>
      <c r="D28" s="208"/>
      <c r="E28" s="44"/>
      <c r="F28" s="203" t="str">
        <f ca="1">IF(B26&lt;&gt;"","",
IF(C25&lt;&gt;"",OFFSET(変更先抽出【15時】!$A$1,A25-1,33),""))</f>
        <v/>
      </c>
      <c r="G28" s="204"/>
      <c r="H28" s="26"/>
      <c r="I28" s="25"/>
      <c r="J28" s="207" t="str">
        <f ca="1">IF(J25&lt;&gt;"",OFFSET(変更先抽出【15時】!$A$1,H25-1,32),"")</f>
        <v/>
      </c>
      <c r="K28" s="208"/>
      <c r="L28" s="44"/>
      <c r="M28" s="203" t="str">
        <f ca="1">IF(I26&lt;&gt;"","",
IF(J25&lt;&gt;"",OFFSET(変更先抽出【15時】!$A$1,H25-1,33),""))</f>
        <v/>
      </c>
      <c r="N28" s="204"/>
      <c r="Q28" s="25"/>
      <c r="R28" s="207" t="str">
        <f ca="1">IF(R25&lt;&gt;"",OFFSET(変更先抽出【15時】!$A$1,P25-1,32),"")</f>
        <v/>
      </c>
      <c r="S28" s="208"/>
      <c r="T28" s="44"/>
      <c r="U28" s="203" t="str">
        <f ca="1">IF(Q26&lt;&gt;"","",
IF(R25&lt;&gt;"",OFFSET(変更先抽出【15時】!$A$1,P25-1,33),""))</f>
        <v/>
      </c>
      <c r="V28" s="204"/>
      <c r="W28" s="26"/>
      <c r="X28" s="25"/>
      <c r="Y28" s="207" t="str">
        <f ca="1">IF(Y25&lt;&gt;"",OFFSET(変更先抽出【15時】!$A$1,W25-1,32),"")</f>
        <v/>
      </c>
      <c r="Z28" s="208"/>
      <c r="AA28" s="44"/>
      <c r="AB28" s="203" t="str">
        <f ca="1">IF(X26&lt;&gt;"","",
IF(Y25&lt;&gt;"",OFFSET(変更先抽出【15時】!$A$1,W25-1,33),""))</f>
        <v/>
      </c>
      <c r="AC28" s="204"/>
      <c r="AF28" s="25"/>
      <c r="AG28" s="207" t="str">
        <f ca="1">IF(AG25&lt;&gt;"",OFFSET(変更先抽出【15時】!$A$1,AE25-1,32),"")</f>
        <v/>
      </c>
      <c r="AH28" s="208"/>
      <c r="AI28" s="44"/>
      <c r="AJ28" s="203" t="str">
        <f ca="1">IF(AF26&lt;&gt;"","",
IF(AG25&lt;&gt;"",OFFSET(変更先抽出【15時】!$A$1,AE25-1,33),""))</f>
        <v/>
      </c>
      <c r="AK28" s="204"/>
      <c r="AL28" s="26"/>
      <c r="AM28" s="25"/>
      <c r="AN28" s="207" t="str">
        <f ca="1">IF(AN25&lt;&gt;"",OFFSET(変更先抽出【15時】!$A$1,AL25-1,32),"")</f>
        <v/>
      </c>
      <c r="AO28" s="208"/>
      <c r="AP28" s="44"/>
      <c r="AQ28" s="203" t="str">
        <f ca="1">IF(AM26&lt;&gt;"","",
IF(AN25&lt;&gt;"",OFFSET(変更先抽出【15時】!$A$1,AL25-1,33),""))</f>
        <v/>
      </c>
      <c r="AR28" s="204"/>
      <c r="AU28" s="25"/>
      <c r="AV28" s="207" t="str">
        <f ca="1">IF(AV25&lt;&gt;"",OFFSET(変更先抽出【15時】!$A$1,AT25-1,32),"")</f>
        <v/>
      </c>
      <c r="AW28" s="208"/>
      <c r="AX28" s="44"/>
      <c r="AY28" s="203" t="str">
        <f ca="1">IF(AU26&lt;&gt;"","",
IF(AV25&lt;&gt;"",OFFSET(変更先抽出【15時】!$A$1,AT25-1,33),""))</f>
        <v/>
      </c>
      <c r="AZ28" s="204"/>
      <c r="BA28" s="26"/>
      <c r="BB28" s="25"/>
      <c r="BC28" s="207" t="str">
        <f ca="1">IF(BC25&lt;&gt;"",OFFSET(変更先抽出【15時】!$A$1,BA25-1,32),"")</f>
        <v/>
      </c>
      <c r="BD28" s="208"/>
      <c r="BE28" s="44"/>
      <c r="BF28" s="203" t="str">
        <f ca="1">IF(BB26&lt;&gt;"","",
IF(BC25&lt;&gt;"",OFFSET(変更先抽出【15時】!$A$1,BA25-1,33),""))</f>
        <v/>
      </c>
      <c r="BG28" s="204"/>
      <c r="BJ28" s="25"/>
      <c r="BK28" s="207" t="str">
        <f ca="1">IF(BK25&lt;&gt;"",OFFSET(変更先抽出【15時】!$A$1,BI25-1,32),"")</f>
        <v/>
      </c>
      <c r="BL28" s="208"/>
      <c r="BM28" s="44"/>
      <c r="BN28" s="203" t="str">
        <f ca="1">IF(BJ26&lt;&gt;"","",
IF(BK25&lt;&gt;"",OFFSET(変更先抽出【15時】!$A$1,BI25-1,33),""))</f>
        <v/>
      </c>
      <c r="BO28" s="204"/>
      <c r="BP28" s="26"/>
      <c r="BQ28" s="25"/>
      <c r="BR28" s="207" t="str">
        <f ca="1">IF(BR25&lt;&gt;"",OFFSET(変更先抽出【15時】!$A$1,BP25-1,32),"")</f>
        <v/>
      </c>
      <c r="BS28" s="208"/>
      <c r="BT28" s="44"/>
      <c r="BU28" s="203" t="str">
        <f ca="1">IF(BQ26&lt;&gt;"","",
IF(BR25&lt;&gt;"",OFFSET(変更先抽出【15時】!$A$1,BP25-1,33),""))</f>
        <v/>
      </c>
      <c r="BV28" s="204"/>
      <c r="BY28" s="25"/>
      <c r="BZ28" s="207" t="str">
        <f ca="1">IF(BZ25&lt;&gt;"",OFFSET(変更先抽出【15時】!$A$1,BX25-1,32),"")</f>
        <v/>
      </c>
      <c r="CA28" s="208"/>
      <c r="CB28" s="44"/>
      <c r="CC28" s="203" t="str">
        <f ca="1">IF(BY26&lt;&gt;"","",
IF(BZ25&lt;&gt;"",OFFSET(変更先抽出【15時】!$A$1,BX25-1,33),""))</f>
        <v/>
      </c>
      <c r="CD28" s="204"/>
      <c r="CE28" s="26"/>
      <c r="CF28" s="25"/>
      <c r="CG28" s="207" t="str">
        <f ca="1">IF(CG25&lt;&gt;"",OFFSET(変更先抽出【15時】!$A$1,CE25-1,32),"")</f>
        <v/>
      </c>
      <c r="CH28" s="208"/>
      <c r="CI28" s="44"/>
      <c r="CJ28" s="203" t="str">
        <f ca="1">IF(CF26&lt;&gt;"","",
IF(CG25&lt;&gt;"",OFFSET(変更先抽出【15時】!$A$1,CE25-1,33),""))</f>
        <v/>
      </c>
      <c r="CK28" s="204"/>
      <c r="CN28" s="25"/>
      <c r="CO28" s="207" t="str">
        <f ca="1">IF(CO25&lt;&gt;"",OFFSET(変更先抽出【15時】!$A$1,CM25-1,32),"")</f>
        <v/>
      </c>
      <c r="CP28" s="208"/>
      <c r="CQ28" s="44"/>
      <c r="CR28" s="203" t="str">
        <f ca="1">IF(CN26&lt;&gt;"","",
IF(CO25&lt;&gt;"",OFFSET(変更先抽出【15時】!$A$1,CM25-1,33),""))</f>
        <v/>
      </c>
      <c r="CS28" s="204"/>
      <c r="CT28" s="26"/>
      <c r="CU28" s="25"/>
      <c r="CV28" s="207" t="str">
        <f ca="1">IF(CV25&lt;&gt;"",OFFSET(変更先抽出【15時】!$A$1,CT25-1,32),"")</f>
        <v/>
      </c>
      <c r="CW28" s="208"/>
      <c r="CX28" s="44"/>
      <c r="CY28" s="203" t="str">
        <f ca="1">IF(CU26&lt;&gt;"","",
IF(CV25&lt;&gt;"",OFFSET(変更先抽出【15時】!$A$1,CT25-1,33),""))</f>
        <v/>
      </c>
      <c r="CZ28" s="204"/>
      <c r="DC28" s="25"/>
      <c r="DD28" s="207" t="str">
        <f ca="1">IF(DD25&lt;&gt;"",OFFSET(変更先抽出【15時】!$A$1,DB25-1,32),"")</f>
        <v/>
      </c>
      <c r="DE28" s="208"/>
      <c r="DF28" s="44"/>
      <c r="DG28" s="203" t="str">
        <f ca="1">IF(DC26&lt;&gt;"","",
IF(DD25&lt;&gt;"",OFFSET(変更先抽出【15時】!$A$1,DB25-1,33),""))</f>
        <v/>
      </c>
      <c r="DH28" s="204"/>
      <c r="DI28" s="26"/>
      <c r="DJ28" s="25"/>
      <c r="DK28" s="207" t="str">
        <f ca="1">IF(DK25&lt;&gt;"",OFFSET(変更先抽出【15時】!$A$1,DI25-1,32),"")</f>
        <v/>
      </c>
      <c r="DL28" s="208"/>
      <c r="DM28" s="44"/>
      <c r="DN28" s="203" t="str">
        <f ca="1">IF(DJ26&lt;&gt;"","",
IF(DK25&lt;&gt;"",OFFSET(変更先抽出【15時】!$A$1,DI25-1,33),""))</f>
        <v/>
      </c>
      <c r="DO28" s="204"/>
      <c r="DR28" s="25"/>
      <c r="DS28" s="207" t="str">
        <f ca="1">IF(DS25&lt;&gt;"",OFFSET(変更先抽出【15時】!$A$1,DQ25-1,32),"")</f>
        <v/>
      </c>
      <c r="DT28" s="208"/>
      <c r="DU28" s="44"/>
      <c r="DV28" s="203" t="str">
        <f ca="1">IF(DR26&lt;&gt;"","",
IF(DS25&lt;&gt;"",OFFSET(変更先抽出【15時】!$A$1,DQ25-1,33),""))</f>
        <v/>
      </c>
      <c r="DW28" s="204"/>
      <c r="DX28" s="26"/>
      <c r="DY28" s="25"/>
      <c r="DZ28" s="207" t="str">
        <f ca="1">IF(DZ25&lt;&gt;"",OFFSET(変更先抽出【15時】!$A$1,DX25-1,32),"")</f>
        <v/>
      </c>
      <c r="EA28" s="208"/>
      <c r="EB28" s="44"/>
      <c r="EC28" s="203" t="str">
        <f ca="1">IF(DY26&lt;&gt;"","",
IF(DZ25&lt;&gt;"",OFFSET(変更先抽出【15時】!$A$1,DX25-1,33),""))</f>
        <v/>
      </c>
      <c r="ED28" s="204"/>
      <c r="EG28" s="25"/>
      <c r="EH28" s="207" t="str">
        <f ca="1">IF(EH25&lt;&gt;"",OFFSET(変更先抽出【15時】!$A$1,EF25-1,32),"")</f>
        <v/>
      </c>
      <c r="EI28" s="208"/>
      <c r="EJ28" s="44"/>
      <c r="EK28" s="203" t="str">
        <f ca="1">IF(EG26&lt;&gt;"","",
IF(EH25&lt;&gt;"",OFFSET(変更先抽出【15時】!$A$1,EF25-1,33),""))</f>
        <v/>
      </c>
      <c r="EL28" s="204"/>
      <c r="EM28" s="26"/>
      <c r="EN28" s="25"/>
      <c r="EO28" s="207" t="str">
        <f ca="1">IF(EO25&lt;&gt;"",OFFSET(変更先抽出【15時】!$A$1,EM25-1,32),"")</f>
        <v/>
      </c>
      <c r="EP28" s="208"/>
      <c r="EQ28" s="44"/>
      <c r="ER28" s="203" t="str">
        <f ca="1">IF(EN26&lt;&gt;"","",
IF(EO25&lt;&gt;"",OFFSET(変更先抽出【15時】!$A$1,EM25-1,33),""))</f>
        <v/>
      </c>
      <c r="ES28" s="204"/>
    </row>
    <row r="29" spans="1:150" ht="15.6" customHeight="1" x14ac:dyDescent="0.45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 x14ac:dyDescent="0.55000000000000004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 x14ac:dyDescent="0.45">
      <c r="B31" s="213" t="str">
        <f ca="1">IF(C25&lt;&gt;"",IFERROR(INT(C28/C30),""),"")</f>
        <v/>
      </c>
      <c r="C31" s="206"/>
      <c r="D31" s="213" t="str">
        <f ca="1">IF(C25&lt;&gt;"",IFERROR(MOD(C28,C30),""),"")</f>
        <v/>
      </c>
      <c r="E31" s="206"/>
      <c r="F31" s="214" t="str">
        <f ca="1">IF(AND(C25&lt;&gt;"",C27&lt;&gt;"先生"),
IF(COUNTIF(C25,"*【*"),"",OFFSET(変更先抽出【15時】!$A$1,A25-1,34)),"")</f>
        <v/>
      </c>
      <c r="G31" s="206"/>
      <c r="I31" s="213" t="str">
        <f ca="1">IF(J25&lt;&gt;"",IFERROR(INT(J28/J30),""),"")</f>
        <v/>
      </c>
      <c r="J31" s="206"/>
      <c r="K31" s="213" t="str">
        <f ca="1">IF(J25&lt;&gt;"",IFERROR(MOD(J28,J30),""),"")</f>
        <v/>
      </c>
      <c r="L31" s="206"/>
      <c r="M31" s="214" t="str">
        <f ca="1">IF(AND(J25&lt;&gt;"",J27&lt;&gt;"先生"),
IF(COUNTIF(J25,"*【*"),"",OFFSET(変更先抽出【15時】!$A$1,H25-1,34)),"")</f>
        <v/>
      </c>
      <c r="N31" s="206"/>
      <c r="Q31" s="213" t="str">
        <f ca="1">IF(R25&lt;&gt;"",IFERROR(INT(R28/R30),""),"")</f>
        <v/>
      </c>
      <c r="R31" s="206"/>
      <c r="S31" s="213" t="str">
        <f ca="1">IF(R25&lt;&gt;"",IFERROR(MOD(R28,R30),""),"")</f>
        <v/>
      </c>
      <c r="T31" s="206"/>
      <c r="U31" s="214" t="str">
        <f ca="1">IF(AND(R25&lt;&gt;"",R27&lt;&gt;"先生"),
IF(COUNTIF(R25,"*【*"),"",OFFSET(変更先抽出【15時】!$A$1,P25-1,34)),"")</f>
        <v/>
      </c>
      <c r="V31" s="206"/>
      <c r="X31" s="213" t="str">
        <f ca="1">IF(Y25&lt;&gt;"",IFERROR(INT(Y28/Y30),""),"")</f>
        <v/>
      </c>
      <c r="Y31" s="206"/>
      <c r="Z31" s="213" t="str">
        <f ca="1">IF(Y25&lt;&gt;"",IFERROR(MOD(Y28,Y30),""),"")</f>
        <v/>
      </c>
      <c r="AA31" s="206"/>
      <c r="AB31" s="214" t="str">
        <f ca="1">IF(AND(Y25&lt;&gt;"",Y27&lt;&gt;"先生"),
IF(COUNTIF(Y25,"*【*"),"",OFFSET(変更先抽出【15時】!$A$1,W25-1,34)),"")</f>
        <v/>
      </c>
      <c r="AC31" s="206"/>
      <c r="AF31" s="213" t="str">
        <f ca="1">IF(AG25&lt;&gt;"",IFERROR(INT(AG28/AG30),""),"")</f>
        <v/>
      </c>
      <c r="AG31" s="206"/>
      <c r="AH31" s="213" t="str">
        <f ca="1">IF(AG25&lt;&gt;"",IFERROR(MOD(AG28,AG30),""),"")</f>
        <v/>
      </c>
      <c r="AI31" s="206"/>
      <c r="AJ31" s="214" t="str">
        <f ca="1">IF(AG25&lt;&gt;"",OFFSET(変更先抽出【15時】!$A$1,AE25-1,34),"")</f>
        <v/>
      </c>
      <c r="AK31" s="206"/>
      <c r="AM31" s="213" t="str">
        <f ca="1">IF(AN25&lt;&gt;"",IFERROR(INT(AN28/AN30),""),"")</f>
        <v/>
      </c>
      <c r="AN31" s="206"/>
      <c r="AO31" s="213" t="str">
        <f ca="1">IF(AN25&lt;&gt;"",IFERROR(MOD(AN28,AN30),""),"")</f>
        <v/>
      </c>
      <c r="AP31" s="206"/>
      <c r="AQ31" s="214" t="str">
        <f ca="1">IF(AN25&lt;&gt;"",OFFSET(変更先抽出【15時】!$A$1,AL25-1,34),"")</f>
        <v/>
      </c>
      <c r="AR31" s="206"/>
      <c r="AU31" s="213" t="str">
        <f ca="1">IF(AV25&lt;&gt;"",IFERROR(INT(AV28/AV30),""),"")</f>
        <v/>
      </c>
      <c r="AV31" s="206"/>
      <c r="AW31" s="213" t="str">
        <f ca="1">IF(AV25&lt;&gt;"",IFERROR(MOD(AV28,AV30),""),"")</f>
        <v/>
      </c>
      <c r="AX31" s="206"/>
      <c r="AY31" s="214" t="str">
        <f ca="1">IF(AV25&lt;&gt;"",OFFSET(変更先抽出【15時】!$A$1,AT25-1,34),"")</f>
        <v/>
      </c>
      <c r="AZ31" s="206"/>
      <c r="BB31" s="213" t="str">
        <f ca="1">IF(BC25&lt;&gt;"",IFERROR(INT(BC28/BC30),""),"")</f>
        <v/>
      </c>
      <c r="BC31" s="206"/>
      <c r="BD31" s="213" t="str">
        <f ca="1">IF(BC25&lt;&gt;"",IFERROR(MOD(BC28,BC30),""),"")</f>
        <v/>
      </c>
      <c r="BE31" s="206"/>
      <c r="BF31" s="214" t="str">
        <f ca="1">IF(BC25&lt;&gt;"",OFFSET(変更先抽出【15時】!$A$1,BA25-1,34),"")</f>
        <v/>
      </c>
      <c r="BG31" s="206"/>
      <c r="BJ31" s="213" t="str">
        <f ca="1">IF(BK25&lt;&gt;"",IFERROR(INT(BK28/BK30),""),"")</f>
        <v/>
      </c>
      <c r="BK31" s="206"/>
      <c r="BL31" s="213" t="str">
        <f ca="1">IF(BK25&lt;&gt;"",IFERROR(MOD(BK28,BK30),""),"")</f>
        <v/>
      </c>
      <c r="BM31" s="206"/>
      <c r="BN31" s="214" t="str">
        <f ca="1">IF(BK25&lt;&gt;"",OFFSET(変更先抽出【15時】!$A$1,BI25-1,34),"")</f>
        <v/>
      </c>
      <c r="BO31" s="206"/>
      <c r="BQ31" s="213" t="str">
        <f ca="1">IF(BR25&lt;&gt;"",IFERROR(INT(BR28/BR30),""),"")</f>
        <v/>
      </c>
      <c r="BR31" s="206"/>
      <c r="BS31" s="213" t="str">
        <f ca="1">IF(BR25&lt;&gt;"",IFERROR(MOD(BR28,BR30),""),"")</f>
        <v/>
      </c>
      <c r="BT31" s="206"/>
      <c r="BU31" s="214" t="str">
        <f ca="1">IF(BR25&lt;&gt;"",OFFSET(変更先抽出【15時】!$A$1,BP25-1,34),"")</f>
        <v/>
      </c>
      <c r="BV31" s="206"/>
      <c r="BY31" s="213" t="str">
        <f ca="1">IF(BZ25&lt;&gt;"",IFERROR(INT(BZ28/BZ30),""),"")</f>
        <v/>
      </c>
      <c r="BZ31" s="206"/>
      <c r="CA31" s="213" t="str">
        <f ca="1">IF(BZ25&lt;&gt;"",IFERROR(MOD(BZ28,BZ30),""),"")</f>
        <v/>
      </c>
      <c r="CB31" s="206"/>
      <c r="CC31" s="214" t="str">
        <f ca="1">IF(BZ25&lt;&gt;"",OFFSET(変更先抽出【15時】!$A$1,BX25-1,34),"")</f>
        <v/>
      </c>
      <c r="CD31" s="206"/>
      <c r="CF31" s="213" t="str">
        <f ca="1">IF(CG25&lt;&gt;"",IFERROR(INT(CG28/CG30),""),"")</f>
        <v/>
      </c>
      <c r="CG31" s="206"/>
      <c r="CH31" s="213" t="str">
        <f ca="1">IF(CG25&lt;&gt;"",IFERROR(MOD(CG28,CG30),""),"")</f>
        <v/>
      </c>
      <c r="CI31" s="206"/>
      <c r="CJ31" s="214" t="str">
        <f ca="1">IF(CG25&lt;&gt;"",OFFSET(変更先抽出【15時】!$A$1,CE25-1,34),"")</f>
        <v/>
      </c>
      <c r="CK31" s="206"/>
      <c r="CN31" s="213" t="str">
        <f ca="1">IF(CO25&lt;&gt;"",IFERROR(INT(CO28/CO30),""),"")</f>
        <v/>
      </c>
      <c r="CO31" s="206"/>
      <c r="CP31" s="213" t="str">
        <f ca="1">IF(CO25&lt;&gt;"",IFERROR(MOD(CO28,CO30),""),"")</f>
        <v/>
      </c>
      <c r="CQ31" s="206"/>
      <c r="CR31" s="214" t="str">
        <f ca="1">IF(CO25&lt;&gt;"",OFFSET(変更先抽出【15時】!$A$1,CM25-1,34),"")</f>
        <v/>
      </c>
      <c r="CS31" s="206"/>
      <c r="CU31" s="213" t="str">
        <f ca="1">IF(CV25&lt;&gt;"",IFERROR(INT(CV28/CV30),""),"")</f>
        <v/>
      </c>
      <c r="CV31" s="206"/>
      <c r="CW31" s="213" t="str">
        <f ca="1">IF(CV25&lt;&gt;"",IFERROR(MOD(CV28,CV30),""),"")</f>
        <v/>
      </c>
      <c r="CX31" s="206"/>
      <c r="CY31" s="214" t="str">
        <f ca="1">IF(CV25&lt;&gt;"",OFFSET(変更先抽出【15時】!$A$1,CT25-1,34),"")</f>
        <v/>
      </c>
      <c r="CZ31" s="206"/>
      <c r="DC31" s="213" t="str">
        <f ca="1">IF(DD25&lt;&gt;"",IFERROR(INT(DD28/DD30),""),"")</f>
        <v/>
      </c>
      <c r="DD31" s="206"/>
      <c r="DE31" s="213" t="str">
        <f ca="1">IF(DD25&lt;&gt;"",IFERROR(MOD(DD28,DD30),""),"")</f>
        <v/>
      </c>
      <c r="DF31" s="206"/>
      <c r="DG31" s="214" t="str">
        <f ca="1">IF(DD25&lt;&gt;"",OFFSET(変更先抽出【15時】!$A$1,DB25-1,34),"")</f>
        <v/>
      </c>
      <c r="DH31" s="206"/>
      <c r="DJ31" s="213" t="str">
        <f ca="1">IF(DK25&lt;&gt;"",IFERROR(INT(DK28/DK30),""),"")</f>
        <v/>
      </c>
      <c r="DK31" s="206"/>
      <c r="DL31" s="213" t="str">
        <f ca="1">IF(DK25&lt;&gt;"",IFERROR(MOD(DK28,DK30),""),"")</f>
        <v/>
      </c>
      <c r="DM31" s="206"/>
      <c r="DN31" s="214" t="str">
        <f ca="1">IF(DK25&lt;&gt;"",OFFSET(変更先抽出【15時】!$A$1,DI25-1,34),"")</f>
        <v/>
      </c>
      <c r="DO31" s="206"/>
      <c r="DR31" s="213" t="str">
        <f ca="1">IF(DS25&lt;&gt;"",IFERROR(INT(DS28/DS30),""),"")</f>
        <v/>
      </c>
      <c r="DS31" s="206"/>
      <c r="DT31" s="213" t="str">
        <f ca="1">IF(DS25&lt;&gt;"",IFERROR(MOD(DS28,DS30),""),"")</f>
        <v/>
      </c>
      <c r="DU31" s="206"/>
      <c r="DV31" s="214" t="str">
        <f ca="1">IF(DS25&lt;&gt;"",OFFSET(変更先抽出【15時】!$A$1,DQ25-1,34),"")</f>
        <v/>
      </c>
      <c r="DW31" s="206"/>
      <c r="DY31" s="213" t="str">
        <f ca="1">IF(DZ25&lt;&gt;"",IFERROR(INT(DZ28/DZ30),""),"")</f>
        <v/>
      </c>
      <c r="DZ31" s="206"/>
      <c r="EA31" s="213" t="str">
        <f ca="1">IF(DZ25&lt;&gt;"",IFERROR(MOD(DZ28,DZ30),""),"")</f>
        <v/>
      </c>
      <c r="EB31" s="206"/>
      <c r="EC31" s="214" t="str">
        <f ca="1">IF(DZ25&lt;&gt;"",OFFSET(変更先抽出【15時】!$A$1,DX25-1,34),"")</f>
        <v/>
      </c>
      <c r="ED31" s="206"/>
      <c r="EG31" s="213" t="str">
        <f ca="1">IF(EH25&lt;&gt;"",IFERROR(INT(EH28/EH30),""),"")</f>
        <v/>
      </c>
      <c r="EH31" s="206"/>
      <c r="EI31" s="213" t="str">
        <f ca="1">IF(EH25&lt;&gt;"",IFERROR(MOD(EH28,EH30),""),"")</f>
        <v/>
      </c>
      <c r="EJ31" s="206"/>
      <c r="EK31" s="214" t="str">
        <f ca="1">IF(EH25&lt;&gt;"",OFFSET(変更先抽出【15時】!$A$1,EF25-1,34),"")</f>
        <v/>
      </c>
      <c r="EL31" s="206"/>
      <c r="EN31" s="213" t="str">
        <f ca="1">IF(EO25&lt;&gt;"",IFERROR(INT(EO28/EO30),""),"")</f>
        <v/>
      </c>
      <c r="EO31" s="206"/>
      <c r="EP31" s="213" t="str">
        <f ca="1">IF(EO25&lt;&gt;"",IFERROR(MOD(EO28,EO30),""),"")</f>
        <v/>
      </c>
      <c r="EQ31" s="206"/>
      <c r="ER31" s="214" t="str">
        <f ca="1">IF(EO25&lt;&gt;"",OFFSET(変更先抽出【15時】!$A$1,EM25-1,34),"")</f>
        <v/>
      </c>
      <c r="ES31" s="206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 x14ac:dyDescent="0.55000000000000004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ca="1">IF(OFFSET(変更先抽出【15時】!$A$1,A33-1,29)&lt;&gt;"",OFFSET(変更先抽出【15時】!$A$1,A33-1,30),"")</f>
        <v/>
      </c>
      <c r="D33" s="212"/>
      <c r="E33" s="212"/>
      <c r="F33" s="212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ca="1">IF(OFFSET(変更先抽出【15時】!$A$1,H33-1,29)&lt;&gt;"",OFFSET(変更先抽出【15時】!$A$1,H33-1,30),"")</f>
        <v/>
      </c>
      <c r="K33" s="212"/>
      <c r="L33" s="212"/>
      <c r="M33" s="212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ca="1">IF(OFFSET(変更先抽出【15時】!$A$1,P33-1,29)&lt;&gt;"",OFFSET(変更先抽出【15時】!$A$1,P33-1,30),"")</f>
        <v/>
      </c>
      <c r="S33" s="212"/>
      <c r="T33" s="212"/>
      <c r="U33" s="212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ca="1">IF(OFFSET(変更先抽出【15時】!$A$1,W33-1,29)&lt;&gt;"",OFFSET(変更先抽出【15時】!$A$1,W33-1,30),"")</f>
        <v/>
      </c>
      <c r="Z33" s="212"/>
      <c r="AA33" s="212"/>
      <c r="AB33" s="212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ca="1">IF(OFFSET(変更先抽出【15時】!$A$1,AE33-1,29)&lt;&gt;"",OFFSET(変更先抽出【15時】!$A$1,AE33-1,30),"")</f>
        <v/>
      </c>
      <c r="AH33" s="212"/>
      <c r="AI33" s="212"/>
      <c r="AJ33" s="212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ca="1">IF(OFFSET(変更先抽出【15時】!$A$1,AL33-1,29)&lt;&gt;"",OFFSET(変更先抽出【15時】!$A$1,AL33-1,30),"")</f>
        <v/>
      </c>
      <c r="AO33" s="212"/>
      <c r="AP33" s="212"/>
      <c r="AQ33" s="212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ca="1">IF(OFFSET(変更先抽出【15時】!$A$1,AT33-1,29)&lt;&gt;"",OFFSET(変更先抽出【15時】!$A$1,AT33-1,30),"")</f>
        <v/>
      </c>
      <c r="AW33" s="212"/>
      <c r="AX33" s="212"/>
      <c r="AY33" s="212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ca="1">IF(OFFSET(変更先抽出【15時】!$A$1,BA33-1,29)&lt;&gt;"",OFFSET(変更先抽出【15時】!$A$1,BA33-1,30),"")</f>
        <v/>
      </c>
      <c r="BD33" s="212"/>
      <c r="BE33" s="212"/>
      <c r="BF33" s="212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ca="1">IF(OFFSET(変更先抽出【15時】!$A$1,BI33-1,29)&lt;&gt;"",OFFSET(変更先抽出【15時】!$A$1,BI33-1,30),"")</f>
        <v/>
      </c>
      <c r="BL33" s="212"/>
      <c r="BM33" s="212"/>
      <c r="BN33" s="212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ca="1">IF(OFFSET(変更先抽出【15時】!$A$1,BP33-1,29)&lt;&gt;"",OFFSET(変更先抽出【15時】!$A$1,BP33-1,30),"")</f>
        <v/>
      </c>
      <c r="BS33" s="212"/>
      <c r="BT33" s="212"/>
      <c r="BU33" s="212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ca="1">IF(OFFSET(変更先抽出【15時】!$A$1,BX33-1,29)&lt;&gt;"",OFFSET(変更先抽出【15時】!$A$1,BX33-1,30),"")</f>
        <v/>
      </c>
      <c r="CA33" s="212"/>
      <c r="CB33" s="212"/>
      <c r="CC33" s="212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ca="1">IF(OFFSET(変更先抽出【15時】!$A$1,CE33-1,29)&lt;&gt;"",OFFSET(変更先抽出【15時】!$A$1,CE33-1,30),"")</f>
        <v/>
      </c>
      <c r="CH33" s="212"/>
      <c r="CI33" s="212"/>
      <c r="CJ33" s="212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ca="1">IF(OFFSET(変更先抽出【15時】!$A$1,CM33-1,29)&lt;&gt;"",OFFSET(変更先抽出【15時】!$A$1,CM33-1,30),"")</f>
        <v/>
      </c>
      <c r="CP33" s="212"/>
      <c r="CQ33" s="212"/>
      <c r="CR33" s="212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ca="1">IF(OFFSET(変更先抽出【15時】!$A$1,CT33-1,29)&lt;&gt;"",OFFSET(変更先抽出【15時】!$A$1,CT33-1,30),"")</f>
        <v/>
      </c>
      <c r="CW33" s="212"/>
      <c r="CX33" s="212"/>
      <c r="CY33" s="212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ca="1">IF(OFFSET(変更先抽出【15時】!$A$1,DB33-1,29)&lt;&gt;"",OFFSET(変更先抽出【15時】!$A$1,DB33-1,30),"")</f>
        <v/>
      </c>
      <c r="DE33" s="212"/>
      <c r="DF33" s="212"/>
      <c r="DG33" s="212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ca="1">IF(OFFSET(変更先抽出【15時】!$A$1,DI33-1,29)&lt;&gt;"",OFFSET(変更先抽出【15時】!$A$1,DI33-1,30),"")</f>
        <v/>
      </c>
      <c r="DL33" s="212"/>
      <c r="DM33" s="212"/>
      <c r="DN33" s="212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ca="1">IF(OFFSET(変更先抽出【15時】!$A$1,DQ33-1,29)&lt;&gt;"",OFFSET(変更先抽出【15時】!$A$1,DQ33-1,30),"")</f>
        <v/>
      </c>
      <c r="DT33" s="212"/>
      <c r="DU33" s="212"/>
      <c r="DV33" s="212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ca="1">IF(OFFSET(変更先抽出【15時】!$A$1,DX33-1,29)&lt;&gt;"",OFFSET(変更先抽出【15時】!$A$1,DX33-1,30),"")</f>
        <v/>
      </c>
      <c r="EA33" s="212"/>
      <c r="EB33" s="212"/>
      <c r="EC33" s="212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ca="1">IF(OFFSET(変更先抽出【15時】!$A$1,EF33-1,29)&lt;&gt;"",OFFSET(変更先抽出【15時】!$A$1,EF33-1,30),"")</f>
        <v/>
      </c>
      <c r="EI33" s="212"/>
      <c r="EJ33" s="212"/>
      <c r="EK33" s="212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ca="1">IF(OFFSET(変更先抽出【15時】!$A$1,EM33-1,29)&lt;&gt;"",OFFSET(変更先抽出【15時】!$A$1,EM33-1,30),"")</f>
        <v/>
      </c>
      <c r="EP33" s="212"/>
      <c r="EQ33" s="212"/>
      <c r="ER33" s="212"/>
      <c r="ES33" s="39" t="str">
        <f ca="1">IF(EO33&lt;&gt;"","様","")</f>
        <v/>
      </c>
      <c r="ET33" s="22"/>
    </row>
    <row r="34" spans="1:150" s="148" customFormat="1" x14ac:dyDescent="0.55000000000000004">
      <c r="A34" s="30"/>
      <c r="B34" s="166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57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66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57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66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57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66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57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66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57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66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57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66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57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66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57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66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57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66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57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66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57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66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57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66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57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66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57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66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57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66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57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66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57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66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57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66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57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66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57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48" customFormat="1" x14ac:dyDescent="0.55000000000000004">
      <c r="A35" s="30"/>
      <c r="B35" s="31"/>
      <c r="C35" s="209" t="str">
        <f ca="1">IF(B34&lt;&gt;"","先生",
IF(OR(C33&lt;&gt;"",COUNTIF(C33,"*【*")),"園児",""))</f>
        <v/>
      </c>
      <c r="D35" s="210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09" t="str">
        <f ca="1">IF(I34&lt;&gt;"","先生",
IF(OR(J33&lt;&gt;"",COUNTIF(J33,"*【*")),"園児",""))</f>
        <v/>
      </c>
      <c r="K35" s="210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09" t="str">
        <f ca="1">IF(Q34&lt;&gt;"","先生",
IF(OR(R33&lt;&gt;"",COUNTIF(R33,"*【*")),"園児",""))</f>
        <v/>
      </c>
      <c r="S35" s="210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09" t="str">
        <f ca="1">IF(X34&lt;&gt;"","先生",
IF(OR(Y33&lt;&gt;"",COUNTIF(Y33,"*【*")),"園児",""))</f>
        <v/>
      </c>
      <c r="Z35" s="210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09" t="str">
        <f ca="1">IF(AF34&lt;&gt;"","先生",
IF(OR(AG33&lt;&gt;"",COUNTIF(AG33,"*【*")),"園児",""))</f>
        <v/>
      </c>
      <c r="AH35" s="210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09" t="str">
        <f ca="1">IF(AM34&lt;&gt;"","先生",
IF(OR(AN33&lt;&gt;"",COUNTIF(AN33,"*【*")),"園児",""))</f>
        <v/>
      </c>
      <c r="AO35" s="210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09" t="str">
        <f ca="1">IF(AU34&lt;&gt;"","先生",
IF(OR(AV33&lt;&gt;"",COUNTIF(AV33,"*【*")),"園児",""))</f>
        <v/>
      </c>
      <c r="AW35" s="210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09" t="str">
        <f ca="1">IF(BB34&lt;&gt;"","先生",
IF(OR(BC33&lt;&gt;"",COUNTIF(BC33,"*【*")),"園児",""))</f>
        <v/>
      </c>
      <c r="BD35" s="210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09" t="str">
        <f ca="1">IF(BJ34&lt;&gt;"","先生",
IF(OR(BK33&lt;&gt;"",COUNTIF(BK33,"*【*")),"園児",""))</f>
        <v/>
      </c>
      <c r="BL35" s="210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09" t="str">
        <f ca="1">IF(BQ34&lt;&gt;"","先生",
IF(OR(BR33&lt;&gt;"",COUNTIF(BR33,"*【*")),"園児",""))</f>
        <v/>
      </c>
      <c r="BS35" s="210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09" t="str">
        <f ca="1">IF(BY34&lt;&gt;"","先生",
IF(OR(BZ33&lt;&gt;"",COUNTIF(BZ33,"*【*")),"園児",""))</f>
        <v/>
      </c>
      <c r="CA35" s="210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09" t="str">
        <f ca="1">IF(CF34&lt;&gt;"","先生",
IF(OR(CG33&lt;&gt;"",COUNTIF(CG33,"*【*")),"園児",""))</f>
        <v/>
      </c>
      <c r="CH35" s="210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09" t="str">
        <f ca="1">IF(CN34&lt;&gt;"","先生",
IF(OR(CO33&lt;&gt;"",COUNTIF(CO33,"*【*")),"園児",""))</f>
        <v/>
      </c>
      <c r="CP35" s="210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09" t="str">
        <f ca="1">IF(CU34&lt;&gt;"","先生",
IF(OR(CV33&lt;&gt;"",COUNTIF(CV33,"*【*")),"園児",""))</f>
        <v/>
      </c>
      <c r="CW35" s="210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09" t="str">
        <f ca="1">IF(DC34&lt;&gt;"","先生",
IF(OR(DD33&lt;&gt;"",COUNTIF(DD33,"*【*")),"園児",""))</f>
        <v/>
      </c>
      <c r="DE35" s="210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09" t="str">
        <f ca="1">IF(DJ34&lt;&gt;"","先生",
IF(OR(DK33&lt;&gt;"",COUNTIF(DK33,"*【*")),"園児",""))</f>
        <v/>
      </c>
      <c r="DL35" s="210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09" t="str">
        <f ca="1">IF(DR34&lt;&gt;"","先生",
IF(OR(DS33&lt;&gt;"",COUNTIF(DS33,"*【*")),"園児",""))</f>
        <v/>
      </c>
      <c r="DT35" s="210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09" t="str">
        <f ca="1">IF(DY34&lt;&gt;"","先生",
IF(OR(DZ33&lt;&gt;"",COUNTIF(DZ33,"*【*")),"園児",""))</f>
        <v/>
      </c>
      <c r="EA35" s="210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09" t="str">
        <f ca="1">IF(EG34&lt;&gt;"","先生",
IF(OR(EH33&lt;&gt;"",COUNTIF(EH33,"*【*")),"園児",""))</f>
        <v/>
      </c>
      <c r="EI35" s="210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09" t="str">
        <f ca="1">IF(EN34&lt;&gt;"","先生",
IF(OR(EO33&lt;&gt;"",COUNTIF(EO33,"*【*")),"園児",""))</f>
        <v/>
      </c>
      <c r="EP35" s="210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 x14ac:dyDescent="1.05">
      <c r="B36" s="25"/>
      <c r="C36" s="207" t="str">
        <f ca="1">IF(C33&lt;&gt;"",OFFSET(変更先抽出【15時】!$A$1,A33-1,32),"")</f>
        <v/>
      </c>
      <c r="D36" s="208"/>
      <c r="E36" s="44"/>
      <c r="F36" s="203" t="str">
        <f ca="1">IF(B34&lt;&gt;"","",
IF(C33&lt;&gt;"",OFFSET(変更先抽出【15時】!$A$1,A33-1,33),""))</f>
        <v/>
      </c>
      <c r="G36" s="204"/>
      <c r="H36" s="26"/>
      <c r="I36" s="25"/>
      <c r="J36" s="207" t="str">
        <f ca="1">IF(J33&lt;&gt;"",OFFSET(変更先抽出【15時】!$A$1,H33-1,32),"")</f>
        <v/>
      </c>
      <c r="K36" s="208"/>
      <c r="L36" s="44"/>
      <c r="M36" s="203" t="str">
        <f ca="1">IF(I34&lt;&gt;"","",
IF(J33&lt;&gt;"",OFFSET(変更先抽出【15時】!$A$1,H33-1,33),""))</f>
        <v/>
      </c>
      <c r="N36" s="204"/>
      <c r="Q36" s="25"/>
      <c r="R36" s="207" t="str">
        <f ca="1">IF(R33&lt;&gt;"",OFFSET(変更先抽出【15時】!$A$1,P33-1,32),"")</f>
        <v/>
      </c>
      <c r="S36" s="208"/>
      <c r="T36" s="44"/>
      <c r="U36" s="203" t="str">
        <f ca="1">IF(Q34&lt;&gt;"","",
IF(R33&lt;&gt;"",OFFSET(変更先抽出【15時】!$A$1,P33-1,33),""))</f>
        <v/>
      </c>
      <c r="V36" s="204"/>
      <c r="W36" s="26"/>
      <c r="X36" s="25"/>
      <c r="Y36" s="207" t="str">
        <f ca="1">IF(Y33&lt;&gt;"",OFFSET(変更先抽出【15時】!$A$1,W33-1,32),"")</f>
        <v/>
      </c>
      <c r="Z36" s="208"/>
      <c r="AA36" s="44"/>
      <c r="AB36" s="203" t="str">
        <f ca="1">IF(X34&lt;&gt;"","",
IF(Y33&lt;&gt;"",OFFSET(変更先抽出【15時】!$A$1,W33-1,33),""))</f>
        <v/>
      </c>
      <c r="AC36" s="204"/>
      <c r="AF36" s="25"/>
      <c r="AG36" s="207" t="str">
        <f ca="1">IF(AG33&lt;&gt;"",OFFSET(変更先抽出【15時】!$A$1,AE33-1,32),"")</f>
        <v/>
      </c>
      <c r="AH36" s="208"/>
      <c r="AI36" s="44"/>
      <c r="AJ36" s="203" t="str">
        <f ca="1">IF(AF34&lt;&gt;"","",
IF(AG33&lt;&gt;"",OFFSET(変更先抽出【15時】!$A$1,AE33-1,33),""))</f>
        <v/>
      </c>
      <c r="AK36" s="204"/>
      <c r="AL36" s="26"/>
      <c r="AM36" s="25"/>
      <c r="AN36" s="207" t="str">
        <f ca="1">IF(AN33&lt;&gt;"",OFFSET(変更先抽出【15時】!$A$1,AL33-1,32),"")</f>
        <v/>
      </c>
      <c r="AO36" s="208"/>
      <c r="AP36" s="44"/>
      <c r="AQ36" s="203" t="str">
        <f ca="1">IF(AM34&lt;&gt;"","",
IF(AN33&lt;&gt;"",OFFSET(変更先抽出【15時】!$A$1,AL33-1,33),""))</f>
        <v/>
      </c>
      <c r="AR36" s="204"/>
      <c r="AU36" s="25"/>
      <c r="AV36" s="207" t="str">
        <f ca="1">IF(AV33&lt;&gt;"",OFFSET(変更先抽出【15時】!$A$1,AT33-1,32),"")</f>
        <v/>
      </c>
      <c r="AW36" s="208"/>
      <c r="AX36" s="44"/>
      <c r="AY36" s="203" t="str">
        <f ca="1">IF(AU34&lt;&gt;"","",
IF(AV33&lt;&gt;"",OFFSET(変更先抽出【15時】!$A$1,AT33-1,33),""))</f>
        <v/>
      </c>
      <c r="AZ36" s="204"/>
      <c r="BA36" s="26"/>
      <c r="BB36" s="25"/>
      <c r="BC36" s="207" t="str">
        <f ca="1">IF(BC33&lt;&gt;"",OFFSET(変更先抽出【15時】!$A$1,BA33-1,32),"")</f>
        <v/>
      </c>
      <c r="BD36" s="208"/>
      <c r="BE36" s="44"/>
      <c r="BF36" s="203" t="str">
        <f ca="1">IF(BB34&lt;&gt;"","",
IF(BC33&lt;&gt;"",OFFSET(変更先抽出【15時】!$A$1,BA33-1,33),""))</f>
        <v/>
      </c>
      <c r="BG36" s="204"/>
      <c r="BJ36" s="25"/>
      <c r="BK36" s="207" t="str">
        <f ca="1">IF(BK33&lt;&gt;"",OFFSET(変更先抽出【15時】!$A$1,BI33-1,32),"")</f>
        <v/>
      </c>
      <c r="BL36" s="208"/>
      <c r="BM36" s="44"/>
      <c r="BN36" s="203" t="str">
        <f ca="1">IF(BJ34&lt;&gt;"","",
IF(BK33&lt;&gt;"",OFFSET(変更先抽出【15時】!$A$1,BI33-1,33),""))</f>
        <v/>
      </c>
      <c r="BO36" s="204"/>
      <c r="BP36" s="26"/>
      <c r="BQ36" s="25"/>
      <c r="BR36" s="207" t="str">
        <f ca="1">IF(BR33&lt;&gt;"",OFFSET(変更先抽出【15時】!$A$1,BP33-1,32),"")</f>
        <v/>
      </c>
      <c r="BS36" s="208"/>
      <c r="BT36" s="44"/>
      <c r="BU36" s="203" t="str">
        <f ca="1">IF(BQ34&lt;&gt;"","",
IF(BR33&lt;&gt;"",OFFSET(変更先抽出【15時】!$A$1,BP33-1,33),""))</f>
        <v/>
      </c>
      <c r="BV36" s="204"/>
      <c r="BY36" s="25"/>
      <c r="BZ36" s="207" t="str">
        <f ca="1">IF(BZ33&lt;&gt;"",OFFSET(変更先抽出【15時】!$A$1,BX33-1,32),"")</f>
        <v/>
      </c>
      <c r="CA36" s="208"/>
      <c r="CB36" s="44"/>
      <c r="CC36" s="203" t="str">
        <f ca="1">IF(BY34&lt;&gt;"","",
IF(BZ33&lt;&gt;"",OFFSET(変更先抽出【15時】!$A$1,BX33-1,33),""))</f>
        <v/>
      </c>
      <c r="CD36" s="204"/>
      <c r="CE36" s="26"/>
      <c r="CF36" s="25"/>
      <c r="CG36" s="207" t="str">
        <f ca="1">IF(CG33&lt;&gt;"",OFFSET(変更先抽出【15時】!$A$1,CE33-1,32),"")</f>
        <v/>
      </c>
      <c r="CH36" s="208"/>
      <c r="CI36" s="44"/>
      <c r="CJ36" s="203" t="str">
        <f ca="1">IF(CF34&lt;&gt;"","",
IF(CG33&lt;&gt;"",OFFSET(変更先抽出【15時】!$A$1,CE33-1,33),""))</f>
        <v/>
      </c>
      <c r="CK36" s="204"/>
      <c r="CN36" s="25"/>
      <c r="CO36" s="207" t="str">
        <f ca="1">IF(CO33&lt;&gt;"",OFFSET(変更先抽出【15時】!$A$1,CM33-1,32),"")</f>
        <v/>
      </c>
      <c r="CP36" s="208"/>
      <c r="CQ36" s="44"/>
      <c r="CR36" s="203" t="str">
        <f ca="1">IF(CN34&lt;&gt;"","",
IF(CO33&lt;&gt;"",OFFSET(変更先抽出【15時】!$A$1,CM33-1,33),""))</f>
        <v/>
      </c>
      <c r="CS36" s="204"/>
      <c r="CT36" s="26"/>
      <c r="CU36" s="25"/>
      <c r="CV36" s="207" t="str">
        <f ca="1">IF(CV33&lt;&gt;"",OFFSET(変更先抽出【15時】!$A$1,CT33-1,32),"")</f>
        <v/>
      </c>
      <c r="CW36" s="208"/>
      <c r="CX36" s="44"/>
      <c r="CY36" s="203" t="str">
        <f ca="1">IF(CU34&lt;&gt;"","",
IF(CV33&lt;&gt;"",OFFSET(変更先抽出【15時】!$A$1,CT33-1,33),""))</f>
        <v/>
      </c>
      <c r="CZ36" s="204"/>
      <c r="DC36" s="25"/>
      <c r="DD36" s="207" t="str">
        <f ca="1">IF(DD33&lt;&gt;"",OFFSET(変更先抽出【15時】!$A$1,DB33-1,32),"")</f>
        <v/>
      </c>
      <c r="DE36" s="208"/>
      <c r="DF36" s="44"/>
      <c r="DG36" s="203" t="str">
        <f ca="1">IF(DC34&lt;&gt;"","",
IF(DD33&lt;&gt;"",OFFSET(変更先抽出【15時】!$A$1,DB33-1,33),""))</f>
        <v/>
      </c>
      <c r="DH36" s="204"/>
      <c r="DI36" s="26"/>
      <c r="DJ36" s="25"/>
      <c r="DK36" s="207" t="str">
        <f ca="1">IF(DK33&lt;&gt;"",OFFSET(変更先抽出【15時】!$A$1,DI33-1,32),"")</f>
        <v/>
      </c>
      <c r="DL36" s="208"/>
      <c r="DM36" s="44"/>
      <c r="DN36" s="203" t="str">
        <f ca="1">IF(DJ34&lt;&gt;"","",
IF(DK33&lt;&gt;"",OFFSET(変更先抽出【15時】!$A$1,DI33-1,33),""))</f>
        <v/>
      </c>
      <c r="DO36" s="204"/>
      <c r="DR36" s="25"/>
      <c r="DS36" s="207" t="str">
        <f ca="1">IF(DS33&lt;&gt;"",OFFSET(変更先抽出【15時】!$A$1,DQ33-1,32),"")</f>
        <v/>
      </c>
      <c r="DT36" s="208"/>
      <c r="DU36" s="44"/>
      <c r="DV36" s="203" t="str">
        <f ca="1">IF(DR34&lt;&gt;"","",
IF(DS33&lt;&gt;"",OFFSET(変更先抽出【15時】!$A$1,DQ33-1,33),""))</f>
        <v/>
      </c>
      <c r="DW36" s="204"/>
      <c r="DX36" s="26"/>
      <c r="DY36" s="25"/>
      <c r="DZ36" s="207" t="str">
        <f ca="1">IF(DZ33&lt;&gt;"",OFFSET(変更先抽出【15時】!$A$1,DX33-1,32),"")</f>
        <v/>
      </c>
      <c r="EA36" s="208"/>
      <c r="EB36" s="44"/>
      <c r="EC36" s="203" t="str">
        <f ca="1">IF(DY34&lt;&gt;"","",
IF(DZ33&lt;&gt;"",OFFSET(変更先抽出【15時】!$A$1,DX33-1,33),""))</f>
        <v/>
      </c>
      <c r="ED36" s="204"/>
      <c r="EG36" s="25"/>
      <c r="EH36" s="207" t="str">
        <f ca="1">IF(EH33&lt;&gt;"",OFFSET(変更先抽出【15時】!$A$1,EF33-1,32),"")</f>
        <v/>
      </c>
      <c r="EI36" s="208"/>
      <c r="EJ36" s="44"/>
      <c r="EK36" s="203" t="str">
        <f ca="1">IF(EG34&lt;&gt;"","",
IF(EH33&lt;&gt;"",OFFSET(変更先抽出【15時】!$A$1,EF33-1,33),""))</f>
        <v/>
      </c>
      <c r="EL36" s="204"/>
      <c r="EM36" s="26"/>
      <c r="EN36" s="25"/>
      <c r="EO36" s="207" t="str">
        <f ca="1">IF(EO33&lt;&gt;"",OFFSET(変更先抽出【15時】!$A$1,EM33-1,32),"")</f>
        <v/>
      </c>
      <c r="EP36" s="208"/>
      <c r="EQ36" s="44"/>
      <c r="ER36" s="203" t="str">
        <f ca="1">IF(EN34&lt;&gt;"","",
IF(EO33&lt;&gt;"",OFFSET(変更先抽出【15時】!$A$1,EM33-1,33),""))</f>
        <v/>
      </c>
      <c r="ES36" s="204"/>
    </row>
    <row r="37" spans="1:150" ht="15.6" customHeight="1" x14ac:dyDescent="0.45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 x14ac:dyDescent="0.55000000000000004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 x14ac:dyDescent="0.45">
      <c r="B39" s="213" t="str">
        <f ca="1">IF(C33&lt;&gt;"",IFERROR(INT(C36/C38),""),"")</f>
        <v/>
      </c>
      <c r="C39" s="206"/>
      <c r="D39" s="213" t="str">
        <f ca="1">IF(C33&lt;&gt;"",IFERROR(MOD(C36,C38),""),"")</f>
        <v/>
      </c>
      <c r="E39" s="206"/>
      <c r="F39" s="214" t="str">
        <f ca="1">IF(AND(C33&lt;&gt;"",C35&lt;&gt;"先生"),
IF(COUNTIF(C33,"*【*"),"",OFFSET(変更先抽出【15時】!$A$1,A33-1,34)),"")</f>
        <v/>
      </c>
      <c r="G39" s="206"/>
      <c r="I39" s="213" t="str">
        <f ca="1">IF(J33&lt;&gt;"",IFERROR(INT(J36/J38),""),"")</f>
        <v/>
      </c>
      <c r="J39" s="206"/>
      <c r="K39" s="213" t="str">
        <f ca="1">IF(J33&lt;&gt;"",IFERROR(MOD(J36,J38),""),"")</f>
        <v/>
      </c>
      <c r="L39" s="206"/>
      <c r="M39" s="214" t="str">
        <f ca="1">IF(AND(J33&lt;&gt;"",J35&lt;&gt;"先生"),
IF(COUNTIF(J33,"*【*"),"",OFFSET(変更先抽出【15時】!$A$1,H33-1,34)),"")</f>
        <v/>
      </c>
      <c r="N39" s="206"/>
      <c r="Q39" s="213" t="str">
        <f ca="1">IF(R33&lt;&gt;"",IFERROR(INT(R36/R38),""),"")</f>
        <v/>
      </c>
      <c r="R39" s="206"/>
      <c r="S39" s="213" t="str">
        <f ca="1">IF(R33&lt;&gt;"",IFERROR(MOD(R36,R38),""),"")</f>
        <v/>
      </c>
      <c r="T39" s="206"/>
      <c r="U39" s="214" t="str">
        <f ca="1">IF(AND(R33&lt;&gt;"",R35&lt;&gt;"先生"),
IF(COUNTIF(R33,"*【*"),"",OFFSET(変更先抽出【15時】!$A$1,P33-1,34)),"")</f>
        <v/>
      </c>
      <c r="V39" s="206"/>
      <c r="X39" s="213" t="str">
        <f ca="1">IF(Y33&lt;&gt;"",IFERROR(INT(Y36/Y38),""),"")</f>
        <v/>
      </c>
      <c r="Y39" s="206"/>
      <c r="Z39" s="213" t="str">
        <f ca="1">IF(Y33&lt;&gt;"",IFERROR(MOD(Y36,Y38),""),"")</f>
        <v/>
      </c>
      <c r="AA39" s="206"/>
      <c r="AB39" s="214" t="str">
        <f ca="1">IF(AND(Y33&lt;&gt;"",Y35&lt;&gt;"先生"),
IF(COUNTIF(Y33,"*【*"),"",OFFSET(変更先抽出【15時】!$A$1,W33-1,34)),"")</f>
        <v/>
      </c>
      <c r="AC39" s="206"/>
      <c r="AF39" s="213" t="str">
        <f ca="1">IF(AG33&lt;&gt;"",IFERROR(INT(AG36/AG38),""),"")</f>
        <v/>
      </c>
      <c r="AG39" s="206"/>
      <c r="AH39" s="213" t="str">
        <f ca="1">IF(AG33&lt;&gt;"",IFERROR(MOD(AG36,AG38),""),"")</f>
        <v/>
      </c>
      <c r="AI39" s="206"/>
      <c r="AJ39" s="214" t="str">
        <f ca="1">IF(AG33&lt;&gt;"",OFFSET(変更先抽出【15時】!$A$1,AE33-1,34),"")</f>
        <v/>
      </c>
      <c r="AK39" s="206"/>
      <c r="AM39" s="213" t="str">
        <f ca="1">IF(AN33&lt;&gt;"",IFERROR(INT(AN36/AN38),""),"")</f>
        <v/>
      </c>
      <c r="AN39" s="206"/>
      <c r="AO39" s="213" t="str">
        <f ca="1">IF(AN33&lt;&gt;"",IFERROR(MOD(AN36,AN38),""),"")</f>
        <v/>
      </c>
      <c r="AP39" s="206"/>
      <c r="AQ39" s="214" t="str">
        <f ca="1">IF(AN33&lt;&gt;"",OFFSET(変更先抽出【15時】!$A$1,AL33-1,34),"")</f>
        <v/>
      </c>
      <c r="AR39" s="206"/>
      <c r="AU39" s="213" t="str">
        <f ca="1">IF(AV33&lt;&gt;"",IFERROR(INT(AV36/AV38),""),"")</f>
        <v/>
      </c>
      <c r="AV39" s="206"/>
      <c r="AW39" s="213" t="str">
        <f ca="1">IF(AV33&lt;&gt;"",IFERROR(MOD(AV36,AV38),""),"")</f>
        <v/>
      </c>
      <c r="AX39" s="206"/>
      <c r="AY39" s="214" t="str">
        <f ca="1">IF(AV33&lt;&gt;"",OFFSET(変更先抽出【15時】!$A$1,AT33-1,34),"")</f>
        <v/>
      </c>
      <c r="AZ39" s="206"/>
      <c r="BB39" s="213" t="str">
        <f ca="1">IF(BC33&lt;&gt;"",IFERROR(INT(BC36/BC38),""),"")</f>
        <v/>
      </c>
      <c r="BC39" s="206"/>
      <c r="BD39" s="213" t="str">
        <f ca="1">IF(BC33&lt;&gt;"",IFERROR(MOD(BC36,BC38),""),"")</f>
        <v/>
      </c>
      <c r="BE39" s="206"/>
      <c r="BF39" s="214" t="str">
        <f ca="1">IF(BC33&lt;&gt;"",OFFSET(変更先抽出【15時】!$A$1,BA33-1,34),"")</f>
        <v/>
      </c>
      <c r="BG39" s="206"/>
      <c r="BJ39" s="213" t="str">
        <f ca="1">IF(BK33&lt;&gt;"",IFERROR(INT(BK36/BK38),""),"")</f>
        <v/>
      </c>
      <c r="BK39" s="206"/>
      <c r="BL39" s="213" t="str">
        <f ca="1">IF(BK33&lt;&gt;"",IFERROR(MOD(BK36,BK38),""),"")</f>
        <v/>
      </c>
      <c r="BM39" s="206"/>
      <c r="BN39" s="214" t="str">
        <f ca="1">IF(BK33&lt;&gt;"",OFFSET(変更先抽出【15時】!$A$1,BI33-1,34),"")</f>
        <v/>
      </c>
      <c r="BO39" s="206"/>
      <c r="BQ39" s="213" t="str">
        <f ca="1">IF(BR33&lt;&gt;"",IFERROR(INT(BR36/BR38),""),"")</f>
        <v/>
      </c>
      <c r="BR39" s="206"/>
      <c r="BS39" s="213" t="str">
        <f ca="1">IF(BR33&lt;&gt;"",IFERROR(MOD(BR36,BR38),""),"")</f>
        <v/>
      </c>
      <c r="BT39" s="206"/>
      <c r="BU39" s="214" t="str">
        <f ca="1">IF(BR33&lt;&gt;"",OFFSET(変更先抽出【15時】!$A$1,BP33-1,34),"")</f>
        <v/>
      </c>
      <c r="BV39" s="206"/>
      <c r="BY39" s="213" t="str">
        <f ca="1">IF(BZ33&lt;&gt;"",IFERROR(INT(BZ36/BZ38),""),"")</f>
        <v/>
      </c>
      <c r="BZ39" s="206"/>
      <c r="CA39" s="213" t="str">
        <f ca="1">IF(BZ33&lt;&gt;"",IFERROR(MOD(BZ36,BZ38),""),"")</f>
        <v/>
      </c>
      <c r="CB39" s="206"/>
      <c r="CC39" s="214" t="str">
        <f ca="1">IF(BZ33&lt;&gt;"",OFFSET(変更先抽出【15時】!$A$1,BX33-1,34),"")</f>
        <v/>
      </c>
      <c r="CD39" s="206"/>
      <c r="CF39" s="213" t="str">
        <f ca="1">IF(CG33&lt;&gt;"",IFERROR(INT(CG36/CG38),""),"")</f>
        <v/>
      </c>
      <c r="CG39" s="206"/>
      <c r="CH39" s="213" t="str">
        <f ca="1">IF(CG33&lt;&gt;"",IFERROR(MOD(CG36,CG38),""),"")</f>
        <v/>
      </c>
      <c r="CI39" s="206"/>
      <c r="CJ39" s="214" t="str">
        <f ca="1">IF(CG33&lt;&gt;"",OFFSET(変更先抽出【15時】!$A$1,CE33-1,34),"")</f>
        <v/>
      </c>
      <c r="CK39" s="206"/>
      <c r="CN39" s="213" t="str">
        <f ca="1">IF(CO33&lt;&gt;"",IFERROR(INT(CO36/CO38),""),"")</f>
        <v/>
      </c>
      <c r="CO39" s="206"/>
      <c r="CP39" s="213" t="str">
        <f ca="1">IF(CO33&lt;&gt;"",IFERROR(MOD(CO36,CO38),""),"")</f>
        <v/>
      </c>
      <c r="CQ39" s="206"/>
      <c r="CR39" s="214" t="str">
        <f ca="1">IF(CO33&lt;&gt;"",OFFSET(変更先抽出【15時】!$A$1,CM33-1,34),"")</f>
        <v/>
      </c>
      <c r="CS39" s="206"/>
      <c r="CU39" s="213" t="str">
        <f ca="1">IF(CV33&lt;&gt;"",IFERROR(INT(CV36/CV38),""),"")</f>
        <v/>
      </c>
      <c r="CV39" s="206"/>
      <c r="CW39" s="213" t="str">
        <f ca="1">IF(CV33&lt;&gt;"",IFERROR(MOD(CV36,CV38),""),"")</f>
        <v/>
      </c>
      <c r="CX39" s="206"/>
      <c r="CY39" s="214" t="str">
        <f ca="1">IF(CV33&lt;&gt;"",OFFSET(変更先抽出【15時】!$A$1,CT33-1,34),"")</f>
        <v/>
      </c>
      <c r="CZ39" s="206"/>
      <c r="DC39" s="213" t="str">
        <f ca="1">IF(DD33&lt;&gt;"",IFERROR(INT(DD36/DD38),""),"")</f>
        <v/>
      </c>
      <c r="DD39" s="206"/>
      <c r="DE39" s="213" t="str">
        <f ca="1">IF(DD33&lt;&gt;"",IFERROR(MOD(DD36,DD38),""),"")</f>
        <v/>
      </c>
      <c r="DF39" s="206"/>
      <c r="DG39" s="214" t="str">
        <f ca="1">IF(DD33&lt;&gt;"",OFFSET(変更先抽出【15時】!$A$1,DB33-1,34),"")</f>
        <v/>
      </c>
      <c r="DH39" s="206"/>
      <c r="DJ39" s="213" t="str">
        <f ca="1">IF(DK33&lt;&gt;"",IFERROR(INT(DK36/DK38),""),"")</f>
        <v/>
      </c>
      <c r="DK39" s="206"/>
      <c r="DL39" s="213" t="str">
        <f ca="1">IF(DK33&lt;&gt;"",IFERROR(MOD(DK36,DK38),""),"")</f>
        <v/>
      </c>
      <c r="DM39" s="206"/>
      <c r="DN39" s="214" t="str">
        <f ca="1">IF(DK33&lt;&gt;"",OFFSET(変更先抽出【15時】!$A$1,DI33-1,34),"")</f>
        <v/>
      </c>
      <c r="DO39" s="206"/>
      <c r="DR39" s="213" t="str">
        <f ca="1">IF(DS33&lt;&gt;"",IFERROR(INT(DS36/DS38),""),"")</f>
        <v/>
      </c>
      <c r="DS39" s="206"/>
      <c r="DT39" s="213" t="str">
        <f ca="1">IF(DS33&lt;&gt;"",IFERROR(MOD(DS36,DS38),""),"")</f>
        <v/>
      </c>
      <c r="DU39" s="206"/>
      <c r="DV39" s="214" t="str">
        <f ca="1">IF(DS33&lt;&gt;"",OFFSET(変更先抽出【15時】!$A$1,DQ33-1,34),"")</f>
        <v/>
      </c>
      <c r="DW39" s="206"/>
      <c r="DY39" s="213" t="str">
        <f ca="1">IF(DZ33&lt;&gt;"",IFERROR(INT(DZ36/DZ38),""),"")</f>
        <v/>
      </c>
      <c r="DZ39" s="206"/>
      <c r="EA39" s="213" t="str">
        <f ca="1">IF(DZ33&lt;&gt;"",IFERROR(MOD(DZ36,DZ38),""),"")</f>
        <v/>
      </c>
      <c r="EB39" s="206"/>
      <c r="EC39" s="214" t="str">
        <f ca="1">IF(DZ33&lt;&gt;"",OFFSET(変更先抽出【15時】!$A$1,DX33-1,34),"")</f>
        <v/>
      </c>
      <c r="ED39" s="206"/>
      <c r="EG39" s="213" t="str">
        <f ca="1">IF(EH33&lt;&gt;"",IFERROR(INT(EH36/EH38),""),"")</f>
        <v/>
      </c>
      <c r="EH39" s="206"/>
      <c r="EI39" s="213" t="str">
        <f ca="1">IF(EH33&lt;&gt;"",IFERROR(MOD(EH36,EH38),""),"")</f>
        <v/>
      </c>
      <c r="EJ39" s="206"/>
      <c r="EK39" s="214" t="str">
        <f ca="1">IF(EH33&lt;&gt;"",OFFSET(変更先抽出【15時】!$A$1,EF33-1,34),"")</f>
        <v/>
      </c>
      <c r="EL39" s="206"/>
      <c r="EN39" s="213" t="str">
        <f ca="1">IF(EO33&lt;&gt;"",IFERROR(INT(EO36/EO38),""),"")</f>
        <v/>
      </c>
      <c r="EO39" s="206"/>
      <c r="EP39" s="213" t="str">
        <f ca="1">IF(EO33&lt;&gt;"",IFERROR(MOD(EO36,EO38),""),"")</f>
        <v/>
      </c>
      <c r="EQ39" s="206"/>
      <c r="ER39" s="214" t="str">
        <f ca="1">IF(EO33&lt;&gt;"",OFFSET(変更先抽出【15時】!$A$1,EM33-1,34),"")</f>
        <v/>
      </c>
      <c r="ES39" s="206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 x14ac:dyDescent="0.55000000000000004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ca="1">IF(OFFSET(変更先抽出【15時】!$A$1,A41-1,29)&lt;&gt;"",OFFSET(変更先抽出【15時】!$A$1,A41-1,30),"")</f>
        <v/>
      </c>
      <c r="D41" s="212"/>
      <c r="E41" s="212"/>
      <c r="F41" s="212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ca="1">IF(OFFSET(変更先抽出【15時】!$A$1,H41-1,29)&lt;&gt;"",OFFSET(変更先抽出【15時】!$A$1,H41-1,30),"")</f>
        <v/>
      </c>
      <c r="K41" s="212"/>
      <c r="L41" s="212"/>
      <c r="M41" s="212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ca="1">IF(OFFSET(変更先抽出【15時】!$A$1,P41-1,29)&lt;&gt;"",OFFSET(変更先抽出【15時】!$A$1,P41-1,30),"")</f>
        <v/>
      </c>
      <c r="S41" s="212"/>
      <c r="T41" s="212"/>
      <c r="U41" s="212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ca="1">IF(OFFSET(変更先抽出【15時】!$A$1,W41-1,29)&lt;&gt;"",OFFSET(変更先抽出【15時】!$A$1,W41-1,30),"")</f>
        <v/>
      </c>
      <c r="Z41" s="212"/>
      <c r="AA41" s="212"/>
      <c r="AB41" s="212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ca="1">IF(OFFSET(変更先抽出【15時】!$A$1,AE41-1,29)&lt;&gt;"",OFFSET(変更先抽出【15時】!$A$1,AE41-1,30),"")</f>
        <v/>
      </c>
      <c r="AH41" s="212"/>
      <c r="AI41" s="212"/>
      <c r="AJ41" s="212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ca="1">IF(OFFSET(変更先抽出【15時】!$A$1,AL41-1,29)&lt;&gt;"",OFFSET(変更先抽出【15時】!$A$1,AL41-1,30),"")</f>
        <v/>
      </c>
      <c r="AO41" s="212"/>
      <c r="AP41" s="212"/>
      <c r="AQ41" s="212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ca="1">IF(OFFSET(変更先抽出【15時】!$A$1,AT41-1,29)&lt;&gt;"",OFFSET(変更先抽出【15時】!$A$1,AT41-1,30),"")</f>
        <v/>
      </c>
      <c r="AW41" s="212"/>
      <c r="AX41" s="212"/>
      <c r="AY41" s="212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ca="1">IF(OFFSET(変更先抽出【15時】!$A$1,BA41-1,29)&lt;&gt;"",OFFSET(変更先抽出【15時】!$A$1,BA41-1,30),"")</f>
        <v/>
      </c>
      <c r="BD41" s="212"/>
      <c r="BE41" s="212"/>
      <c r="BF41" s="212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ca="1">IF(OFFSET(変更先抽出【15時】!$A$1,BI41-1,29)&lt;&gt;"",OFFSET(変更先抽出【15時】!$A$1,BI41-1,30),"")</f>
        <v/>
      </c>
      <c r="BL41" s="212"/>
      <c r="BM41" s="212"/>
      <c r="BN41" s="212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ca="1">IF(OFFSET(変更先抽出【15時】!$A$1,BP41-1,29)&lt;&gt;"",OFFSET(変更先抽出【15時】!$A$1,BP41-1,30),"")</f>
        <v/>
      </c>
      <c r="BS41" s="212"/>
      <c r="BT41" s="212"/>
      <c r="BU41" s="212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ca="1">IF(OFFSET(変更先抽出【15時】!$A$1,BX41-1,29)&lt;&gt;"",OFFSET(変更先抽出【15時】!$A$1,BX41-1,30),"")</f>
        <v/>
      </c>
      <c r="CA41" s="212"/>
      <c r="CB41" s="212"/>
      <c r="CC41" s="212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ca="1">IF(OFFSET(変更先抽出【15時】!$A$1,CE41-1,29)&lt;&gt;"",OFFSET(変更先抽出【15時】!$A$1,CE41-1,30),"")</f>
        <v/>
      </c>
      <c r="CH41" s="212"/>
      <c r="CI41" s="212"/>
      <c r="CJ41" s="212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ca="1">IF(OFFSET(変更先抽出【15時】!$A$1,CM41-1,29)&lt;&gt;"",OFFSET(変更先抽出【15時】!$A$1,CM41-1,30),"")</f>
        <v/>
      </c>
      <c r="CP41" s="212"/>
      <c r="CQ41" s="212"/>
      <c r="CR41" s="212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ca="1">IF(OFFSET(変更先抽出【15時】!$A$1,CT41-1,29)&lt;&gt;"",OFFSET(変更先抽出【15時】!$A$1,CT41-1,30),"")</f>
        <v/>
      </c>
      <c r="CW41" s="212"/>
      <c r="CX41" s="212"/>
      <c r="CY41" s="212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ca="1">IF(OFFSET(変更先抽出【15時】!$A$1,DB41-1,29)&lt;&gt;"",OFFSET(変更先抽出【15時】!$A$1,DB41-1,30),"")</f>
        <v/>
      </c>
      <c r="DE41" s="212"/>
      <c r="DF41" s="212"/>
      <c r="DG41" s="212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ca="1">IF(OFFSET(変更先抽出【15時】!$A$1,DI41-1,29)&lt;&gt;"",OFFSET(変更先抽出【15時】!$A$1,DI41-1,30),"")</f>
        <v/>
      </c>
      <c r="DL41" s="212"/>
      <c r="DM41" s="212"/>
      <c r="DN41" s="212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ca="1">IF(OFFSET(変更先抽出【15時】!$A$1,DQ41-1,29)&lt;&gt;"",OFFSET(変更先抽出【15時】!$A$1,DQ41-1,30),"")</f>
        <v/>
      </c>
      <c r="DT41" s="212"/>
      <c r="DU41" s="212"/>
      <c r="DV41" s="212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ca="1">IF(OFFSET(変更先抽出【15時】!$A$1,DX41-1,29)&lt;&gt;"",OFFSET(変更先抽出【15時】!$A$1,DX41-1,30),"")</f>
        <v/>
      </c>
      <c r="EA41" s="212"/>
      <c r="EB41" s="212"/>
      <c r="EC41" s="212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ca="1">IF(OFFSET(変更先抽出【15時】!$A$1,EF41-1,29)&lt;&gt;"",OFFSET(変更先抽出【15時】!$A$1,EF41-1,30),"")</f>
        <v/>
      </c>
      <c r="EI41" s="212"/>
      <c r="EJ41" s="212"/>
      <c r="EK41" s="212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ca="1">IF(OFFSET(変更先抽出【15時】!$A$1,EM41-1,29)&lt;&gt;"",OFFSET(変更先抽出【15時】!$A$1,EM41-1,30),"")</f>
        <v/>
      </c>
      <c r="EP41" s="212"/>
      <c r="EQ41" s="212"/>
      <c r="ER41" s="212"/>
      <c r="ES41" s="39" t="str">
        <f ca="1">IF(EO41&lt;&gt;"","様","")</f>
        <v/>
      </c>
      <c r="ET41" s="22"/>
    </row>
    <row r="42" spans="1:150" s="148" customFormat="1" x14ac:dyDescent="0.55000000000000004">
      <c r="A42" s="30"/>
      <c r="B42" s="166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57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66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57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66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57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66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57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66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57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66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57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66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57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66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57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66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57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66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57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66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57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66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57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66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57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66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57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66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57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66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57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66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57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66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57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66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57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66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57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48" customFormat="1" x14ac:dyDescent="0.55000000000000004">
      <c r="A43" s="30"/>
      <c r="B43" s="31"/>
      <c r="C43" s="209" t="str">
        <f ca="1">IF(B42&lt;&gt;"","先生",
IF(OR(C41&lt;&gt;"",COUNTIF(C41,"*【*")),"園児",""))</f>
        <v/>
      </c>
      <c r="D43" s="210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09" t="str">
        <f ca="1">IF(I42&lt;&gt;"","先生",
IF(OR(J41&lt;&gt;"",COUNTIF(J41,"*【*")),"園児",""))</f>
        <v/>
      </c>
      <c r="K43" s="210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09" t="str">
        <f ca="1">IF(Q42&lt;&gt;"","先生",
IF(OR(R41&lt;&gt;"",COUNTIF(R41,"*【*")),"園児",""))</f>
        <v/>
      </c>
      <c r="S43" s="210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09" t="str">
        <f ca="1">IF(X42&lt;&gt;"","先生",
IF(OR(Y41&lt;&gt;"",COUNTIF(Y41,"*【*")),"園児",""))</f>
        <v/>
      </c>
      <c r="Z43" s="210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09" t="str">
        <f ca="1">IF(AF42&lt;&gt;"","先生",
IF(OR(AG41&lt;&gt;"",COUNTIF(AG41,"*【*")),"園児",""))</f>
        <v/>
      </c>
      <c r="AH43" s="210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09" t="str">
        <f ca="1">IF(AM42&lt;&gt;"","先生",
IF(OR(AN41&lt;&gt;"",COUNTIF(AN41,"*【*")),"園児",""))</f>
        <v/>
      </c>
      <c r="AO43" s="210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09" t="str">
        <f ca="1">IF(AU42&lt;&gt;"","先生",
IF(OR(AV41&lt;&gt;"",COUNTIF(AV41,"*【*")),"園児",""))</f>
        <v/>
      </c>
      <c r="AW43" s="210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09" t="str">
        <f ca="1">IF(BB42&lt;&gt;"","先生",
IF(OR(BC41&lt;&gt;"",COUNTIF(BC41,"*【*")),"園児",""))</f>
        <v/>
      </c>
      <c r="BD43" s="210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09" t="str">
        <f ca="1">IF(BJ42&lt;&gt;"","先生",
IF(OR(BK41&lt;&gt;"",COUNTIF(BK41,"*【*")),"園児",""))</f>
        <v/>
      </c>
      <c r="BL43" s="210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09" t="str">
        <f ca="1">IF(BQ42&lt;&gt;"","先生",
IF(OR(BR41&lt;&gt;"",COUNTIF(BR41,"*【*")),"園児",""))</f>
        <v/>
      </c>
      <c r="BS43" s="210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09" t="str">
        <f ca="1">IF(BY42&lt;&gt;"","先生",
IF(OR(BZ41&lt;&gt;"",COUNTIF(BZ41,"*【*")),"園児",""))</f>
        <v/>
      </c>
      <c r="CA43" s="210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09" t="str">
        <f ca="1">IF(CF42&lt;&gt;"","先生",
IF(OR(CG41&lt;&gt;"",COUNTIF(CG41,"*【*")),"園児",""))</f>
        <v/>
      </c>
      <c r="CH43" s="210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09" t="str">
        <f ca="1">IF(CN42&lt;&gt;"","先生",
IF(OR(CO41&lt;&gt;"",COUNTIF(CO41,"*【*")),"園児",""))</f>
        <v/>
      </c>
      <c r="CP43" s="210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09" t="str">
        <f ca="1">IF(CU42&lt;&gt;"","先生",
IF(OR(CV41&lt;&gt;"",COUNTIF(CV41,"*【*")),"園児",""))</f>
        <v/>
      </c>
      <c r="CW43" s="210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09" t="str">
        <f ca="1">IF(DC42&lt;&gt;"","先生",
IF(OR(DD41&lt;&gt;"",COUNTIF(DD41,"*【*")),"園児",""))</f>
        <v/>
      </c>
      <c r="DE43" s="210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09" t="str">
        <f ca="1">IF(DJ42&lt;&gt;"","先生",
IF(OR(DK41&lt;&gt;"",COUNTIF(DK41,"*【*")),"園児",""))</f>
        <v/>
      </c>
      <c r="DL43" s="210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09" t="str">
        <f ca="1">IF(DR42&lt;&gt;"","先生",
IF(OR(DS41&lt;&gt;"",COUNTIF(DS41,"*【*")),"園児",""))</f>
        <v/>
      </c>
      <c r="DT43" s="210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09" t="str">
        <f ca="1">IF(DY42&lt;&gt;"","先生",
IF(OR(DZ41&lt;&gt;"",COUNTIF(DZ41,"*【*")),"園児",""))</f>
        <v/>
      </c>
      <c r="EA43" s="210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09" t="str">
        <f ca="1">IF(EG42&lt;&gt;"","先生",
IF(OR(EH41&lt;&gt;"",COUNTIF(EH41,"*【*")),"園児",""))</f>
        <v/>
      </c>
      <c r="EI43" s="210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09" t="str">
        <f ca="1">IF(EN42&lt;&gt;"","先生",
IF(OR(EO41&lt;&gt;"",COUNTIF(EO41,"*【*")),"園児",""))</f>
        <v/>
      </c>
      <c r="EP43" s="210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 x14ac:dyDescent="1.05">
      <c r="B44" s="25"/>
      <c r="C44" s="207" t="str">
        <f ca="1">IF(C41&lt;&gt;"",OFFSET(変更先抽出【15時】!$A$1,A41-1,32),"")</f>
        <v/>
      </c>
      <c r="D44" s="208"/>
      <c r="E44" s="44"/>
      <c r="F44" s="203" t="str">
        <f ca="1">IF(B42&lt;&gt;"","",
IF(C41&lt;&gt;"",OFFSET(変更先抽出【15時】!$A$1,A41-1,33),""))</f>
        <v/>
      </c>
      <c r="G44" s="204"/>
      <c r="H44" s="26"/>
      <c r="I44" s="25"/>
      <c r="J44" s="207" t="str">
        <f ca="1">IF(J41&lt;&gt;"",OFFSET(変更先抽出【15時】!$A$1,H41-1,32),"")</f>
        <v/>
      </c>
      <c r="K44" s="208"/>
      <c r="L44" s="44"/>
      <c r="M44" s="203" t="str">
        <f ca="1">IF(I42&lt;&gt;"","",
IF(J41&lt;&gt;"",OFFSET(変更先抽出【15時】!$A$1,H41-1,33),""))</f>
        <v/>
      </c>
      <c r="N44" s="204"/>
      <c r="Q44" s="25"/>
      <c r="R44" s="207" t="str">
        <f ca="1">IF(R41&lt;&gt;"",OFFSET(変更先抽出【15時】!$A$1,P41-1,32),"")</f>
        <v/>
      </c>
      <c r="S44" s="208"/>
      <c r="T44" s="44"/>
      <c r="U44" s="203" t="str">
        <f ca="1">IF(Q42&lt;&gt;"","",
IF(R41&lt;&gt;"",OFFSET(変更先抽出【15時】!$A$1,P41-1,33),""))</f>
        <v/>
      </c>
      <c r="V44" s="204"/>
      <c r="W44" s="26"/>
      <c r="X44" s="25"/>
      <c r="Y44" s="207" t="str">
        <f ca="1">IF(Y41&lt;&gt;"",OFFSET(変更先抽出【15時】!$A$1,W41-1,32),"")</f>
        <v/>
      </c>
      <c r="Z44" s="208"/>
      <c r="AA44" s="44"/>
      <c r="AB44" s="203" t="str">
        <f ca="1">IF(X42&lt;&gt;"","",
IF(Y41&lt;&gt;"",OFFSET(変更先抽出【15時】!$A$1,W41-1,33),""))</f>
        <v/>
      </c>
      <c r="AC44" s="204"/>
      <c r="AF44" s="25"/>
      <c r="AG44" s="207" t="str">
        <f ca="1">IF(AG41&lt;&gt;"",OFFSET(変更先抽出【15時】!$A$1,AE41-1,32),"")</f>
        <v/>
      </c>
      <c r="AH44" s="208"/>
      <c r="AI44" s="44"/>
      <c r="AJ44" s="203" t="str">
        <f ca="1">IF(AF42&lt;&gt;"","",
IF(AG41&lt;&gt;"",OFFSET(変更先抽出【15時】!$A$1,AE41-1,33),""))</f>
        <v/>
      </c>
      <c r="AK44" s="204"/>
      <c r="AL44" s="26"/>
      <c r="AM44" s="25"/>
      <c r="AN44" s="207" t="str">
        <f ca="1">IF(AN41&lt;&gt;"",OFFSET(変更先抽出【15時】!$A$1,AL41-1,32),"")</f>
        <v/>
      </c>
      <c r="AO44" s="208"/>
      <c r="AP44" s="44"/>
      <c r="AQ44" s="203" t="str">
        <f ca="1">IF(AM42&lt;&gt;"","",
IF(AN41&lt;&gt;"",OFFSET(変更先抽出【15時】!$A$1,AL41-1,33),""))</f>
        <v/>
      </c>
      <c r="AR44" s="204"/>
      <c r="AU44" s="25"/>
      <c r="AV44" s="207" t="str">
        <f ca="1">IF(AV41&lt;&gt;"",OFFSET(変更先抽出【15時】!$A$1,AT41-1,32),"")</f>
        <v/>
      </c>
      <c r="AW44" s="208"/>
      <c r="AX44" s="44"/>
      <c r="AY44" s="203" t="str">
        <f ca="1">IF(AU42&lt;&gt;"","",
IF(AV41&lt;&gt;"",OFFSET(変更先抽出【15時】!$A$1,AT41-1,33),""))</f>
        <v/>
      </c>
      <c r="AZ44" s="204"/>
      <c r="BA44" s="26"/>
      <c r="BB44" s="25"/>
      <c r="BC44" s="207" t="str">
        <f ca="1">IF(BC41&lt;&gt;"",OFFSET(変更先抽出【15時】!$A$1,BA41-1,32),"")</f>
        <v/>
      </c>
      <c r="BD44" s="208"/>
      <c r="BE44" s="44"/>
      <c r="BF44" s="203" t="str">
        <f ca="1">IF(BB42&lt;&gt;"","",
IF(BC41&lt;&gt;"",OFFSET(変更先抽出【15時】!$A$1,BA41-1,33),""))</f>
        <v/>
      </c>
      <c r="BG44" s="204"/>
      <c r="BJ44" s="25"/>
      <c r="BK44" s="207" t="str">
        <f ca="1">IF(BK41&lt;&gt;"",OFFSET(変更先抽出【15時】!$A$1,BI41-1,32),"")</f>
        <v/>
      </c>
      <c r="BL44" s="208"/>
      <c r="BM44" s="44"/>
      <c r="BN44" s="203" t="str">
        <f ca="1">IF(BJ42&lt;&gt;"","",
IF(BK41&lt;&gt;"",OFFSET(変更先抽出【15時】!$A$1,BI41-1,33),""))</f>
        <v/>
      </c>
      <c r="BO44" s="204"/>
      <c r="BP44" s="26"/>
      <c r="BQ44" s="25"/>
      <c r="BR44" s="207" t="str">
        <f ca="1">IF(BR41&lt;&gt;"",OFFSET(変更先抽出【15時】!$A$1,BP41-1,32),"")</f>
        <v/>
      </c>
      <c r="BS44" s="208"/>
      <c r="BT44" s="44"/>
      <c r="BU44" s="203" t="str">
        <f ca="1">IF(BQ42&lt;&gt;"","",
IF(BR41&lt;&gt;"",OFFSET(変更先抽出【15時】!$A$1,BP41-1,33),""))</f>
        <v/>
      </c>
      <c r="BV44" s="204"/>
      <c r="BY44" s="25"/>
      <c r="BZ44" s="207" t="str">
        <f ca="1">IF(BZ41&lt;&gt;"",OFFSET(変更先抽出【15時】!$A$1,BX41-1,32),"")</f>
        <v/>
      </c>
      <c r="CA44" s="208"/>
      <c r="CB44" s="44"/>
      <c r="CC44" s="203" t="str">
        <f ca="1">IF(BY42&lt;&gt;"","",
IF(BZ41&lt;&gt;"",OFFSET(変更先抽出【15時】!$A$1,BX41-1,33),""))</f>
        <v/>
      </c>
      <c r="CD44" s="204"/>
      <c r="CE44" s="26"/>
      <c r="CF44" s="25"/>
      <c r="CG44" s="207" t="str">
        <f ca="1">IF(CG41&lt;&gt;"",OFFSET(変更先抽出【15時】!$A$1,CE41-1,32),"")</f>
        <v/>
      </c>
      <c r="CH44" s="208"/>
      <c r="CI44" s="44"/>
      <c r="CJ44" s="203" t="str">
        <f ca="1">IF(CF42&lt;&gt;"","",
IF(CG41&lt;&gt;"",OFFSET(変更先抽出【15時】!$A$1,CE41-1,33),""))</f>
        <v/>
      </c>
      <c r="CK44" s="204"/>
      <c r="CN44" s="25"/>
      <c r="CO44" s="207" t="str">
        <f ca="1">IF(CO41&lt;&gt;"",OFFSET(変更先抽出【15時】!$A$1,CM41-1,32),"")</f>
        <v/>
      </c>
      <c r="CP44" s="208"/>
      <c r="CQ44" s="44"/>
      <c r="CR44" s="203" t="str">
        <f ca="1">IF(CN42&lt;&gt;"","",
IF(CO41&lt;&gt;"",OFFSET(変更先抽出【15時】!$A$1,CM41-1,33),""))</f>
        <v/>
      </c>
      <c r="CS44" s="204"/>
      <c r="CT44" s="26"/>
      <c r="CU44" s="25"/>
      <c r="CV44" s="207" t="str">
        <f ca="1">IF(CV41&lt;&gt;"",OFFSET(変更先抽出【15時】!$A$1,CT41-1,32),"")</f>
        <v/>
      </c>
      <c r="CW44" s="208"/>
      <c r="CX44" s="44"/>
      <c r="CY44" s="203" t="str">
        <f ca="1">IF(CU42&lt;&gt;"","",
IF(CV41&lt;&gt;"",OFFSET(変更先抽出【15時】!$A$1,CT41-1,33),""))</f>
        <v/>
      </c>
      <c r="CZ44" s="204"/>
      <c r="DC44" s="25"/>
      <c r="DD44" s="207" t="str">
        <f ca="1">IF(DD41&lt;&gt;"",OFFSET(変更先抽出【15時】!$A$1,DB41-1,32),"")</f>
        <v/>
      </c>
      <c r="DE44" s="208"/>
      <c r="DF44" s="44"/>
      <c r="DG44" s="203" t="str">
        <f ca="1">IF(DC42&lt;&gt;"","",
IF(DD41&lt;&gt;"",OFFSET(変更先抽出【15時】!$A$1,DB41-1,33),""))</f>
        <v/>
      </c>
      <c r="DH44" s="204"/>
      <c r="DI44" s="26"/>
      <c r="DJ44" s="25"/>
      <c r="DK44" s="207" t="str">
        <f ca="1">IF(DK41&lt;&gt;"",OFFSET(変更先抽出【15時】!$A$1,DI41-1,32),"")</f>
        <v/>
      </c>
      <c r="DL44" s="208"/>
      <c r="DM44" s="44"/>
      <c r="DN44" s="203" t="str">
        <f ca="1">IF(DJ42&lt;&gt;"","",
IF(DK41&lt;&gt;"",OFFSET(変更先抽出【15時】!$A$1,DI41-1,33),""))</f>
        <v/>
      </c>
      <c r="DO44" s="204"/>
      <c r="DR44" s="25"/>
      <c r="DS44" s="207" t="str">
        <f ca="1">IF(DS41&lt;&gt;"",OFFSET(変更先抽出【15時】!$A$1,DQ41-1,32),"")</f>
        <v/>
      </c>
      <c r="DT44" s="208"/>
      <c r="DU44" s="44"/>
      <c r="DV44" s="203" t="str">
        <f ca="1">IF(DR42&lt;&gt;"","",
IF(DS41&lt;&gt;"",OFFSET(変更先抽出【15時】!$A$1,DQ41-1,33),""))</f>
        <v/>
      </c>
      <c r="DW44" s="204"/>
      <c r="DX44" s="26"/>
      <c r="DY44" s="25"/>
      <c r="DZ44" s="207" t="str">
        <f ca="1">IF(DZ41&lt;&gt;"",OFFSET(変更先抽出【15時】!$A$1,DX41-1,32),"")</f>
        <v/>
      </c>
      <c r="EA44" s="208"/>
      <c r="EB44" s="44"/>
      <c r="EC44" s="203" t="str">
        <f ca="1">IF(DY42&lt;&gt;"","",
IF(DZ41&lt;&gt;"",OFFSET(変更先抽出【15時】!$A$1,DX41-1,33),""))</f>
        <v/>
      </c>
      <c r="ED44" s="204"/>
      <c r="EG44" s="25"/>
      <c r="EH44" s="207" t="str">
        <f ca="1">IF(EH41&lt;&gt;"",OFFSET(変更先抽出【15時】!$A$1,EF41-1,32),"")</f>
        <v/>
      </c>
      <c r="EI44" s="208"/>
      <c r="EJ44" s="44"/>
      <c r="EK44" s="203" t="str">
        <f ca="1">IF(EG42&lt;&gt;"","",
IF(EH41&lt;&gt;"",OFFSET(変更先抽出【15時】!$A$1,EF41-1,33),""))</f>
        <v/>
      </c>
      <c r="EL44" s="204"/>
      <c r="EM44" s="26"/>
      <c r="EN44" s="25"/>
      <c r="EO44" s="207" t="str">
        <f ca="1">IF(EO41&lt;&gt;"",OFFSET(変更先抽出【15時】!$A$1,EM41-1,32),"")</f>
        <v/>
      </c>
      <c r="EP44" s="208"/>
      <c r="EQ44" s="44"/>
      <c r="ER44" s="203" t="str">
        <f ca="1">IF(EN42&lt;&gt;"","",
IF(EO41&lt;&gt;"",OFFSET(変更先抽出【15時】!$A$1,EM41-1,33),""))</f>
        <v/>
      </c>
      <c r="ES44" s="204"/>
    </row>
    <row r="45" spans="1:150" ht="15.6" customHeight="1" x14ac:dyDescent="0.45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 x14ac:dyDescent="0.55000000000000004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 x14ac:dyDescent="0.45">
      <c r="B47" s="213" t="str">
        <f ca="1">IF(C41&lt;&gt;"",IFERROR(INT(C44/C46),""),"")</f>
        <v/>
      </c>
      <c r="C47" s="206"/>
      <c r="D47" s="213" t="str">
        <f ca="1">IF(C41&lt;&gt;"",IFERROR(MOD(C44,C46),""),"")</f>
        <v/>
      </c>
      <c r="E47" s="206"/>
      <c r="F47" s="214" t="str">
        <f ca="1">IF(AND(C41&lt;&gt;"",C43&lt;&gt;"先生"),
IF(COUNTIF(C41,"*【*"),"",OFFSET(変更先抽出【15時】!$A$1,A41-1,34)),"")</f>
        <v/>
      </c>
      <c r="G47" s="206"/>
      <c r="I47" s="213" t="str">
        <f ca="1">IF(J41&lt;&gt;"",IFERROR(INT(J44/J46),""),"")</f>
        <v/>
      </c>
      <c r="J47" s="206"/>
      <c r="K47" s="213" t="str">
        <f ca="1">IF(J41&lt;&gt;"",IFERROR(MOD(J44,J46),""),"")</f>
        <v/>
      </c>
      <c r="L47" s="206"/>
      <c r="M47" s="214" t="str">
        <f ca="1">IF(AND(J41&lt;&gt;"",J43&lt;&gt;"先生"),
IF(COUNTIF(J41,"*【*"),"",OFFSET(変更先抽出【15時】!$A$1,H41-1,34)),"")</f>
        <v/>
      </c>
      <c r="N47" s="206"/>
      <c r="Q47" s="213" t="str">
        <f ca="1">IF(R41&lt;&gt;"",IFERROR(INT(R44/R46),""),"")</f>
        <v/>
      </c>
      <c r="R47" s="206"/>
      <c r="S47" s="213" t="str">
        <f ca="1">IF(R41&lt;&gt;"",IFERROR(MOD(R44,R46),""),"")</f>
        <v/>
      </c>
      <c r="T47" s="206"/>
      <c r="U47" s="214" t="str">
        <f ca="1">IF(AND(R41&lt;&gt;"",R43&lt;&gt;"先生"),
IF(COUNTIF(R41,"*【*"),"",OFFSET(変更先抽出【15時】!$A$1,P41-1,34)),"")</f>
        <v/>
      </c>
      <c r="V47" s="206"/>
      <c r="X47" s="213" t="str">
        <f ca="1">IF(Y41&lt;&gt;"",IFERROR(INT(Y44/Y46),""),"")</f>
        <v/>
      </c>
      <c r="Y47" s="206"/>
      <c r="Z47" s="213" t="str">
        <f ca="1">IF(Y41&lt;&gt;"",IFERROR(MOD(Y44,Y46),""),"")</f>
        <v/>
      </c>
      <c r="AA47" s="206"/>
      <c r="AB47" s="214" t="str">
        <f ca="1">IF(AND(Y41&lt;&gt;"",Y43&lt;&gt;"先生"),
IF(COUNTIF(Y41,"*【*"),"",OFFSET(変更先抽出【15時】!$A$1,W41-1,34)),"")</f>
        <v/>
      </c>
      <c r="AC47" s="206"/>
      <c r="AF47" s="213" t="str">
        <f ca="1">IF(AG41&lt;&gt;"",IFERROR(INT(AG44/AG46),""),"")</f>
        <v/>
      </c>
      <c r="AG47" s="206"/>
      <c r="AH47" s="213" t="str">
        <f ca="1">IF(AG41&lt;&gt;"",IFERROR(MOD(AG44,AG46),""),"")</f>
        <v/>
      </c>
      <c r="AI47" s="206"/>
      <c r="AJ47" s="214" t="str">
        <f ca="1">IF(AG41&lt;&gt;"",OFFSET(変更先抽出【15時】!$A$1,AE41-1,34),"")</f>
        <v/>
      </c>
      <c r="AK47" s="206"/>
      <c r="AM47" s="213" t="str">
        <f ca="1">IF(AN41&lt;&gt;"",IFERROR(INT(AN44/AN46),""),"")</f>
        <v/>
      </c>
      <c r="AN47" s="206"/>
      <c r="AO47" s="213" t="str">
        <f ca="1">IF(AN41&lt;&gt;"",IFERROR(MOD(AN44,AN46),""),"")</f>
        <v/>
      </c>
      <c r="AP47" s="206"/>
      <c r="AQ47" s="214" t="str">
        <f ca="1">IF(AN41&lt;&gt;"",OFFSET(変更先抽出【15時】!$A$1,AL41-1,34),"")</f>
        <v/>
      </c>
      <c r="AR47" s="206"/>
      <c r="AU47" s="213" t="str">
        <f ca="1">IF(AV41&lt;&gt;"",IFERROR(INT(AV44/AV46),""),"")</f>
        <v/>
      </c>
      <c r="AV47" s="206"/>
      <c r="AW47" s="213" t="str">
        <f ca="1">IF(AV41&lt;&gt;"",IFERROR(MOD(AV44,AV46),""),"")</f>
        <v/>
      </c>
      <c r="AX47" s="206"/>
      <c r="AY47" s="214" t="str">
        <f ca="1">IF(AV41&lt;&gt;"",OFFSET(変更先抽出【15時】!$A$1,AT41-1,34),"")</f>
        <v/>
      </c>
      <c r="AZ47" s="206"/>
      <c r="BB47" s="213" t="str">
        <f ca="1">IF(BC41&lt;&gt;"",IFERROR(INT(BC44/BC46),""),"")</f>
        <v/>
      </c>
      <c r="BC47" s="206"/>
      <c r="BD47" s="213" t="str">
        <f ca="1">IF(BC41&lt;&gt;"",IFERROR(MOD(BC44,BC46),""),"")</f>
        <v/>
      </c>
      <c r="BE47" s="206"/>
      <c r="BF47" s="214" t="str">
        <f ca="1">IF(BC41&lt;&gt;"",OFFSET(変更先抽出【15時】!$A$1,BA41-1,34),"")</f>
        <v/>
      </c>
      <c r="BG47" s="206"/>
      <c r="BJ47" s="213" t="str">
        <f ca="1">IF(BK41&lt;&gt;"",IFERROR(INT(BK44/BK46),""),"")</f>
        <v/>
      </c>
      <c r="BK47" s="206"/>
      <c r="BL47" s="213" t="str">
        <f ca="1">IF(BK41&lt;&gt;"",IFERROR(MOD(BK44,BK46),""),"")</f>
        <v/>
      </c>
      <c r="BM47" s="206"/>
      <c r="BN47" s="214" t="str">
        <f ca="1">IF(BK41&lt;&gt;"",OFFSET(変更先抽出【15時】!$A$1,BI41-1,34),"")</f>
        <v/>
      </c>
      <c r="BO47" s="206"/>
      <c r="BQ47" s="213" t="str">
        <f ca="1">IF(BR41&lt;&gt;"",IFERROR(INT(BR44/BR46),""),"")</f>
        <v/>
      </c>
      <c r="BR47" s="206"/>
      <c r="BS47" s="213" t="str">
        <f ca="1">IF(BR41&lt;&gt;"",IFERROR(MOD(BR44,BR46),""),"")</f>
        <v/>
      </c>
      <c r="BT47" s="206"/>
      <c r="BU47" s="214" t="str">
        <f ca="1">IF(BR41&lt;&gt;"",OFFSET(変更先抽出【15時】!$A$1,BP41-1,34),"")</f>
        <v/>
      </c>
      <c r="BV47" s="206"/>
      <c r="BY47" s="213" t="str">
        <f ca="1">IF(BZ41&lt;&gt;"",IFERROR(INT(BZ44/BZ46),""),"")</f>
        <v/>
      </c>
      <c r="BZ47" s="206"/>
      <c r="CA47" s="213" t="str">
        <f ca="1">IF(BZ41&lt;&gt;"",IFERROR(MOD(BZ44,BZ46),""),"")</f>
        <v/>
      </c>
      <c r="CB47" s="206"/>
      <c r="CC47" s="214" t="str">
        <f ca="1">IF(BZ41&lt;&gt;"",OFFSET(変更先抽出【15時】!$A$1,BX41-1,34),"")</f>
        <v/>
      </c>
      <c r="CD47" s="206"/>
      <c r="CF47" s="213" t="str">
        <f ca="1">IF(CG41&lt;&gt;"",IFERROR(INT(CG44/CG46),""),"")</f>
        <v/>
      </c>
      <c r="CG47" s="206"/>
      <c r="CH47" s="213" t="str">
        <f ca="1">IF(CG41&lt;&gt;"",IFERROR(MOD(CG44,CG46),""),"")</f>
        <v/>
      </c>
      <c r="CI47" s="206"/>
      <c r="CJ47" s="214" t="str">
        <f ca="1">IF(CG41&lt;&gt;"",OFFSET(変更先抽出【15時】!$A$1,CE41-1,34),"")</f>
        <v/>
      </c>
      <c r="CK47" s="206"/>
      <c r="CN47" s="213" t="str">
        <f ca="1">IF(CO41&lt;&gt;"",IFERROR(INT(CO44/CO46),""),"")</f>
        <v/>
      </c>
      <c r="CO47" s="206"/>
      <c r="CP47" s="213" t="str">
        <f ca="1">IF(CO41&lt;&gt;"",IFERROR(MOD(CO44,CO46),""),"")</f>
        <v/>
      </c>
      <c r="CQ47" s="206"/>
      <c r="CR47" s="214" t="str">
        <f ca="1">IF(CO41&lt;&gt;"",OFFSET(変更先抽出【15時】!$A$1,CM41-1,34),"")</f>
        <v/>
      </c>
      <c r="CS47" s="206"/>
      <c r="CU47" s="213" t="str">
        <f ca="1">IF(CV41&lt;&gt;"",IFERROR(INT(CV44/CV46),""),"")</f>
        <v/>
      </c>
      <c r="CV47" s="206"/>
      <c r="CW47" s="213" t="str">
        <f ca="1">IF(CV41&lt;&gt;"",IFERROR(MOD(CV44,CV46),""),"")</f>
        <v/>
      </c>
      <c r="CX47" s="206"/>
      <c r="CY47" s="214" t="str">
        <f ca="1">IF(CV41&lt;&gt;"",OFFSET(変更先抽出【15時】!$A$1,CT41-1,34),"")</f>
        <v/>
      </c>
      <c r="CZ47" s="206"/>
      <c r="DC47" s="213" t="str">
        <f ca="1">IF(DD41&lt;&gt;"",IFERROR(INT(DD44/DD46),""),"")</f>
        <v/>
      </c>
      <c r="DD47" s="206"/>
      <c r="DE47" s="213" t="str">
        <f ca="1">IF(DD41&lt;&gt;"",IFERROR(MOD(DD44,DD46),""),"")</f>
        <v/>
      </c>
      <c r="DF47" s="206"/>
      <c r="DG47" s="214" t="str">
        <f ca="1">IF(DD41&lt;&gt;"",OFFSET(変更先抽出【15時】!$A$1,DB41-1,34),"")</f>
        <v/>
      </c>
      <c r="DH47" s="206"/>
      <c r="DJ47" s="213" t="str">
        <f ca="1">IF(DK41&lt;&gt;"",IFERROR(INT(DK44/DK46),""),"")</f>
        <v/>
      </c>
      <c r="DK47" s="206"/>
      <c r="DL47" s="213" t="str">
        <f ca="1">IF(DK41&lt;&gt;"",IFERROR(MOD(DK44,DK46),""),"")</f>
        <v/>
      </c>
      <c r="DM47" s="206"/>
      <c r="DN47" s="214" t="str">
        <f ca="1">IF(DK41&lt;&gt;"",OFFSET(変更先抽出【15時】!$A$1,DI41-1,34),"")</f>
        <v/>
      </c>
      <c r="DO47" s="206"/>
      <c r="DR47" s="213" t="str">
        <f ca="1">IF(DS41&lt;&gt;"",IFERROR(INT(DS44/DS46),""),"")</f>
        <v/>
      </c>
      <c r="DS47" s="206"/>
      <c r="DT47" s="213" t="str">
        <f ca="1">IF(DS41&lt;&gt;"",IFERROR(MOD(DS44,DS46),""),"")</f>
        <v/>
      </c>
      <c r="DU47" s="206"/>
      <c r="DV47" s="214" t="str">
        <f ca="1">IF(DS41&lt;&gt;"",OFFSET(変更先抽出【15時】!$A$1,DQ41-1,34),"")</f>
        <v/>
      </c>
      <c r="DW47" s="206"/>
      <c r="DY47" s="213" t="str">
        <f ca="1">IF(DZ41&lt;&gt;"",IFERROR(INT(DZ44/DZ46),""),"")</f>
        <v/>
      </c>
      <c r="DZ47" s="206"/>
      <c r="EA47" s="213" t="str">
        <f ca="1">IF(DZ41&lt;&gt;"",IFERROR(MOD(DZ44,DZ46),""),"")</f>
        <v/>
      </c>
      <c r="EB47" s="206"/>
      <c r="EC47" s="214" t="str">
        <f ca="1">IF(DZ41&lt;&gt;"",OFFSET(変更先抽出【15時】!$A$1,DX41-1,34),"")</f>
        <v/>
      </c>
      <c r="ED47" s="206"/>
      <c r="EG47" s="213" t="str">
        <f ca="1">IF(EH41&lt;&gt;"",IFERROR(INT(EH44/EH46),""),"")</f>
        <v/>
      </c>
      <c r="EH47" s="206"/>
      <c r="EI47" s="213" t="str">
        <f ca="1">IF(EH41&lt;&gt;"",IFERROR(MOD(EH44,EH46),""),"")</f>
        <v/>
      </c>
      <c r="EJ47" s="206"/>
      <c r="EK47" s="214" t="str">
        <f ca="1">IF(EH41&lt;&gt;"",OFFSET(変更先抽出【15時】!$A$1,EF41-1,34),"")</f>
        <v/>
      </c>
      <c r="EL47" s="206"/>
      <c r="EN47" s="213" t="str">
        <f ca="1">IF(EO41&lt;&gt;"",IFERROR(INT(EO44/EO46),""),"")</f>
        <v/>
      </c>
      <c r="EO47" s="206"/>
      <c r="EP47" s="213" t="str">
        <f ca="1">IF(EO41&lt;&gt;"",IFERROR(MOD(EO44,EO46),""),"")</f>
        <v/>
      </c>
      <c r="EQ47" s="206"/>
      <c r="ER47" s="214" t="str">
        <f ca="1">IF(EO41&lt;&gt;"",OFFSET(変更先抽出【15時】!$A$1,EM41-1,34),"")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AO7:AP7"/>
    <mergeCell ref="EO12:EP13"/>
    <mergeCell ref="BN4:BO5"/>
    <mergeCell ref="AV35:AW35"/>
    <mergeCell ref="BF44:BG45"/>
    <mergeCell ref="BJ7:BK7"/>
    <mergeCell ref="BL7:BM7"/>
    <mergeCell ref="DR7:DS7"/>
    <mergeCell ref="F36:G37"/>
    <mergeCell ref="K7:L7"/>
    <mergeCell ref="EO41:ER41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EC7:ED7"/>
    <mergeCell ref="DK28:DL29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J36:K37"/>
    <mergeCell ref="CH39:CI39"/>
    <mergeCell ref="BR11:BS11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AV36:AW37"/>
    <mergeCell ref="BN15:BO15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I7:J7"/>
    <mergeCell ref="EN39:EO39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F47:BG47"/>
    <mergeCell ref="CO27:CP27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BJ23:BK23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BU23:BV23"/>
    <mergeCell ref="AQ7:AR7"/>
    <mergeCell ref="Y41:AB41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A17" workbookViewId="0">
      <selection activeCell="C26" sqref="C26"/>
    </sheetView>
  </sheetViews>
  <sheetFormatPr defaultRowHeight="18" x14ac:dyDescent="0.45"/>
  <cols>
    <col min="3" max="3" width="25.296875" style="147" customWidth="1"/>
    <col min="4" max="4" width="20.296875" style="147" customWidth="1"/>
    <col min="6" max="6" width="12.19921875" style="147" customWidth="1"/>
    <col min="10" max="19" width="6.796875" style="147" customWidth="1"/>
  </cols>
  <sheetData>
    <row r="1" spans="1:21" x14ac:dyDescent="0.45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</row>
    <row r="2" spans="1:21" x14ac:dyDescent="0.45">
      <c r="A2" t="s">
        <v>8</v>
      </c>
      <c r="B2" t="s">
        <v>8</v>
      </c>
      <c r="C2" t="s">
        <v>191</v>
      </c>
      <c r="D2" t="s">
        <v>0</v>
      </c>
      <c r="E2" s="97" t="s">
        <v>2</v>
      </c>
      <c r="F2" t="s">
        <v>67</v>
      </c>
      <c r="G2" t="s">
        <v>3</v>
      </c>
      <c r="H2" t="s">
        <v>8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67</v>
      </c>
      <c r="U2" s="95" t="s">
        <v>192</v>
      </c>
    </row>
    <row r="3" spans="1:21" x14ac:dyDescent="0.45">
      <c r="A3" t="s">
        <v>67</v>
      </c>
      <c r="B3" t="s">
        <v>3</v>
      </c>
      <c r="C3" t="s">
        <v>193</v>
      </c>
      <c r="D3" t="s">
        <v>194</v>
      </c>
      <c r="E3" s="97" t="s">
        <v>6</v>
      </c>
      <c r="F3" t="s">
        <v>3</v>
      </c>
      <c r="G3" t="s">
        <v>3</v>
      </c>
      <c r="H3" t="s">
        <v>8</v>
      </c>
      <c r="I3" t="s">
        <v>90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67</v>
      </c>
      <c r="U3" s="95" t="s">
        <v>195</v>
      </c>
    </row>
    <row r="4" spans="1:21" x14ac:dyDescent="0.45">
      <c r="A4" t="s">
        <v>105</v>
      </c>
      <c r="B4" t="s">
        <v>8</v>
      </c>
      <c r="C4" t="s">
        <v>196</v>
      </c>
      <c r="D4" t="s">
        <v>197</v>
      </c>
      <c r="E4" s="97" t="s">
        <v>3</v>
      </c>
      <c r="F4" t="s">
        <v>105</v>
      </c>
      <c r="G4" t="s">
        <v>3</v>
      </c>
      <c r="H4" t="s">
        <v>8</v>
      </c>
      <c r="I4" t="s">
        <v>90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67</v>
      </c>
      <c r="U4" s="95" t="s">
        <v>198</v>
      </c>
    </row>
    <row r="5" spans="1:21" x14ac:dyDescent="0.45">
      <c r="A5" t="s">
        <v>102</v>
      </c>
      <c r="B5" t="s">
        <v>3</v>
      </c>
      <c r="C5" t="s">
        <v>199</v>
      </c>
      <c r="D5" t="s">
        <v>200</v>
      </c>
      <c r="E5" s="97" t="s">
        <v>3</v>
      </c>
      <c r="F5" t="s">
        <v>102</v>
      </c>
      <c r="G5" t="s">
        <v>3</v>
      </c>
      <c r="H5" t="s">
        <v>8</v>
      </c>
      <c r="I5" t="s">
        <v>90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67</v>
      </c>
      <c r="U5" s="95" t="s">
        <v>201</v>
      </c>
    </row>
    <row r="6" spans="1:21" x14ac:dyDescent="0.45">
      <c r="A6" t="s">
        <v>94</v>
      </c>
      <c r="B6" t="s">
        <v>8</v>
      </c>
      <c r="C6" t="s">
        <v>191</v>
      </c>
      <c r="D6" t="s">
        <v>202</v>
      </c>
      <c r="E6" s="97" t="s">
        <v>203</v>
      </c>
      <c r="F6" t="s">
        <v>114</v>
      </c>
      <c r="G6" t="s">
        <v>3</v>
      </c>
      <c r="H6" t="s">
        <v>8</v>
      </c>
      <c r="I6" t="s">
        <v>1</v>
      </c>
      <c r="J6" t="s">
        <v>204</v>
      </c>
      <c r="K6" t="s">
        <v>8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67</v>
      </c>
      <c r="U6" s="95" t="s">
        <v>205</v>
      </c>
    </row>
    <row r="7" spans="1:21" x14ac:dyDescent="0.45">
      <c r="A7" t="s">
        <v>114</v>
      </c>
      <c r="B7" t="s">
        <v>3</v>
      </c>
      <c r="C7" t="s">
        <v>193</v>
      </c>
      <c r="D7" t="s">
        <v>206</v>
      </c>
      <c r="E7" s="97" t="s">
        <v>6</v>
      </c>
      <c r="F7" t="s">
        <v>3</v>
      </c>
      <c r="G7" t="s">
        <v>3</v>
      </c>
      <c r="H7" t="s">
        <v>8</v>
      </c>
      <c r="I7" t="s">
        <v>90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67</v>
      </c>
      <c r="U7" s="95" t="s">
        <v>207</v>
      </c>
    </row>
    <row r="8" spans="1:21" x14ac:dyDescent="0.45">
      <c r="A8" t="s">
        <v>79</v>
      </c>
      <c r="B8" t="s">
        <v>8</v>
      </c>
      <c r="C8" t="s">
        <v>208</v>
      </c>
      <c r="D8" t="s">
        <v>209</v>
      </c>
      <c r="E8" s="97" t="s">
        <v>203</v>
      </c>
      <c r="F8" t="s">
        <v>107</v>
      </c>
      <c r="G8" t="s">
        <v>3</v>
      </c>
      <c r="H8" t="s">
        <v>8</v>
      </c>
      <c r="I8" t="s">
        <v>1</v>
      </c>
      <c r="J8" t="s">
        <v>210</v>
      </c>
      <c r="K8" t="s">
        <v>8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67</v>
      </c>
      <c r="U8" s="95" t="s">
        <v>211</v>
      </c>
    </row>
    <row r="9" spans="1:21" x14ac:dyDescent="0.45">
      <c r="A9" t="s">
        <v>107</v>
      </c>
      <c r="B9" t="s">
        <v>3</v>
      </c>
      <c r="C9" t="s">
        <v>193</v>
      </c>
      <c r="D9" t="s">
        <v>212</v>
      </c>
      <c r="E9" s="97" t="s">
        <v>6</v>
      </c>
      <c r="F9" t="s">
        <v>3</v>
      </c>
      <c r="G9" t="s">
        <v>3</v>
      </c>
      <c r="H9" t="s">
        <v>8</v>
      </c>
      <c r="I9" t="s">
        <v>90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67</v>
      </c>
      <c r="U9" s="95" t="s">
        <v>213</v>
      </c>
    </row>
    <row r="10" spans="1:21" x14ac:dyDescent="0.45">
      <c r="A10" t="s">
        <v>214</v>
      </c>
      <c r="B10" t="s">
        <v>8</v>
      </c>
      <c r="C10" t="s">
        <v>215</v>
      </c>
      <c r="D10" t="s">
        <v>216</v>
      </c>
      <c r="E10" s="97" t="s">
        <v>3</v>
      </c>
      <c r="F10" t="s">
        <v>116</v>
      </c>
      <c r="G10" t="s">
        <v>8</v>
      </c>
      <c r="H10" t="s">
        <v>67</v>
      </c>
      <c r="I10" t="s">
        <v>3</v>
      </c>
      <c r="J10" t="s">
        <v>216</v>
      </c>
      <c r="K10" t="s">
        <v>3</v>
      </c>
      <c r="L10" t="s">
        <v>217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67</v>
      </c>
      <c r="U10" s="95" t="s">
        <v>218</v>
      </c>
    </row>
    <row r="11" spans="1:21" x14ac:dyDescent="0.45">
      <c r="A11" t="s">
        <v>116</v>
      </c>
      <c r="B11" t="s">
        <v>8</v>
      </c>
      <c r="C11" t="s">
        <v>219</v>
      </c>
      <c r="D11" t="s">
        <v>219</v>
      </c>
      <c r="E11" s="97" t="s">
        <v>3</v>
      </c>
      <c r="F11" t="s">
        <v>3</v>
      </c>
      <c r="G11" t="s">
        <v>8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67</v>
      </c>
      <c r="U11" s="95" t="s">
        <v>220</v>
      </c>
    </row>
    <row r="12" spans="1:21" x14ac:dyDescent="0.45">
      <c r="A12" t="s">
        <v>1</v>
      </c>
      <c r="B12" t="s">
        <v>8</v>
      </c>
      <c r="C12" t="s">
        <v>221</v>
      </c>
      <c r="D12" t="s">
        <v>5</v>
      </c>
      <c r="E12" s="97" t="s">
        <v>7</v>
      </c>
      <c r="F12" t="s">
        <v>99</v>
      </c>
      <c r="G12" t="s">
        <v>8</v>
      </c>
      <c r="H12" t="s">
        <v>8</v>
      </c>
      <c r="I12" t="s">
        <v>6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67</v>
      </c>
      <c r="U12" s="95" t="s">
        <v>222</v>
      </c>
    </row>
    <row r="13" spans="1:21" x14ac:dyDescent="0.45">
      <c r="A13" t="s">
        <v>99</v>
      </c>
      <c r="B13" t="s">
        <v>8</v>
      </c>
      <c r="C13" t="s">
        <v>223</v>
      </c>
      <c r="D13" t="s">
        <v>5</v>
      </c>
      <c r="E13" s="97" t="s">
        <v>7</v>
      </c>
      <c r="F13" t="s">
        <v>99</v>
      </c>
      <c r="G13" t="s">
        <v>8</v>
      </c>
      <c r="H13" t="s">
        <v>8</v>
      </c>
      <c r="I13" t="s">
        <v>6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67</v>
      </c>
      <c r="U13" s="95" t="s">
        <v>224</v>
      </c>
    </row>
    <row r="14" spans="1:21" x14ac:dyDescent="0.45">
      <c r="A14" t="s">
        <v>92</v>
      </c>
      <c r="B14" t="s">
        <v>8</v>
      </c>
      <c r="C14" t="s">
        <v>225</v>
      </c>
      <c r="D14" t="s">
        <v>225</v>
      </c>
      <c r="E14" s="97" t="s">
        <v>3</v>
      </c>
      <c r="F14" t="s">
        <v>3</v>
      </c>
      <c r="G14" t="s">
        <v>8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67</v>
      </c>
      <c r="U14" s="95" t="s">
        <v>226</v>
      </c>
    </row>
    <row r="15" spans="1:21" x14ac:dyDescent="0.45">
      <c r="A15" t="s">
        <v>109</v>
      </c>
      <c r="B15" t="s">
        <v>8</v>
      </c>
      <c r="C15" t="s">
        <v>227</v>
      </c>
      <c r="D15" t="s">
        <v>227</v>
      </c>
      <c r="E15" s="97" t="s">
        <v>3</v>
      </c>
      <c r="F15" t="s">
        <v>3</v>
      </c>
      <c r="G15" t="s">
        <v>8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67</v>
      </c>
      <c r="U15" s="95" t="s">
        <v>228</v>
      </c>
    </row>
    <row r="16" spans="1:21" x14ac:dyDescent="0.45">
      <c r="A16" t="s">
        <v>229</v>
      </c>
      <c r="B16" t="s">
        <v>8</v>
      </c>
      <c r="C16" t="s">
        <v>230</v>
      </c>
      <c r="D16" t="s">
        <v>230</v>
      </c>
      <c r="E16" s="97" t="s">
        <v>3</v>
      </c>
      <c r="F16" t="s">
        <v>3</v>
      </c>
      <c r="G16" t="s">
        <v>8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67</v>
      </c>
      <c r="U16" s="95" t="s">
        <v>231</v>
      </c>
    </row>
    <row r="17" spans="1:21" x14ac:dyDescent="0.45">
      <c r="A17" t="s">
        <v>82</v>
      </c>
      <c r="B17" t="s">
        <v>8</v>
      </c>
      <c r="C17" t="s">
        <v>232</v>
      </c>
      <c r="D17" t="s">
        <v>232</v>
      </c>
      <c r="E17" s="97" t="s">
        <v>3</v>
      </c>
      <c r="F17" t="s">
        <v>3</v>
      </c>
      <c r="G17" t="s">
        <v>8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67</v>
      </c>
      <c r="U17" s="95" t="s">
        <v>233</v>
      </c>
    </row>
    <row r="18" spans="1:21" x14ac:dyDescent="0.45">
      <c r="A18" t="s">
        <v>6</v>
      </c>
      <c r="B18" t="s">
        <v>3</v>
      </c>
      <c r="C18" t="s">
        <v>234</v>
      </c>
      <c r="D18" t="s">
        <v>234</v>
      </c>
      <c r="E18" s="97" t="s">
        <v>3</v>
      </c>
      <c r="F18" t="s">
        <v>235</v>
      </c>
      <c r="G18" t="s">
        <v>8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67</v>
      </c>
      <c r="U18" s="95" t="s">
        <v>236</v>
      </c>
    </row>
    <row r="19" spans="1:21" x14ac:dyDescent="0.45">
      <c r="A19" t="s">
        <v>235</v>
      </c>
      <c r="B19" t="s">
        <v>3</v>
      </c>
      <c r="C19" t="s">
        <v>237</v>
      </c>
      <c r="D19" t="s">
        <v>237</v>
      </c>
      <c r="E19" s="97" t="s">
        <v>3</v>
      </c>
      <c r="F19" t="s">
        <v>3</v>
      </c>
      <c r="G19" t="s">
        <v>8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67</v>
      </c>
      <c r="U19" s="95" t="s">
        <v>238</v>
      </c>
    </row>
    <row r="20" spans="1:21" x14ac:dyDescent="0.45">
      <c r="A20" t="s">
        <v>239</v>
      </c>
      <c r="B20" t="s">
        <v>8</v>
      </c>
      <c r="C20" t="s">
        <v>240</v>
      </c>
      <c r="D20" t="s">
        <v>241</v>
      </c>
      <c r="E20" s="97" t="s">
        <v>2</v>
      </c>
      <c r="F20" t="s">
        <v>242</v>
      </c>
      <c r="G20" t="s">
        <v>8</v>
      </c>
      <c r="H20" t="s">
        <v>8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67</v>
      </c>
      <c r="U20" s="95" t="s">
        <v>243</v>
      </c>
    </row>
    <row r="21" spans="1:21" x14ac:dyDescent="0.45">
      <c r="A21" t="s">
        <v>242</v>
      </c>
      <c r="B21" t="s">
        <v>3</v>
      </c>
      <c r="C21" t="s">
        <v>244</v>
      </c>
      <c r="D21" t="s">
        <v>245</v>
      </c>
      <c r="E21" s="97" t="s">
        <v>6</v>
      </c>
      <c r="F21" t="s">
        <v>3</v>
      </c>
      <c r="G21" t="s">
        <v>8</v>
      </c>
      <c r="H21" t="s">
        <v>8</v>
      </c>
      <c r="I21" t="s">
        <v>90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67</v>
      </c>
      <c r="U21" s="95" t="s">
        <v>246</v>
      </c>
    </row>
    <row r="22" spans="1:21" x14ac:dyDescent="0.45">
      <c r="A22" t="s">
        <v>247</v>
      </c>
      <c r="B22" t="s">
        <v>8</v>
      </c>
      <c r="C22" t="s">
        <v>240</v>
      </c>
      <c r="D22" t="s">
        <v>248</v>
      </c>
      <c r="E22" s="97" t="s">
        <v>203</v>
      </c>
      <c r="F22" t="s">
        <v>249</v>
      </c>
      <c r="G22" t="s">
        <v>8</v>
      </c>
      <c r="H22" t="s">
        <v>8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67</v>
      </c>
      <c r="U22" s="95" t="s">
        <v>250</v>
      </c>
    </row>
    <row r="23" spans="1:21" x14ac:dyDescent="0.45">
      <c r="A23" t="s">
        <v>249</v>
      </c>
      <c r="B23" t="s">
        <v>3</v>
      </c>
      <c r="C23" t="s">
        <v>244</v>
      </c>
      <c r="D23" t="s">
        <v>251</v>
      </c>
      <c r="E23" s="97" t="s">
        <v>6</v>
      </c>
      <c r="F23" t="s">
        <v>3</v>
      </c>
      <c r="G23" t="s">
        <v>8</v>
      </c>
      <c r="H23" t="s">
        <v>8</v>
      </c>
      <c r="I23" t="s">
        <v>90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67</v>
      </c>
      <c r="U23" s="95" t="s">
        <v>252</v>
      </c>
    </row>
    <row r="24" spans="1:21" x14ac:dyDescent="0.45">
      <c r="A24" t="s">
        <v>253</v>
      </c>
      <c r="B24" t="s">
        <v>8</v>
      </c>
      <c r="C24" t="s">
        <v>254</v>
      </c>
      <c r="D24" t="s">
        <v>10</v>
      </c>
      <c r="E24" s="97" t="s">
        <v>3</v>
      </c>
      <c r="F24" t="s">
        <v>255</v>
      </c>
      <c r="G24" t="s">
        <v>8</v>
      </c>
      <c r="H24" t="s">
        <v>8</v>
      </c>
      <c r="I24" t="s">
        <v>11</v>
      </c>
      <c r="J24" t="s">
        <v>217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67</v>
      </c>
      <c r="U24" s="95" t="s">
        <v>256</v>
      </c>
    </row>
    <row r="25" spans="1:21" x14ac:dyDescent="0.45">
      <c r="A25" t="s">
        <v>255</v>
      </c>
      <c r="B25" t="s">
        <v>3</v>
      </c>
      <c r="C25" t="s">
        <v>257</v>
      </c>
      <c r="D25" t="s">
        <v>258</v>
      </c>
      <c r="E25" s="97" t="s">
        <v>3</v>
      </c>
      <c r="F25" t="s">
        <v>3</v>
      </c>
      <c r="G25" t="s">
        <v>8</v>
      </c>
      <c r="H25" t="s">
        <v>8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67</v>
      </c>
      <c r="U25" s="95" t="s">
        <v>259</v>
      </c>
    </row>
    <row r="26" spans="1:21" x14ac:dyDescent="0.45">
      <c r="A26" t="s">
        <v>78</v>
      </c>
      <c r="B26" t="s">
        <v>8</v>
      </c>
      <c r="C26" t="s">
        <v>260</v>
      </c>
      <c r="D26" t="s">
        <v>261</v>
      </c>
      <c r="E26" s="97" t="s">
        <v>262</v>
      </c>
      <c r="F26" t="s">
        <v>263</v>
      </c>
      <c r="G26" t="s">
        <v>8</v>
      </c>
      <c r="H26" t="s">
        <v>8</v>
      </c>
      <c r="I26" t="s">
        <v>135</v>
      </c>
      <c r="J26" t="s">
        <v>264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67</v>
      </c>
      <c r="U26" s="95" t="s">
        <v>265</v>
      </c>
    </row>
    <row r="27" spans="1:21" x14ac:dyDescent="0.45">
      <c r="A27" t="s">
        <v>263</v>
      </c>
      <c r="B27" t="s">
        <v>3</v>
      </c>
      <c r="C27" t="s">
        <v>266</v>
      </c>
      <c r="D27" t="s">
        <v>266</v>
      </c>
      <c r="E27" s="97" t="s">
        <v>3</v>
      </c>
      <c r="F27" t="s">
        <v>3</v>
      </c>
      <c r="G27" t="s">
        <v>8</v>
      </c>
      <c r="H27" t="s">
        <v>8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67</v>
      </c>
      <c r="U27" s="95" t="s">
        <v>267</v>
      </c>
    </row>
    <row r="28" spans="1:21" x14ac:dyDescent="0.45">
      <c r="A28" t="s">
        <v>268</v>
      </c>
      <c r="B28" t="s">
        <v>8</v>
      </c>
      <c r="C28" t="s">
        <v>269</v>
      </c>
      <c r="D28" t="s">
        <v>270</v>
      </c>
      <c r="E28" s="97" t="s">
        <v>3</v>
      </c>
      <c r="F28" t="s">
        <v>271</v>
      </c>
      <c r="G28" t="s">
        <v>8</v>
      </c>
      <c r="H28" t="s">
        <v>8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67</v>
      </c>
      <c r="U28" s="95" t="s">
        <v>272</v>
      </c>
    </row>
    <row r="29" spans="1:21" x14ac:dyDescent="0.45">
      <c r="A29" t="s">
        <v>271</v>
      </c>
      <c r="B29" t="s">
        <v>3</v>
      </c>
      <c r="C29" t="s">
        <v>273</v>
      </c>
      <c r="D29" t="s">
        <v>273</v>
      </c>
      <c r="E29" s="97" t="s">
        <v>3</v>
      </c>
      <c r="F29" t="s">
        <v>3</v>
      </c>
      <c r="G29" t="s">
        <v>8</v>
      </c>
      <c r="H29" t="s">
        <v>8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67</v>
      </c>
      <c r="U29" s="95" t="s">
        <v>274</v>
      </c>
    </row>
    <row r="30" spans="1:21" x14ac:dyDescent="0.45">
      <c r="A30" t="s">
        <v>275</v>
      </c>
      <c r="B30" t="s">
        <v>8</v>
      </c>
      <c r="C30" t="s">
        <v>276</v>
      </c>
      <c r="D30" t="s">
        <v>277</v>
      </c>
      <c r="E30" s="97" t="s">
        <v>3</v>
      </c>
      <c r="F30" t="s">
        <v>60</v>
      </c>
      <c r="G30" t="s">
        <v>8</v>
      </c>
      <c r="H30" t="s">
        <v>8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67</v>
      </c>
      <c r="U30" s="95" t="s">
        <v>278</v>
      </c>
    </row>
    <row r="31" spans="1:21" x14ac:dyDescent="0.45">
      <c r="A31" t="s">
        <v>60</v>
      </c>
      <c r="B31" t="s">
        <v>3</v>
      </c>
      <c r="C31" t="s">
        <v>279</v>
      </c>
      <c r="D31" t="s">
        <v>279</v>
      </c>
      <c r="E31" s="97" t="s">
        <v>3</v>
      </c>
      <c r="F31" t="s">
        <v>3</v>
      </c>
      <c r="G31" t="s">
        <v>8</v>
      </c>
      <c r="H31" t="s">
        <v>8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67</v>
      </c>
      <c r="U31" s="95" t="s">
        <v>280</v>
      </c>
    </row>
    <row r="32" spans="1:21" x14ac:dyDescent="0.45">
      <c r="A32" t="s">
        <v>281</v>
      </c>
      <c r="B32" t="s">
        <v>8</v>
      </c>
      <c r="C32" t="s">
        <v>282</v>
      </c>
      <c r="D32" t="s">
        <v>283</v>
      </c>
      <c r="E32" s="97" t="s">
        <v>3</v>
      </c>
      <c r="F32" t="s">
        <v>284</v>
      </c>
      <c r="G32" t="s">
        <v>8</v>
      </c>
      <c r="H32" t="s">
        <v>8</v>
      </c>
      <c r="I32" t="s">
        <v>135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67</v>
      </c>
      <c r="U32" s="95" t="s">
        <v>285</v>
      </c>
    </row>
    <row r="33" spans="1:21" x14ac:dyDescent="0.45">
      <c r="A33" t="s">
        <v>284</v>
      </c>
      <c r="B33" t="s">
        <v>3</v>
      </c>
      <c r="C33" t="s">
        <v>286</v>
      </c>
      <c r="D33" t="s">
        <v>286</v>
      </c>
      <c r="E33" s="97" t="s">
        <v>3</v>
      </c>
      <c r="F33" t="s">
        <v>3</v>
      </c>
      <c r="G33" t="s">
        <v>8</v>
      </c>
      <c r="H33" t="s">
        <v>8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67</v>
      </c>
      <c r="U33" s="95" t="s">
        <v>287</v>
      </c>
    </row>
    <row r="34" spans="1:21" x14ac:dyDescent="0.45">
      <c r="A34" t="s">
        <v>288</v>
      </c>
      <c r="B34" t="s">
        <v>8</v>
      </c>
      <c r="C34" t="s">
        <v>289</v>
      </c>
      <c r="D34" t="s">
        <v>290</v>
      </c>
      <c r="E34" s="97" t="s">
        <v>3</v>
      </c>
      <c r="F34" t="s">
        <v>291</v>
      </c>
      <c r="G34" t="s">
        <v>8</v>
      </c>
      <c r="H34" t="s">
        <v>67</v>
      </c>
      <c r="I34" t="s">
        <v>3</v>
      </c>
      <c r="J34" t="s">
        <v>204</v>
      </c>
      <c r="K34" t="s">
        <v>8</v>
      </c>
      <c r="L34" t="s">
        <v>292</v>
      </c>
      <c r="M34" t="s">
        <v>3</v>
      </c>
      <c r="N34" t="s">
        <v>217</v>
      </c>
      <c r="O34" t="s">
        <v>3</v>
      </c>
      <c r="P34"/>
      <c r="Q34" t="s">
        <v>3</v>
      </c>
      <c r="R34"/>
      <c r="S34" t="s">
        <v>3</v>
      </c>
      <c r="T34" t="s">
        <v>67</v>
      </c>
      <c r="U34" s="95" t="s">
        <v>293</v>
      </c>
    </row>
    <row r="35" spans="1:21" x14ac:dyDescent="0.45">
      <c r="A35" t="s">
        <v>291</v>
      </c>
      <c r="B35" t="s">
        <v>3</v>
      </c>
      <c r="C35" t="s">
        <v>294</v>
      </c>
      <c r="D35" t="s">
        <v>294</v>
      </c>
      <c r="E35" s="97" t="s">
        <v>3</v>
      </c>
      <c r="F35" t="s">
        <v>3</v>
      </c>
      <c r="G35" t="s">
        <v>8</v>
      </c>
      <c r="H35" t="s">
        <v>67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67</v>
      </c>
      <c r="U35" s="95" t="s">
        <v>295</v>
      </c>
    </row>
    <row r="36" spans="1:21" x14ac:dyDescent="0.45">
      <c r="A36" t="s">
        <v>296</v>
      </c>
      <c r="B36" t="s">
        <v>8</v>
      </c>
      <c r="C36" t="s">
        <v>297</v>
      </c>
      <c r="D36" t="s">
        <v>298</v>
      </c>
      <c r="E36" s="97" t="s">
        <v>3</v>
      </c>
      <c r="F36" t="s">
        <v>299</v>
      </c>
      <c r="G36" t="s">
        <v>8</v>
      </c>
      <c r="H36" t="s">
        <v>67</v>
      </c>
      <c r="I36" t="s">
        <v>3</v>
      </c>
      <c r="J36" t="s">
        <v>204</v>
      </c>
      <c r="K36" t="s">
        <v>8</v>
      </c>
      <c r="L36" t="s">
        <v>292</v>
      </c>
      <c r="M36" t="s">
        <v>3</v>
      </c>
      <c r="N36" t="s">
        <v>217</v>
      </c>
      <c r="O36" t="s">
        <v>3</v>
      </c>
      <c r="P36"/>
      <c r="Q36" t="s">
        <v>3</v>
      </c>
      <c r="R36"/>
      <c r="S36" t="s">
        <v>3</v>
      </c>
      <c r="T36" t="s">
        <v>67</v>
      </c>
      <c r="U36" s="95" t="s">
        <v>300</v>
      </c>
    </row>
    <row r="37" spans="1:21" x14ac:dyDescent="0.45">
      <c r="A37" t="s">
        <v>299</v>
      </c>
      <c r="B37" t="s">
        <v>3</v>
      </c>
      <c r="C37" t="s">
        <v>301</v>
      </c>
      <c r="D37" t="s">
        <v>301</v>
      </c>
      <c r="E37" s="97" t="s">
        <v>3</v>
      </c>
      <c r="F37" t="s">
        <v>3</v>
      </c>
      <c r="G37" t="s">
        <v>8</v>
      </c>
      <c r="H37" t="s">
        <v>67</v>
      </c>
      <c r="I37" t="s">
        <v>3</v>
      </c>
      <c r="J37" t="s">
        <v>204</v>
      </c>
      <c r="K37" t="s">
        <v>8</v>
      </c>
      <c r="L37" t="s">
        <v>292</v>
      </c>
      <c r="M37" t="s">
        <v>3</v>
      </c>
      <c r="N37" t="s">
        <v>217</v>
      </c>
      <c r="O37" t="s">
        <v>3</v>
      </c>
      <c r="P37"/>
      <c r="Q37" t="s">
        <v>3</v>
      </c>
      <c r="R37"/>
      <c r="S37" t="s">
        <v>3</v>
      </c>
      <c r="T37" t="s">
        <v>67</v>
      </c>
      <c r="U37" s="95" t="s">
        <v>302</v>
      </c>
    </row>
    <row r="38" spans="1:21" x14ac:dyDescent="0.45">
      <c r="A38" t="s">
        <v>303</v>
      </c>
      <c r="B38" t="s">
        <v>8</v>
      </c>
      <c r="C38" t="s">
        <v>304</v>
      </c>
      <c r="D38" t="s">
        <v>305</v>
      </c>
      <c r="E38" s="97" t="s">
        <v>3</v>
      </c>
      <c r="F38" t="s">
        <v>306</v>
      </c>
      <c r="G38" t="s">
        <v>8</v>
      </c>
      <c r="H38" t="s">
        <v>67</v>
      </c>
      <c r="I38" t="s">
        <v>3</v>
      </c>
      <c r="J38" t="s">
        <v>305</v>
      </c>
      <c r="K38" t="s">
        <v>3</v>
      </c>
      <c r="L38" t="s">
        <v>217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67</v>
      </c>
      <c r="U38" s="95" t="s">
        <v>307</v>
      </c>
    </row>
    <row r="39" spans="1:21" x14ac:dyDescent="0.45">
      <c r="A39" t="s">
        <v>306</v>
      </c>
      <c r="B39" t="s">
        <v>3</v>
      </c>
      <c r="C39" t="s">
        <v>308</v>
      </c>
      <c r="D39" t="s">
        <v>308</v>
      </c>
      <c r="E39" s="97" t="s">
        <v>3</v>
      </c>
      <c r="F39" t="s">
        <v>3</v>
      </c>
      <c r="G39" t="s">
        <v>8</v>
      </c>
      <c r="H39" t="s">
        <v>67</v>
      </c>
      <c r="I39" t="s">
        <v>3</v>
      </c>
      <c r="J39" t="s">
        <v>305</v>
      </c>
      <c r="K39" t="s">
        <v>3</v>
      </c>
      <c r="L39" t="s">
        <v>217</v>
      </c>
      <c r="M39" t="s">
        <v>3</v>
      </c>
      <c r="N39" t="s">
        <v>309</v>
      </c>
      <c r="O39" t="s">
        <v>3</v>
      </c>
      <c r="P39"/>
      <c r="Q39" t="s">
        <v>3</v>
      </c>
      <c r="R39"/>
      <c r="S39" t="s">
        <v>3</v>
      </c>
      <c r="T39" t="s">
        <v>67</v>
      </c>
      <c r="U39" s="95" t="s">
        <v>310</v>
      </c>
    </row>
    <row r="40" spans="1:21" x14ac:dyDescent="0.45">
      <c r="A40" t="s">
        <v>311</v>
      </c>
      <c r="B40" t="s">
        <v>8</v>
      </c>
      <c r="C40" t="s">
        <v>312</v>
      </c>
      <c r="D40" t="s">
        <v>313</v>
      </c>
      <c r="E40" s="97" t="s">
        <v>3</v>
      </c>
      <c r="F40" t="s">
        <v>314</v>
      </c>
      <c r="G40" t="s">
        <v>8</v>
      </c>
      <c r="H40" t="s">
        <v>67</v>
      </c>
      <c r="I40" t="s">
        <v>3</v>
      </c>
      <c r="J40" t="s">
        <v>315</v>
      </c>
      <c r="K40" t="s">
        <v>3</v>
      </c>
      <c r="L40" t="s">
        <v>313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67</v>
      </c>
      <c r="U40" s="95" t="s">
        <v>316</v>
      </c>
    </row>
    <row r="41" spans="1:21" x14ac:dyDescent="0.45">
      <c r="A41" t="s">
        <v>314</v>
      </c>
      <c r="B41" t="s">
        <v>3</v>
      </c>
      <c r="C41" t="s">
        <v>317</v>
      </c>
      <c r="D41" t="s">
        <v>317</v>
      </c>
      <c r="E41" s="97" t="s">
        <v>3</v>
      </c>
      <c r="F41" t="s">
        <v>3</v>
      </c>
      <c r="G41" t="s">
        <v>8</v>
      </c>
      <c r="H41" t="s">
        <v>67</v>
      </c>
      <c r="I41" t="s">
        <v>3</v>
      </c>
      <c r="J41" t="s">
        <v>309</v>
      </c>
      <c r="K41" t="s">
        <v>3</v>
      </c>
      <c r="L41" t="s">
        <v>313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67</v>
      </c>
      <c r="U41" s="95" t="s">
        <v>318</v>
      </c>
    </row>
    <row r="42" spans="1:21" x14ac:dyDescent="0.45">
      <c r="A42" t="s">
        <v>319</v>
      </c>
      <c r="B42" t="s">
        <v>8</v>
      </c>
      <c r="C42" t="s">
        <v>320</v>
      </c>
      <c r="D42" t="s">
        <v>321</v>
      </c>
      <c r="E42" s="97" t="s">
        <v>322</v>
      </c>
      <c r="F42" t="s">
        <v>323</v>
      </c>
      <c r="G42" t="s">
        <v>8</v>
      </c>
      <c r="H42" t="s">
        <v>67</v>
      </c>
      <c r="I42" t="s">
        <v>133</v>
      </c>
      <c r="J42" t="s">
        <v>204</v>
      </c>
      <c r="K42" t="s">
        <v>8</v>
      </c>
      <c r="L42" t="s">
        <v>313</v>
      </c>
      <c r="M42" t="s">
        <v>3</v>
      </c>
      <c r="N42" t="s">
        <v>324</v>
      </c>
      <c r="O42" t="s">
        <v>3</v>
      </c>
      <c r="P42"/>
      <c r="Q42" t="s">
        <v>3</v>
      </c>
      <c r="R42"/>
      <c r="S42" t="s">
        <v>3</v>
      </c>
      <c r="T42" t="s">
        <v>67</v>
      </c>
      <c r="U42" s="95" t="s">
        <v>325</v>
      </c>
    </row>
    <row r="43" spans="1:21" x14ac:dyDescent="0.45">
      <c r="A43" t="s">
        <v>323</v>
      </c>
      <c r="B43" t="s">
        <v>3</v>
      </c>
      <c r="C43" t="s">
        <v>326</v>
      </c>
      <c r="D43" t="s">
        <v>326</v>
      </c>
      <c r="E43" s="97" t="s">
        <v>3</v>
      </c>
      <c r="F43" t="s">
        <v>3</v>
      </c>
      <c r="G43" t="s">
        <v>8</v>
      </c>
      <c r="H43" t="s">
        <v>67</v>
      </c>
      <c r="I43" t="s">
        <v>3</v>
      </c>
      <c r="J43" t="s">
        <v>204</v>
      </c>
      <c r="K43" t="s">
        <v>8</v>
      </c>
      <c r="L43" t="s">
        <v>313</v>
      </c>
      <c r="M43" t="s">
        <v>3</v>
      </c>
      <c r="N43" t="s">
        <v>324</v>
      </c>
      <c r="O43" t="s">
        <v>3</v>
      </c>
      <c r="P43"/>
      <c r="Q43" t="s">
        <v>3</v>
      </c>
      <c r="R43"/>
      <c r="S43" t="s">
        <v>3</v>
      </c>
      <c r="T43" t="s">
        <v>67</v>
      </c>
      <c r="U43" s="95" t="s">
        <v>327</v>
      </c>
    </row>
    <row r="44" spans="1:21" x14ac:dyDescent="0.45">
      <c r="A44" t="s">
        <v>328</v>
      </c>
      <c r="B44" t="s">
        <v>8</v>
      </c>
      <c r="C44" t="s">
        <v>329</v>
      </c>
      <c r="D44" t="s">
        <v>330</v>
      </c>
      <c r="E44" s="97" t="s">
        <v>3</v>
      </c>
      <c r="F44" t="s">
        <v>331</v>
      </c>
      <c r="G44" t="s">
        <v>8</v>
      </c>
      <c r="H44" t="s">
        <v>8</v>
      </c>
      <c r="I44" t="s">
        <v>123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67</v>
      </c>
      <c r="U44" s="95" t="s">
        <v>332</v>
      </c>
    </row>
    <row r="45" spans="1:21" x14ac:dyDescent="0.45">
      <c r="A45" t="s">
        <v>331</v>
      </c>
      <c r="B45" t="s">
        <v>3</v>
      </c>
      <c r="C45" t="s">
        <v>333</v>
      </c>
      <c r="D45" t="s">
        <v>333</v>
      </c>
      <c r="E45" s="97" t="s">
        <v>3</v>
      </c>
      <c r="F45" t="s">
        <v>3</v>
      </c>
      <c r="G45" t="s">
        <v>8</v>
      </c>
      <c r="H45" t="s">
        <v>8</v>
      </c>
      <c r="I45" t="s">
        <v>79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67</v>
      </c>
      <c r="U45" s="95" t="s">
        <v>334</v>
      </c>
    </row>
    <row r="46" spans="1:21" x14ac:dyDescent="0.45">
      <c r="A46" t="s">
        <v>335</v>
      </c>
      <c r="B46" t="s">
        <v>8</v>
      </c>
      <c r="C46" t="s">
        <v>336</v>
      </c>
      <c r="D46" t="s">
        <v>337</v>
      </c>
      <c r="E46" s="97" t="s">
        <v>3</v>
      </c>
      <c r="F46" t="s">
        <v>262</v>
      </c>
      <c r="G46" t="s">
        <v>8</v>
      </c>
      <c r="H46" t="s">
        <v>8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67</v>
      </c>
      <c r="U46" s="95" t="s">
        <v>338</v>
      </c>
    </row>
    <row r="47" spans="1:21" x14ac:dyDescent="0.45">
      <c r="A47" t="s">
        <v>262</v>
      </c>
      <c r="B47" t="s">
        <v>3</v>
      </c>
      <c r="C47" t="s">
        <v>339</v>
      </c>
      <c r="D47" t="s">
        <v>339</v>
      </c>
      <c r="E47" s="97" t="s">
        <v>3</v>
      </c>
      <c r="F47" t="s">
        <v>3</v>
      </c>
      <c r="G47" t="s">
        <v>8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67</v>
      </c>
      <c r="U47" s="95" t="s">
        <v>340</v>
      </c>
    </row>
    <row r="48" spans="1:21" x14ac:dyDescent="0.45">
      <c r="A48" t="s">
        <v>149</v>
      </c>
      <c r="B48" t="s">
        <v>8</v>
      </c>
      <c r="C48" t="s">
        <v>341</v>
      </c>
      <c r="D48" t="s">
        <v>342</v>
      </c>
      <c r="E48" s="97" t="s">
        <v>3</v>
      </c>
      <c r="F48" t="s">
        <v>343</v>
      </c>
      <c r="G48" t="s">
        <v>8</v>
      </c>
      <c r="H48" t="s">
        <v>67</v>
      </c>
      <c r="I48" t="s">
        <v>3</v>
      </c>
      <c r="J48" t="s">
        <v>344</v>
      </c>
      <c r="K48" t="s">
        <v>3</v>
      </c>
      <c r="L48" t="s">
        <v>345</v>
      </c>
      <c r="M48" t="s">
        <v>3</v>
      </c>
      <c r="N48" t="s">
        <v>346</v>
      </c>
      <c r="O48" t="s">
        <v>3</v>
      </c>
      <c r="P48" t="s">
        <v>347</v>
      </c>
      <c r="Q48" t="s">
        <v>3</v>
      </c>
      <c r="R48" t="s">
        <v>348</v>
      </c>
      <c r="S48" t="s">
        <v>3</v>
      </c>
      <c r="T48" t="s">
        <v>67</v>
      </c>
      <c r="U48" s="95" t="s">
        <v>349</v>
      </c>
    </row>
    <row r="49" spans="1:21" x14ac:dyDescent="0.45">
      <c r="A49" t="s">
        <v>343</v>
      </c>
      <c r="B49" t="s">
        <v>3</v>
      </c>
      <c r="C49" t="s">
        <v>350</v>
      </c>
      <c r="D49" t="s">
        <v>350</v>
      </c>
      <c r="E49" s="97" t="s">
        <v>3</v>
      </c>
      <c r="F49" t="s">
        <v>3</v>
      </c>
      <c r="G49" t="s">
        <v>8</v>
      </c>
      <c r="H49" t="s">
        <v>67</v>
      </c>
      <c r="I49" t="s">
        <v>3</v>
      </c>
      <c r="J49" t="s">
        <v>217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67</v>
      </c>
      <c r="U49" s="95" t="s">
        <v>351</v>
      </c>
    </row>
    <row r="50" spans="1:21" x14ac:dyDescent="0.45">
      <c r="A50" t="s">
        <v>352</v>
      </c>
      <c r="B50" t="s">
        <v>8</v>
      </c>
      <c r="C50" t="s">
        <v>353</v>
      </c>
      <c r="D50" t="s">
        <v>354</v>
      </c>
      <c r="E50" s="97" t="s">
        <v>3</v>
      </c>
      <c r="F50" t="s">
        <v>3</v>
      </c>
      <c r="G50" t="s">
        <v>8</v>
      </c>
      <c r="H50" t="s">
        <v>67</v>
      </c>
      <c r="I50" t="s">
        <v>3</v>
      </c>
      <c r="J50" t="s">
        <v>354</v>
      </c>
      <c r="K50" t="s">
        <v>3</v>
      </c>
      <c r="L50" t="s">
        <v>315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67</v>
      </c>
      <c r="U50" s="95" t="s">
        <v>355</v>
      </c>
    </row>
    <row r="51" spans="1:21" x14ac:dyDescent="0.45">
      <c r="A51" t="s">
        <v>356</v>
      </c>
      <c r="B51" t="s">
        <v>3</v>
      </c>
      <c r="C51" t="s">
        <v>357</v>
      </c>
      <c r="D51" t="s">
        <v>357</v>
      </c>
      <c r="E51" s="97" t="s">
        <v>3</v>
      </c>
      <c r="F51" t="s">
        <v>3</v>
      </c>
      <c r="G51" t="s">
        <v>8</v>
      </c>
      <c r="H51" t="s">
        <v>67</v>
      </c>
      <c r="I51" t="s">
        <v>3</v>
      </c>
      <c r="J51" t="s">
        <v>354</v>
      </c>
      <c r="K51" t="s">
        <v>3</v>
      </c>
      <c r="L51" t="s">
        <v>315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67</v>
      </c>
      <c r="U51" s="95" t="s">
        <v>358</v>
      </c>
    </row>
    <row r="52" spans="1:21" x14ac:dyDescent="0.45">
      <c r="A52" t="s">
        <v>359</v>
      </c>
      <c r="B52" t="s">
        <v>8</v>
      </c>
      <c r="C52" t="s">
        <v>360</v>
      </c>
      <c r="D52" t="s">
        <v>361</v>
      </c>
      <c r="E52" s="97" t="s">
        <v>3</v>
      </c>
      <c r="F52" t="s">
        <v>89</v>
      </c>
      <c r="G52" t="s">
        <v>8</v>
      </c>
      <c r="H52" t="s">
        <v>67</v>
      </c>
      <c r="I52" t="s">
        <v>3</v>
      </c>
      <c r="J52" t="s">
        <v>361</v>
      </c>
      <c r="K52" t="s">
        <v>8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67</v>
      </c>
      <c r="U52" s="95" t="s">
        <v>362</v>
      </c>
    </row>
    <row r="53" spans="1:21" x14ac:dyDescent="0.45">
      <c r="A53" t="s">
        <v>89</v>
      </c>
      <c r="B53" t="s">
        <v>3</v>
      </c>
      <c r="C53" t="s">
        <v>363</v>
      </c>
      <c r="D53" t="s">
        <v>363</v>
      </c>
      <c r="E53" s="97" t="s">
        <v>3</v>
      </c>
      <c r="F53" t="s">
        <v>3</v>
      </c>
      <c r="G53" t="s">
        <v>8</v>
      </c>
      <c r="H53" t="s">
        <v>67</v>
      </c>
      <c r="I53" t="s">
        <v>3</v>
      </c>
      <c r="J53" t="s">
        <v>361</v>
      </c>
      <c r="K53" t="s">
        <v>8</v>
      </c>
      <c r="L53" t="s">
        <v>217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67</v>
      </c>
      <c r="U53" s="95" t="s">
        <v>364</v>
      </c>
    </row>
    <row r="54" spans="1:21" x14ac:dyDescent="0.45">
      <c r="A54" t="s">
        <v>365</v>
      </c>
      <c r="B54" t="s">
        <v>8</v>
      </c>
      <c r="C54" t="s">
        <v>366</v>
      </c>
      <c r="D54" t="s">
        <v>204</v>
      </c>
      <c r="E54" s="97" t="s">
        <v>3</v>
      </c>
      <c r="F54" t="s">
        <v>367</v>
      </c>
      <c r="G54" t="s">
        <v>8</v>
      </c>
      <c r="H54" t="s">
        <v>67</v>
      </c>
      <c r="I54" t="s">
        <v>3</v>
      </c>
      <c r="J54" t="s">
        <v>204</v>
      </c>
      <c r="K54" t="s">
        <v>8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67</v>
      </c>
      <c r="U54" s="95" t="s">
        <v>368</v>
      </c>
    </row>
    <row r="55" spans="1:21" x14ac:dyDescent="0.45">
      <c r="A55" t="s">
        <v>367</v>
      </c>
      <c r="B55" t="s">
        <v>3</v>
      </c>
      <c r="C55" t="s">
        <v>369</v>
      </c>
      <c r="D55" t="s">
        <v>369</v>
      </c>
      <c r="E55" s="97" t="s">
        <v>3</v>
      </c>
      <c r="F55" t="s">
        <v>3</v>
      </c>
      <c r="G55" t="s">
        <v>8</v>
      </c>
      <c r="H55" t="s">
        <v>67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67</v>
      </c>
      <c r="U55" s="95" t="s">
        <v>370</v>
      </c>
    </row>
    <row r="56" spans="1:21" x14ac:dyDescent="0.45">
      <c r="A56" t="s">
        <v>371</v>
      </c>
      <c r="B56" t="s">
        <v>8</v>
      </c>
      <c r="C56" t="s">
        <v>372</v>
      </c>
      <c r="D56" t="s">
        <v>52</v>
      </c>
      <c r="E56" s="97" t="s">
        <v>3</v>
      </c>
      <c r="F56" t="s">
        <v>373</v>
      </c>
      <c r="G56" t="s">
        <v>8</v>
      </c>
      <c r="H56" t="s">
        <v>8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67</v>
      </c>
      <c r="U56" s="95" t="s">
        <v>374</v>
      </c>
    </row>
    <row r="57" spans="1:21" x14ac:dyDescent="0.45">
      <c r="A57" t="s">
        <v>373</v>
      </c>
      <c r="B57" t="s">
        <v>3</v>
      </c>
      <c r="C57" t="s">
        <v>375</v>
      </c>
      <c r="D57" t="s">
        <v>375</v>
      </c>
      <c r="E57" s="97" t="s">
        <v>3</v>
      </c>
      <c r="F57" t="s">
        <v>3</v>
      </c>
      <c r="G57" t="s">
        <v>8</v>
      </c>
      <c r="H57" t="s">
        <v>8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67</v>
      </c>
      <c r="U57" s="95" t="s">
        <v>376</v>
      </c>
    </row>
    <row r="58" spans="1:21" x14ac:dyDescent="0.45">
      <c r="A58" t="s">
        <v>54</v>
      </c>
      <c r="B58" t="s">
        <v>8</v>
      </c>
      <c r="C58" t="s">
        <v>377</v>
      </c>
      <c r="D58" t="s">
        <v>377</v>
      </c>
      <c r="E58" s="97" t="s">
        <v>3</v>
      </c>
      <c r="F58" t="s">
        <v>378</v>
      </c>
      <c r="G58" t="s">
        <v>8</v>
      </c>
      <c r="H58" t="s">
        <v>8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67</v>
      </c>
      <c r="U58" s="95" t="s">
        <v>379</v>
      </c>
    </row>
    <row r="59" spans="1:21" x14ac:dyDescent="0.45">
      <c r="A59" t="s">
        <v>378</v>
      </c>
      <c r="B59" t="s">
        <v>3</v>
      </c>
      <c r="C59" t="s">
        <v>380</v>
      </c>
      <c r="D59" t="s">
        <v>380</v>
      </c>
      <c r="E59" s="97" t="s">
        <v>3</v>
      </c>
      <c r="F59" t="s">
        <v>3</v>
      </c>
      <c r="G59" t="s">
        <v>8</v>
      </c>
      <c r="H59" t="s">
        <v>8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67</v>
      </c>
      <c r="U59" s="95" t="s">
        <v>381</v>
      </c>
    </row>
    <row r="60" spans="1:21" x14ac:dyDescent="0.45">
      <c r="A60" t="s">
        <v>382</v>
      </c>
      <c r="B60" t="s">
        <v>8</v>
      </c>
      <c r="C60" t="s">
        <v>383</v>
      </c>
      <c r="D60" t="s">
        <v>384</v>
      </c>
      <c r="E60" s="97" t="s">
        <v>3</v>
      </c>
      <c r="F60" t="s">
        <v>385</v>
      </c>
      <c r="G60" t="s">
        <v>8</v>
      </c>
      <c r="H60" t="s">
        <v>67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67</v>
      </c>
      <c r="U60" s="95" t="s">
        <v>386</v>
      </c>
    </row>
    <row r="61" spans="1:21" x14ac:dyDescent="0.45">
      <c r="A61" t="s">
        <v>385</v>
      </c>
      <c r="B61" t="s">
        <v>3</v>
      </c>
      <c r="C61" t="s">
        <v>387</v>
      </c>
      <c r="D61" t="s">
        <v>387</v>
      </c>
      <c r="E61" s="97" t="s">
        <v>3</v>
      </c>
      <c r="F61" t="s">
        <v>3</v>
      </c>
      <c r="G61" t="s">
        <v>8</v>
      </c>
      <c r="H61" t="s">
        <v>67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67</v>
      </c>
      <c r="U61" s="95" t="s">
        <v>388</v>
      </c>
    </row>
    <row r="62" spans="1:21" x14ac:dyDescent="0.45">
      <c r="A62" t="s">
        <v>389</v>
      </c>
      <c r="B62" t="s">
        <v>8</v>
      </c>
      <c r="C62" t="s">
        <v>390</v>
      </c>
      <c r="D62" t="s">
        <v>391</v>
      </c>
      <c r="E62" s="97" t="s">
        <v>3</v>
      </c>
      <c r="F62" t="s">
        <v>129</v>
      </c>
      <c r="G62" t="s">
        <v>8</v>
      </c>
      <c r="H62" t="s">
        <v>67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67</v>
      </c>
      <c r="U62" s="95" t="s">
        <v>392</v>
      </c>
    </row>
    <row r="63" spans="1:21" x14ac:dyDescent="0.45">
      <c r="A63" t="s">
        <v>129</v>
      </c>
      <c r="B63" t="s">
        <v>3</v>
      </c>
      <c r="C63" t="s">
        <v>393</v>
      </c>
      <c r="D63" t="s">
        <v>393</v>
      </c>
      <c r="E63" s="97" t="s">
        <v>3</v>
      </c>
      <c r="F63" t="s">
        <v>3</v>
      </c>
      <c r="G63" t="s">
        <v>8</v>
      </c>
      <c r="H63" t="s">
        <v>67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67</v>
      </c>
      <c r="U63" s="95" t="s">
        <v>394</v>
      </c>
    </row>
    <row r="64" spans="1:21" x14ac:dyDescent="0.45">
      <c r="A64" t="s">
        <v>395</v>
      </c>
      <c r="B64" t="s">
        <v>8</v>
      </c>
      <c r="C64" t="s">
        <v>396</v>
      </c>
      <c r="D64" t="s">
        <v>397</v>
      </c>
      <c r="E64" s="97" t="s">
        <v>3</v>
      </c>
      <c r="F64" t="s">
        <v>398</v>
      </c>
      <c r="G64" t="s">
        <v>8</v>
      </c>
      <c r="H64" t="s">
        <v>67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67</v>
      </c>
      <c r="U64" s="95" t="s">
        <v>399</v>
      </c>
    </row>
    <row r="65" spans="1:21" x14ac:dyDescent="0.45">
      <c r="A65" t="s">
        <v>398</v>
      </c>
      <c r="B65" t="s">
        <v>3</v>
      </c>
      <c r="C65" t="s">
        <v>400</v>
      </c>
      <c r="D65" t="s">
        <v>400</v>
      </c>
      <c r="E65" s="97" t="s">
        <v>3</v>
      </c>
      <c r="F65" t="s">
        <v>3</v>
      </c>
      <c r="G65" t="s">
        <v>8</v>
      </c>
      <c r="H65" t="s">
        <v>67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67</v>
      </c>
      <c r="U65" s="95" t="s">
        <v>401</v>
      </c>
    </row>
    <row r="66" spans="1:21" x14ac:dyDescent="0.45">
      <c r="A66" t="s">
        <v>402</v>
      </c>
      <c r="B66" t="s">
        <v>8</v>
      </c>
      <c r="C66" t="s">
        <v>403</v>
      </c>
      <c r="D66" t="s">
        <v>404</v>
      </c>
      <c r="E66" s="97" t="s">
        <v>3</v>
      </c>
      <c r="F66" t="s">
        <v>405</v>
      </c>
      <c r="G66" t="s">
        <v>105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67</v>
      </c>
      <c r="U66" s="95" t="s">
        <v>406</v>
      </c>
    </row>
    <row r="67" spans="1:21" x14ac:dyDescent="0.45">
      <c r="A67" t="s">
        <v>405</v>
      </c>
      <c r="B67" t="s">
        <v>3</v>
      </c>
      <c r="C67" t="s">
        <v>407</v>
      </c>
      <c r="D67" t="s">
        <v>407</v>
      </c>
      <c r="E67" s="97" t="s">
        <v>3</v>
      </c>
      <c r="F67" t="s">
        <v>3</v>
      </c>
      <c r="G67" t="s">
        <v>105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67</v>
      </c>
      <c r="U67" s="95" t="s">
        <v>408</v>
      </c>
    </row>
    <row r="68" spans="1:21" x14ac:dyDescent="0.45">
      <c r="A68" t="s">
        <v>409</v>
      </c>
      <c r="B68" t="s">
        <v>8</v>
      </c>
      <c r="C68" t="s">
        <v>410</v>
      </c>
      <c r="D68" t="s">
        <v>411</v>
      </c>
      <c r="E68" s="97" t="s">
        <v>3</v>
      </c>
      <c r="F68" t="s">
        <v>412</v>
      </c>
      <c r="G68" t="s">
        <v>105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67</v>
      </c>
      <c r="U68" s="95" t="s">
        <v>413</v>
      </c>
    </row>
    <row r="69" spans="1:21" x14ac:dyDescent="0.45">
      <c r="A69" t="s">
        <v>412</v>
      </c>
      <c r="B69" t="s">
        <v>3</v>
      </c>
      <c r="C69" t="s">
        <v>414</v>
      </c>
      <c r="D69" t="s">
        <v>414</v>
      </c>
      <c r="E69" s="97" t="s">
        <v>3</v>
      </c>
      <c r="F69" t="s">
        <v>3</v>
      </c>
      <c r="G69" t="s">
        <v>105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67</v>
      </c>
      <c r="U69" s="95" t="s">
        <v>415</v>
      </c>
    </row>
    <row r="70" spans="1:21" x14ac:dyDescent="0.45">
      <c r="A70" t="s">
        <v>416</v>
      </c>
      <c r="B70" t="s">
        <v>8</v>
      </c>
      <c r="C70" t="s">
        <v>49</v>
      </c>
      <c r="D70" t="s">
        <v>49</v>
      </c>
      <c r="E70" s="97" t="s">
        <v>3</v>
      </c>
      <c r="F70" t="s">
        <v>417</v>
      </c>
      <c r="G70" t="s">
        <v>105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67</v>
      </c>
      <c r="U70" s="95" t="s">
        <v>418</v>
      </c>
    </row>
    <row r="71" spans="1:21" x14ac:dyDescent="0.45">
      <c r="A71" t="s">
        <v>419</v>
      </c>
      <c r="B71" t="s">
        <v>8</v>
      </c>
      <c r="C71" t="s">
        <v>420</v>
      </c>
      <c r="D71" t="s">
        <v>420</v>
      </c>
      <c r="E71" s="97" t="s">
        <v>3</v>
      </c>
      <c r="F71" t="s">
        <v>3</v>
      </c>
      <c r="G71" t="s">
        <v>105</v>
      </c>
      <c r="H71" t="s">
        <v>3</v>
      </c>
      <c r="I71" t="s">
        <v>3</v>
      </c>
      <c r="J71" t="s">
        <v>420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67</v>
      </c>
      <c r="U71" s="95" t="s">
        <v>421</v>
      </c>
    </row>
    <row r="72" spans="1:21" x14ac:dyDescent="0.45">
      <c r="A72" t="s">
        <v>422</v>
      </c>
      <c r="B72" t="s">
        <v>3</v>
      </c>
      <c r="C72" t="s">
        <v>423</v>
      </c>
      <c r="D72" t="s">
        <v>423</v>
      </c>
      <c r="E72" s="97" t="s">
        <v>3</v>
      </c>
      <c r="F72" t="s">
        <v>3</v>
      </c>
      <c r="G72" t="s">
        <v>105</v>
      </c>
      <c r="H72" t="s">
        <v>67</v>
      </c>
      <c r="I72" t="s">
        <v>3</v>
      </c>
      <c r="J72" t="s">
        <v>423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67</v>
      </c>
      <c r="U72" s="95" t="s">
        <v>424</v>
      </c>
    </row>
    <row r="73" spans="1:21" x14ac:dyDescent="0.45">
      <c r="A73" t="s">
        <v>425</v>
      </c>
      <c r="B73" t="s">
        <v>8</v>
      </c>
      <c r="C73" t="s">
        <v>426</v>
      </c>
      <c r="D73" t="s">
        <v>426</v>
      </c>
      <c r="E73" s="97" t="s">
        <v>3</v>
      </c>
      <c r="F73" t="s">
        <v>3</v>
      </c>
      <c r="G73" t="s">
        <v>105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67</v>
      </c>
      <c r="U73" s="95" t="s">
        <v>427</v>
      </c>
    </row>
    <row r="74" spans="1:21" x14ac:dyDescent="0.45">
      <c r="A74" t="s">
        <v>86</v>
      </c>
      <c r="B74" t="s">
        <v>8</v>
      </c>
      <c r="C74" t="s">
        <v>428</v>
      </c>
      <c r="D74" t="s">
        <v>428</v>
      </c>
      <c r="E74" s="97" t="s">
        <v>3</v>
      </c>
      <c r="F74" t="s">
        <v>3</v>
      </c>
      <c r="G74" t="s">
        <v>105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67</v>
      </c>
      <c r="U74" s="95" t="s">
        <v>429</v>
      </c>
    </row>
    <row r="75" spans="1:21" x14ac:dyDescent="0.45">
      <c r="A75" t="s">
        <v>430</v>
      </c>
      <c r="B75" t="s">
        <v>8</v>
      </c>
      <c r="C75" t="s">
        <v>431</v>
      </c>
      <c r="D75" t="s">
        <v>431</v>
      </c>
      <c r="E75" s="97" t="s">
        <v>3</v>
      </c>
      <c r="F75" t="s">
        <v>3</v>
      </c>
      <c r="G75" t="s">
        <v>105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67</v>
      </c>
      <c r="U75" s="95" t="s">
        <v>432</v>
      </c>
    </row>
    <row r="76" spans="1:21" x14ac:dyDescent="0.45">
      <c r="A76" t="s">
        <v>56</v>
      </c>
      <c r="B76" t="s">
        <v>8</v>
      </c>
      <c r="C76" t="s">
        <v>433</v>
      </c>
      <c r="D76" t="s">
        <v>433</v>
      </c>
      <c r="E76" s="97" t="s">
        <v>3</v>
      </c>
      <c r="F76" t="s">
        <v>3</v>
      </c>
      <c r="G76" t="s">
        <v>105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67</v>
      </c>
      <c r="U76" s="95" t="s">
        <v>434</v>
      </c>
    </row>
    <row r="77" spans="1:21" x14ac:dyDescent="0.45">
      <c r="A77" t="s">
        <v>147</v>
      </c>
      <c r="B77" t="s">
        <v>8</v>
      </c>
      <c r="C77" t="s">
        <v>435</v>
      </c>
      <c r="D77" t="s">
        <v>435</v>
      </c>
      <c r="E77" s="97" t="s">
        <v>3</v>
      </c>
      <c r="F77" t="s">
        <v>3</v>
      </c>
      <c r="G77" t="s">
        <v>105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67</v>
      </c>
      <c r="U77" s="95" t="s">
        <v>436</v>
      </c>
    </row>
    <row r="78" spans="1:21" x14ac:dyDescent="0.45">
      <c r="A78" t="s">
        <v>437</v>
      </c>
      <c r="B78" t="s">
        <v>8</v>
      </c>
      <c r="C78" t="s">
        <v>438</v>
      </c>
      <c r="D78" t="s">
        <v>438</v>
      </c>
      <c r="E78" s="97" t="s">
        <v>3</v>
      </c>
      <c r="F78" t="s">
        <v>3</v>
      </c>
      <c r="G78" t="s">
        <v>105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67</v>
      </c>
      <c r="U78" s="95" t="s">
        <v>439</v>
      </c>
    </row>
    <row r="79" spans="1:21" x14ac:dyDescent="0.45">
      <c r="A79" t="s">
        <v>440</v>
      </c>
      <c r="B79" t="s">
        <v>3</v>
      </c>
      <c r="C79" t="s">
        <v>441</v>
      </c>
      <c r="D79" t="s">
        <v>441</v>
      </c>
      <c r="E79" s="97" t="s">
        <v>3</v>
      </c>
      <c r="F79" t="s">
        <v>3</v>
      </c>
      <c r="G79" t="s">
        <v>8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67</v>
      </c>
      <c r="U79" s="95" t="s">
        <v>442</v>
      </c>
    </row>
    <row r="80" spans="1:21" x14ac:dyDescent="0.45">
      <c r="A80" t="s">
        <v>443</v>
      </c>
      <c r="B80" t="s">
        <v>8</v>
      </c>
      <c r="C80" t="s">
        <v>444</v>
      </c>
      <c r="D80" t="s">
        <v>444</v>
      </c>
      <c r="E80" s="97" t="s">
        <v>3</v>
      </c>
      <c r="F80" t="s">
        <v>3</v>
      </c>
      <c r="G80" t="s">
        <v>105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67</v>
      </c>
      <c r="U80" s="95" t="s">
        <v>445</v>
      </c>
    </row>
    <row r="81" spans="1:21" x14ac:dyDescent="0.45">
      <c r="A81" t="s">
        <v>138</v>
      </c>
      <c r="B81" t="s">
        <v>8</v>
      </c>
      <c r="C81" t="s">
        <v>446</v>
      </c>
      <c r="D81" t="s">
        <v>446</v>
      </c>
      <c r="E81" s="97" t="s">
        <v>3</v>
      </c>
      <c r="F81" t="s">
        <v>3</v>
      </c>
      <c r="G81" t="s">
        <v>105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67</v>
      </c>
      <c r="U81" s="95" t="s">
        <v>447</v>
      </c>
    </row>
    <row r="82" spans="1:21" x14ac:dyDescent="0.45">
      <c r="A82" t="s">
        <v>448</v>
      </c>
      <c r="B82" t="s">
        <v>8</v>
      </c>
      <c r="C82" t="s">
        <v>449</v>
      </c>
      <c r="D82" t="s">
        <v>449</v>
      </c>
      <c r="E82" s="97" t="s">
        <v>3</v>
      </c>
      <c r="F82" t="s">
        <v>3</v>
      </c>
      <c r="G82" t="s">
        <v>8</v>
      </c>
      <c r="H82" t="s">
        <v>8</v>
      </c>
      <c r="I82" t="s">
        <v>11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67</v>
      </c>
      <c r="U82" s="95" t="s">
        <v>450</v>
      </c>
    </row>
    <row r="83" spans="1:21" x14ac:dyDescent="0.45">
      <c r="A83" t="s">
        <v>451</v>
      </c>
      <c r="B83" t="s">
        <v>8</v>
      </c>
      <c r="C83" t="s">
        <v>452</v>
      </c>
      <c r="D83" t="s">
        <v>452</v>
      </c>
      <c r="E83" s="97" t="s">
        <v>3</v>
      </c>
      <c r="F83" t="s">
        <v>3</v>
      </c>
      <c r="G83" t="s">
        <v>105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67</v>
      </c>
      <c r="U83" s="95" t="s">
        <v>453</v>
      </c>
    </row>
    <row r="84" spans="1:21" x14ac:dyDescent="0.45">
      <c r="A84" t="s">
        <v>454</v>
      </c>
      <c r="B84" t="s">
        <v>8</v>
      </c>
      <c r="C84" t="s">
        <v>455</v>
      </c>
      <c r="D84" t="s">
        <v>455</v>
      </c>
      <c r="E84" s="97" t="s">
        <v>3</v>
      </c>
      <c r="F84" t="s">
        <v>3</v>
      </c>
      <c r="G84" t="s">
        <v>105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67</v>
      </c>
      <c r="U84" s="95" t="s">
        <v>456</v>
      </c>
    </row>
    <row r="85" spans="1:21" x14ac:dyDescent="0.45">
      <c r="A85" t="s">
        <v>457</v>
      </c>
      <c r="B85" t="s">
        <v>8</v>
      </c>
      <c r="C85" t="s">
        <v>458</v>
      </c>
      <c r="D85" t="s">
        <v>458</v>
      </c>
      <c r="E85" s="97" t="s">
        <v>3</v>
      </c>
      <c r="F85" t="s">
        <v>3</v>
      </c>
      <c r="G85" t="s">
        <v>67</v>
      </c>
      <c r="H85" t="s">
        <v>8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67</v>
      </c>
      <c r="U85" s="95" t="s">
        <v>459</v>
      </c>
    </row>
    <row r="86" spans="1:21" x14ac:dyDescent="0.45">
      <c r="A86" t="s">
        <v>131</v>
      </c>
      <c r="B86" t="s">
        <v>8</v>
      </c>
      <c r="C86" t="s">
        <v>460</v>
      </c>
      <c r="D86" t="s">
        <v>460</v>
      </c>
      <c r="E86" s="97" t="s">
        <v>3</v>
      </c>
      <c r="F86" t="s">
        <v>461</v>
      </c>
      <c r="G86" t="s">
        <v>8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67</v>
      </c>
      <c r="U86" s="95" t="s">
        <v>462</v>
      </c>
    </row>
    <row r="87" spans="1:21" x14ac:dyDescent="0.45">
      <c r="A87" t="s">
        <v>463</v>
      </c>
      <c r="B87" t="s">
        <v>8</v>
      </c>
      <c r="C87" t="s">
        <v>464</v>
      </c>
      <c r="D87" t="s">
        <v>464</v>
      </c>
      <c r="E87" s="97" t="s">
        <v>3</v>
      </c>
      <c r="F87" t="s">
        <v>465</v>
      </c>
      <c r="G87" t="s">
        <v>8</v>
      </c>
      <c r="H87" t="s">
        <v>67</v>
      </c>
      <c r="I87" t="s">
        <v>3</v>
      </c>
      <c r="J87" t="s">
        <v>464</v>
      </c>
      <c r="K87" t="s">
        <v>8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67</v>
      </c>
      <c r="U87" s="95" t="s">
        <v>466</v>
      </c>
    </row>
    <row r="88" spans="1:21" x14ac:dyDescent="0.45">
      <c r="A88" t="s">
        <v>467</v>
      </c>
      <c r="B88" t="s">
        <v>8</v>
      </c>
      <c r="C88" t="s">
        <v>468</v>
      </c>
      <c r="D88" t="s">
        <v>468</v>
      </c>
      <c r="E88" s="97" t="s">
        <v>3</v>
      </c>
      <c r="F88" t="s">
        <v>469</v>
      </c>
      <c r="G88" t="s">
        <v>8</v>
      </c>
      <c r="H88" t="s">
        <v>67</v>
      </c>
      <c r="I88" t="s">
        <v>3</v>
      </c>
      <c r="J88" t="s">
        <v>204</v>
      </c>
      <c r="K88" t="s">
        <v>8</v>
      </c>
      <c r="L88" t="s">
        <v>313</v>
      </c>
      <c r="M88" t="s">
        <v>3</v>
      </c>
      <c r="N88" t="s">
        <v>217</v>
      </c>
      <c r="O88" t="s">
        <v>3</v>
      </c>
      <c r="P88" t="s">
        <v>309</v>
      </c>
      <c r="Q88" t="s">
        <v>3</v>
      </c>
      <c r="R88" t="s">
        <v>470</v>
      </c>
      <c r="S88" t="s">
        <v>3</v>
      </c>
      <c r="T88" t="s">
        <v>67</v>
      </c>
      <c r="U88" s="95" t="s">
        <v>471</v>
      </c>
    </row>
    <row r="89" spans="1:21" x14ac:dyDescent="0.45">
      <c r="A89" t="s">
        <v>472</v>
      </c>
      <c r="B89" t="s">
        <v>8</v>
      </c>
      <c r="C89" t="s">
        <v>473</v>
      </c>
      <c r="D89" t="s">
        <v>473</v>
      </c>
      <c r="E89" s="97" t="s">
        <v>3</v>
      </c>
      <c r="F89" t="s">
        <v>3</v>
      </c>
      <c r="G89" t="s">
        <v>8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67</v>
      </c>
      <c r="U89" s="95" t="s">
        <v>474</v>
      </c>
    </row>
    <row r="90" spans="1:21" x14ac:dyDescent="0.45">
      <c r="A90" t="s">
        <v>475</v>
      </c>
      <c r="B90" t="s">
        <v>8</v>
      </c>
      <c r="C90" t="s">
        <v>476</v>
      </c>
      <c r="D90" t="s">
        <v>476</v>
      </c>
      <c r="E90" s="97" t="s">
        <v>3</v>
      </c>
      <c r="F90" t="s">
        <v>3</v>
      </c>
      <c r="G90" t="s">
        <v>67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67</v>
      </c>
      <c r="U90" s="95" t="s">
        <v>477</v>
      </c>
    </row>
    <row r="91" spans="1:21" x14ac:dyDescent="0.45">
      <c r="A91" t="s">
        <v>76</v>
      </c>
      <c r="B91" t="s">
        <v>8</v>
      </c>
      <c r="C91" t="s">
        <v>478</v>
      </c>
      <c r="D91" t="s">
        <v>478</v>
      </c>
      <c r="E91" s="97" t="s">
        <v>3</v>
      </c>
      <c r="F91" t="s">
        <v>3</v>
      </c>
      <c r="G91" t="s">
        <v>3</v>
      </c>
      <c r="H91" t="s">
        <v>67</v>
      </c>
      <c r="I91" t="s">
        <v>3</v>
      </c>
      <c r="J91" t="s">
        <v>478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67</v>
      </c>
      <c r="U91" s="95" t="s">
        <v>479</v>
      </c>
    </row>
    <row r="92" spans="1:21" x14ac:dyDescent="0.45">
      <c r="A92" t="s">
        <v>480</v>
      </c>
      <c r="B92" t="s">
        <v>8</v>
      </c>
      <c r="C92" t="s">
        <v>481</v>
      </c>
      <c r="D92" t="s">
        <v>481</v>
      </c>
      <c r="E92" s="97" t="s">
        <v>3</v>
      </c>
      <c r="F92" t="s">
        <v>3</v>
      </c>
      <c r="G92" t="s">
        <v>67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67</v>
      </c>
      <c r="U92" s="95" t="s">
        <v>482</v>
      </c>
    </row>
    <row r="93" spans="1:21" x14ac:dyDescent="0.45">
      <c r="A93" t="s">
        <v>483</v>
      </c>
      <c r="B93" t="s">
        <v>8</v>
      </c>
      <c r="C93" t="s">
        <v>484</v>
      </c>
      <c r="D93" t="s">
        <v>484</v>
      </c>
      <c r="E93" s="97" t="s">
        <v>3</v>
      </c>
      <c r="F93" t="s">
        <v>3</v>
      </c>
      <c r="G93" t="s">
        <v>8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67</v>
      </c>
      <c r="U93" s="95" t="s">
        <v>485</v>
      </c>
    </row>
    <row r="94" spans="1:21" x14ac:dyDescent="0.45">
      <c r="A94" t="s">
        <v>55</v>
      </c>
      <c r="B94" t="s">
        <v>8</v>
      </c>
      <c r="C94" t="s">
        <v>486</v>
      </c>
      <c r="D94" t="s">
        <v>486</v>
      </c>
      <c r="E94" s="97" t="s">
        <v>3</v>
      </c>
      <c r="F94" t="s">
        <v>487</v>
      </c>
      <c r="G94" t="s">
        <v>8</v>
      </c>
      <c r="H94" t="s">
        <v>67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67</v>
      </c>
      <c r="U94" s="95" t="s">
        <v>488</v>
      </c>
    </row>
    <row r="95" spans="1:21" x14ac:dyDescent="0.45">
      <c r="A95" t="s">
        <v>489</v>
      </c>
      <c r="B95" t="s">
        <v>3</v>
      </c>
      <c r="C95" t="s">
        <v>490</v>
      </c>
      <c r="D95" t="s">
        <v>490</v>
      </c>
      <c r="E95" s="97" t="s">
        <v>3</v>
      </c>
      <c r="F95" t="s">
        <v>3</v>
      </c>
      <c r="G95" t="s">
        <v>67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67</v>
      </c>
      <c r="U95" s="95" t="s">
        <v>491</v>
      </c>
    </row>
    <row r="96" spans="1:21" x14ac:dyDescent="0.45">
      <c r="A96" t="s">
        <v>492</v>
      </c>
      <c r="B96" t="s">
        <v>8</v>
      </c>
      <c r="C96" t="s">
        <v>493</v>
      </c>
      <c r="D96" t="s">
        <v>493</v>
      </c>
      <c r="E96" s="97" t="s">
        <v>3</v>
      </c>
      <c r="F96" t="s">
        <v>494</v>
      </c>
      <c r="G96" t="s">
        <v>8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67</v>
      </c>
      <c r="U96" s="95" t="s">
        <v>495</v>
      </c>
    </row>
    <row r="97" spans="1:21" x14ac:dyDescent="0.45">
      <c r="A97" t="s">
        <v>496</v>
      </c>
      <c r="B97" t="s">
        <v>3</v>
      </c>
      <c r="C97" t="s">
        <v>497</v>
      </c>
      <c r="D97" t="s">
        <v>497</v>
      </c>
      <c r="E97" s="97" t="s">
        <v>3</v>
      </c>
      <c r="F97" t="s">
        <v>3</v>
      </c>
      <c r="G97" t="s">
        <v>67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67</v>
      </c>
      <c r="U97" s="95" t="s">
        <v>498</v>
      </c>
    </row>
    <row r="98" spans="1:21" x14ac:dyDescent="0.45">
      <c r="A98" t="s">
        <v>499</v>
      </c>
      <c r="B98" t="s">
        <v>3</v>
      </c>
      <c r="C98" t="s">
        <v>500</v>
      </c>
      <c r="D98" t="s">
        <v>500</v>
      </c>
      <c r="E98" s="97" t="s">
        <v>3</v>
      </c>
      <c r="F98" t="s">
        <v>3</v>
      </c>
      <c r="G98" t="s">
        <v>67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67</v>
      </c>
      <c r="U98" s="95" t="s">
        <v>501</v>
      </c>
    </row>
    <row r="99" spans="1:21" x14ac:dyDescent="0.45">
      <c r="A99" t="s">
        <v>502</v>
      </c>
      <c r="B99" t="s">
        <v>3</v>
      </c>
      <c r="C99" t="s">
        <v>503</v>
      </c>
      <c r="D99" t="s">
        <v>503</v>
      </c>
      <c r="E99" s="97" t="s">
        <v>3</v>
      </c>
      <c r="F99" t="s">
        <v>3</v>
      </c>
      <c r="G99" t="s">
        <v>67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67</v>
      </c>
      <c r="U99" s="95" t="s">
        <v>504</v>
      </c>
    </row>
    <row r="100" spans="1:21" x14ac:dyDescent="0.45">
      <c r="A100" t="s">
        <v>505</v>
      </c>
      <c r="B100" t="s">
        <v>3</v>
      </c>
      <c r="C100" t="s">
        <v>506</v>
      </c>
      <c r="D100" t="s">
        <v>506</v>
      </c>
      <c r="E100" s="97" t="s">
        <v>3</v>
      </c>
      <c r="F100" t="s">
        <v>3</v>
      </c>
      <c r="G100" t="s">
        <v>8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67</v>
      </c>
      <c r="U100" s="95" t="s">
        <v>507</v>
      </c>
    </row>
    <row r="101" spans="1:21" x14ac:dyDescent="0.45">
      <c r="A101" t="s">
        <v>508</v>
      </c>
      <c r="B101" t="s">
        <v>8</v>
      </c>
      <c r="C101" t="s">
        <v>509</v>
      </c>
      <c r="D101" t="s">
        <v>509</v>
      </c>
      <c r="E101" s="97" t="s">
        <v>3</v>
      </c>
      <c r="F101" t="s">
        <v>3</v>
      </c>
      <c r="G101" t="s">
        <v>8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67</v>
      </c>
      <c r="U101" s="95" t="s">
        <v>510</v>
      </c>
    </row>
    <row r="102" spans="1:21" x14ac:dyDescent="0.45">
      <c r="A102" t="s">
        <v>511</v>
      </c>
      <c r="B102" t="s">
        <v>8</v>
      </c>
      <c r="C102" t="s">
        <v>512</v>
      </c>
      <c r="D102" t="s">
        <v>512</v>
      </c>
      <c r="E102" s="97" t="s">
        <v>3</v>
      </c>
      <c r="F102" t="s">
        <v>3</v>
      </c>
      <c r="G102" t="s">
        <v>8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67</v>
      </c>
      <c r="U102" s="95" t="s">
        <v>513</v>
      </c>
    </row>
    <row r="103" spans="1:21" x14ac:dyDescent="0.45">
      <c r="A103" t="s">
        <v>514</v>
      </c>
      <c r="B103" t="s">
        <v>8</v>
      </c>
      <c r="C103" t="s">
        <v>515</v>
      </c>
      <c r="D103" t="s">
        <v>515</v>
      </c>
      <c r="E103" s="97" t="s">
        <v>3</v>
      </c>
      <c r="F103" t="s">
        <v>3</v>
      </c>
      <c r="G103" t="s">
        <v>8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67</v>
      </c>
      <c r="U103" s="95" t="s">
        <v>516</v>
      </c>
    </row>
    <row r="104" spans="1:21" x14ac:dyDescent="0.45">
      <c r="A104" t="s">
        <v>517</v>
      </c>
      <c r="B104" t="s">
        <v>8</v>
      </c>
      <c r="C104" t="s">
        <v>518</v>
      </c>
      <c r="D104" t="s">
        <v>519</v>
      </c>
      <c r="E104" s="97" t="s">
        <v>3</v>
      </c>
      <c r="F104" t="s">
        <v>520</v>
      </c>
      <c r="G104" t="s">
        <v>8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67</v>
      </c>
      <c r="U104" s="95" t="s">
        <v>521</v>
      </c>
    </row>
    <row r="105" spans="1:21" x14ac:dyDescent="0.45">
      <c r="A105" t="s">
        <v>522</v>
      </c>
      <c r="B105" t="s">
        <v>8</v>
      </c>
      <c r="C105" t="s">
        <v>523</v>
      </c>
      <c r="D105" t="s">
        <v>523</v>
      </c>
      <c r="E105" s="97" t="s">
        <v>3</v>
      </c>
      <c r="F105" t="s">
        <v>3</v>
      </c>
      <c r="G105" t="s">
        <v>8</v>
      </c>
      <c r="H105" t="s">
        <v>8</v>
      </c>
      <c r="I105" t="s">
        <v>271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67</v>
      </c>
      <c r="U105" s="95" t="s">
        <v>524</v>
      </c>
    </row>
    <row r="106" spans="1:21" x14ac:dyDescent="0.45">
      <c r="A106" t="s">
        <v>525</v>
      </c>
      <c r="B106" t="s">
        <v>3</v>
      </c>
      <c r="C106" t="s">
        <v>526</v>
      </c>
      <c r="D106" t="s">
        <v>526</v>
      </c>
      <c r="E106" s="97" t="s">
        <v>3</v>
      </c>
      <c r="F106" t="s">
        <v>3</v>
      </c>
      <c r="G106" t="s">
        <v>67</v>
      </c>
      <c r="H106" t="s">
        <v>8</v>
      </c>
      <c r="I106" t="s">
        <v>271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67</v>
      </c>
      <c r="U106" s="95" t="s">
        <v>527</v>
      </c>
    </row>
    <row r="107" spans="1:21" x14ac:dyDescent="0.45">
      <c r="A107" t="s">
        <v>528</v>
      </c>
      <c r="B107" t="s">
        <v>8</v>
      </c>
      <c r="C107" t="s">
        <v>529</v>
      </c>
      <c r="D107" t="s">
        <v>529</v>
      </c>
      <c r="E107" s="97" t="s">
        <v>3</v>
      </c>
      <c r="F107" t="s">
        <v>3</v>
      </c>
      <c r="G107" t="s">
        <v>8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67</v>
      </c>
      <c r="U107" s="95" t="s">
        <v>530</v>
      </c>
    </row>
    <row r="108" spans="1:21" x14ac:dyDescent="0.45">
      <c r="A108" t="s">
        <v>531</v>
      </c>
      <c r="B108" t="s">
        <v>3</v>
      </c>
      <c r="C108" t="s">
        <v>532</v>
      </c>
      <c r="D108" t="s">
        <v>532</v>
      </c>
      <c r="E108" s="97" t="s">
        <v>3</v>
      </c>
      <c r="F108" t="s">
        <v>3</v>
      </c>
      <c r="G108" t="s">
        <v>67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67</v>
      </c>
      <c r="U108" s="95" t="s">
        <v>533</v>
      </c>
    </row>
    <row r="109" spans="1:21" x14ac:dyDescent="0.45">
      <c r="A109" t="s">
        <v>534</v>
      </c>
      <c r="B109" t="s">
        <v>8</v>
      </c>
      <c r="C109" t="s">
        <v>535</v>
      </c>
      <c r="D109" t="s">
        <v>535</v>
      </c>
      <c r="E109" s="97" t="s">
        <v>3</v>
      </c>
      <c r="F109" t="s">
        <v>3</v>
      </c>
      <c r="G109" t="s">
        <v>8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67</v>
      </c>
      <c r="U109" s="95" t="s">
        <v>536</v>
      </c>
    </row>
    <row r="110" spans="1:21" x14ac:dyDescent="0.45">
      <c r="A110" t="s">
        <v>537</v>
      </c>
      <c r="B110" t="s">
        <v>8</v>
      </c>
      <c r="C110" t="s">
        <v>52</v>
      </c>
      <c r="D110" t="s">
        <v>52</v>
      </c>
      <c r="E110" s="97" t="s">
        <v>3</v>
      </c>
      <c r="F110" t="s">
        <v>3</v>
      </c>
      <c r="G110" t="s">
        <v>8</v>
      </c>
      <c r="H110" t="s">
        <v>8</v>
      </c>
      <c r="I110" t="s">
        <v>538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67</v>
      </c>
      <c r="U110" s="95" t="s">
        <v>539</v>
      </c>
    </row>
    <row r="111" spans="1:21" x14ac:dyDescent="0.45">
      <c r="A111" t="s">
        <v>540</v>
      </c>
      <c r="B111" t="s">
        <v>8</v>
      </c>
      <c r="C111" t="s">
        <v>541</v>
      </c>
      <c r="D111" t="s">
        <v>541</v>
      </c>
      <c r="E111" s="97" t="s">
        <v>3</v>
      </c>
      <c r="F111" t="s">
        <v>3</v>
      </c>
      <c r="G111" t="s">
        <v>8</v>
      </c>
      <c r="H111" t="s">
        <v>8</v>
      </c>
      <c r="I111" t="s">
        <v>271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67</v>
      </c>
      <c r="U111" s="95" t="s">
        <v>542</v>
      </c>
    </row>
    <row r="112" spans="1:21" x14ac:dyDescent="0.45">
      <c r="A112" t="s">
        <v>543</v>
      </c>
      <c r="B112" t="s">
        <v>8</v>
      </c>
      <c r="C112" t="s">
        <v>544</v>
      </c>
      <c r="D112" t="s">
        <v>545</v>
      </c>
      <c r="E112" s="97" t="s">
        <v>3</v>
      </c>
      <c r="F112" t="s">
        <v>3</v>
      </c>
      <c r="G112" t="s">
        <v>8</v>
      </c>
      <c r="H112" t="s">
        <v>8</v>
      </c>
      <c r="I112" t="s">
        <v>538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67</v>
      </c>
      <c r="U112" s="95" t="s">
        <v>546</v>
      </c>
    </row>
    <row r="113" spans="1:21" x14ac:dyDescent="0.45">
      <c r="A113" t="s">
        <v>547</v>
      </c>
      <c r="B113" t="s">
        <v>3</v>
      </c>
      <c r="C113" t="s">
        <v>548</v>
      </c>
      <c r="D113" t="s">
        <v>548</v>
      </c>
      <c r="E113" s="97" t="s">
        <v>3</v>
      </c>
      <c r="F113" t="s">
        <v>3</v>
      </c>
      <c r="G113" t="s">
        <v>67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67</v>
      </c>
      <c r="U113" s="95" t="s">
        <v>549</v>
      </c>
    </row>
    <row r="114" spans="1:21" x14ac:dyDescent="0.45">
      <c r="A114" t="s">
        <v>550</v>
      </c>
      <c r="B114" t="s">
        <v>8</v>
      </c>
      <c r="C114" t="s">
        <v>551</v>
      </c>
      <c r="D114" t="s">
        <v>551</v>
      </c>
      <c r="E114" s="97" t="s">
        <v>3</v>
      </c>
      <c r="F114" t="s">
        <v>3</v>
      </c>
      <c r="G114" t="s">
        <v>8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67</v>
      </c>
      <c r="U114" s="95" t="s">
        <v>552</v>
      </c>
    </row>
    <row r="115" spans="1:21" x14ac:dyDescent="0.45">
      <c r="A115" t="s">
        <v>140</v>
      </c>
      <c r="B115" t="s">
        <v>3</v>
      </c>
      <c r="C115" t="s">
        <v>553</v>
      </c>
      <c r="D115" t="s">
        <v>553</v>
      </c>
      <c r="E115" s="97" t="s">
        <v>3</v>
      </c>
      <c r="F115" t="s">
        <v>3</v>
      </c>
      <c r="G115" t="s">
        <v>67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67</v>
      </c>
      <c r="U115" s="95" t="s">
        <v>554</v>
      </c>
    </row>
    <row r="116" spans="1:21" x14ac:dyDescent="0.45">
      <c r="A116" t="s">
        <v>555</v>
      </c>
      <c r="B116" t="s">
        <v>8</v>
      </c>
      <c r="C116" t="s">
        <v>556</v>
      </c>
      <c r="D116" t="s">
        <v>556</v>
      </c>
      <c r="E116" s="97" t="s">
        <v>3</v>
      </c>
      <c r="F116" t="s">
        <v>557</v>
      </c>
      <c r="G116" t="s">
        <v>8</v>
      </c>
      <c r="H116" t="s">
        <v>67</v>
      </c>
      <c r="I116" t="s">
        <v>3</v>
      </c>
      <c r="J116" t="s">
        <v>556</v>
      </c>
      <c r="K116" t="s">
        <v>3</v>
      </c>
      <c r="L116" t="s">
        <v>217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67</v>
      </c>
      <c r="U116" s="95" t="s">
        <v>558</v>
      </c>
    </row>
    <row r="117" spans="1:21" x14ac:dyDescent="0.45">
      <c r="A117" t="s">
        <v>559</v>
      </c>
      <c r="B117" t="s">
        <v>8</v>
      </c>
      <c r="C117" t="s">
        <v>560</v>
      </c>
      <c r="D117" t="s">
        <v>560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67</v>
      </c>
      <c r="U117" s="95" t="s">
        <v>561</v>
      </c>
    </row>
    <row r="118" spans="1:21" x14ac:dyDescent="0.45">
      <c r="A118" t="s">
        <v>562</v>
      </c>
      <c r="B118" t="s">
        <v>8</v>
      </c>
      <c r="C118" t="s">
        <v>563</v>
      </c>
      <c r="D118" t="s">
        <v>563</v>
      </c>
      <c r="E118" s="97" t="s">
        <v>3</v>
      </c>
      <c r="F118" t="s">
        <v>562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67</v>
      </c>
      <c r="U118" s="95" t="s">
        <v>564</v>
      </c>
    </row>
    <row r="119" spans="1:21" x14ac:dyDescent="0.45">
      <c r="A119" t="s">
        <v>565</v>
      </c>
      <c r="B119" t="s">
        <v>8</v>
      </c>
      <c r="C119" t="s">
        <v>566</v>
      </c>
      <c r="D119" t="s">
        <v>566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67</v>
      </c>
      <c r="U119" s="95" t="s">
        <v>567</v>
      </c>
    </row>
    <row r="120" spans="1:21" x14ac:dyDescent="0.45">
      <c r="A120" t="s">
        <v>568</v>
      </c>
      <c r="B120" t="s">
        <v>8</v>
      </c>
      <c r="C120" t="s">
        <v>569</v>
      </c>
      <c r="D120" t="s">
        <v>569</v>
      </c>
      <c r="E120" s="97" t="s">
        <v>570</v>
      </c>
      <c r="F120" t="s">
        <v>3</v>
      </c>
      <c r="G120" t="s">
        <v>8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67</v>
      </c>
      <c r="U120" s="95" t="s">
        <v>571</v>
      </c>
    </row>
    <row r="121" spans="1:21" x14ac:dyDescent="0.45">
      <c r="A121" t="s">
        <v>572</v>
      </c>
      <c r="B121" t="s">
        <v>8</v>
      </c>
      <c r="C121" t="s">
        <v>573</v>
      </c>
      <c r="D121" t="s">
        <v>573</v>
      </c>
      <c r="E121" s="97" t="s">
        <v>3</v>
      </c>
      <c r="F121" t="s">
        <v>3</v>
      </c>
      <c r="G121" t="s">
        <v>8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67</v>
      </c>
      <c r="U121" s="95" t="s">
        <v>574</v>
      </c>
    </row>
    <row r="122" spans="1:21" x14ac:dyDescent="0.45">
      <c r="A122" t="s">
        <v>575</v>
      </c>
      <c r="B122" t="s">
        <v>8</v>
      </c>
      <c r="C122" t="s">
        <v>576</v>
      </c>
      <c r="D122" t="s">
        <v>576</v>
      </c>
      <c r="E122" s="97" t="s">
        <v>3</v>
      </c>
      <c r="F122" t="s">
        <v>3</v>
      </c>
      <c r="G122" t="s">
        <v>8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67</v>
      </c>
      <c r="U122" s="95" t="s">
        <v>577</v>
      </c>
    </row>
    <row r="123" spans="1:21" x14ac:dyDescent="0.45">
      <c r="A123" t="s">
        <v>578</v>
      </c>
      <c r="B123" t="s">
        <v>8</v>
      </c>
      <c r="C123" t="s">
        <v>579</v>
      </c>
      <c r="D123" t="s">
        <v>580</v>
      </c>
      <c r="E123" s="97" t="s">
        <v>3</v>
      </c>
      <c r="F123" t="s">
        <v>581</v>
      </c>
      <c r="G123" t="s">
        <v>8</v>
      </c>
      <c r="H123" t="s">
        <v>8</v>
      </c>
      <c r="I123" t="s">
        <v>135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67</v>
      </c>
      <c r="U123" s="95" t="s">
        <v>582</v>
      </c>
    </row>
    <row r="124" spans="1:21" x14ac:dyDescent="0.45">
      <c r="A124" t="s">
        <v>322</v>
      </c>
      <c r="B124" t="s">
        <v>8</v>
      </c>
      <c r="C124" t="s">
        <v>210</v>
      </c>
      <c r="D124" t="s">
        <v>210</v>
      </c>
      <c r="E124" s="97" t="s">
        <v>3</v>
      </c>
      <c r="F124" t="s">
        <v>3</v>
      </c>
      <c r="G124" t="s">
        <v>67</v>
      </c>
      <c r="H124" t="s">
        <v>67</v>
      </c>
      <c r="I124" t="s">
        <v>3</v>
      </c>
      <c r="J124" t="s">
        <v>204</v>
      </c>
      <c r="K124" t="s">
        <v>8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67</v>
      </c>
      <c r="U124" s="95" t="s">
        <v>583</v>
      </c>
    </row>
    <row r="125" spans="1:21" x14ac:dyDescent="0.45">
      <c r="A125" t="s">
        <v>584</v>
      </c>
      <c r="B125" t="s">
        <v>67</v>
      </c>
      <c r="C125" t="s">
        <v>585</v>
      </c>
      <c r="D125" t="s">
        <v>585</v>
      </c>
      <c r="E125" s="97" t="s">
        <v>3</v>
      </c>
      <c r="F125" t="s">
        <v>3</v>
      </c>
      <c r="G125" t="s">
        <v>67</v>
      </c>
      <c r="H125" t="s">
        <v>67</v>
      </c>
      <c r="I125" t="s">
        <v>3</v>
      </c>
      <c r="J125" t="s">
        <v>586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67</v>
      </c>
      <c r="U125" s="95" t="s">
        <v>587</v>
      </c>
    </row>
    <row r="126" spans="1:21" x14ac:dyDescent="0.45">
      <c r="A126" t="s">
        <v>588</v>
      </c>
      <c r="B126" t="s">
        <v>67</v>
      </c>
      <c r="C126" t="s">
        <v>589</v>
      </c>
      <c r="D126" t="s">
        <v>589</v>
      </c>
      <c r="E126" s="97" t="s">
        <v>3</v>
      </c>
      <c r="F126" t="s">
        <v>3</v>
      </c>
      <c r="G126" t="s">
        <v>67</v>
      </c>
      <c r="H126" t="s">
        <v>67</v>
      </c>
      <c r="I126" t="s">
        <v>3</v>
      </c>
      <c r="J126" t="s">
        <v>590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67</v>
      </c>
      <c r="U126" s="95" t="s">
        <v>591</v>
      </c>
    </row>
    <row r="127" spans="1:21" x14ac:dyDescent="0.45">
      <c r="A127" t="s">
        <v>68</v>
      </c>
      <c r="B127" t="s">
        <v>67</v>
      </c>
      <c r="C127" t="s">
        <v>592</v>
      </c>
      <c r="D127" t="s">
        <v>592</v>
      </c>
      <c r="E127" s="97" t="s">
        <v>3</v>
      </c>
      <c r="F127" t="s">
        <v>3</v>
      </c>
      <c r="G127" t="s">
        <v>67</v>
      </c>
      <c r="H127" t="s">
        <v>67</v>
      </c>
      <c r="I127" t="s">
        <v>3</v>
      </c>
      <c r="J127" t="s">
        <v>592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67</v>
      </c>
      <c r="U127" s="95" t="s">
        <v>593</v>
      </c>
    </row>
    <row r="128" spans="1:21" x14ac:dyDescent="0.45">
      <c r="A128" t="s">
        <v>594</v>
      </c>
      <c r="B128" t="s">
        <v>67</v>
      </c>
      <c r="C128" t="s">
        <v>595</v>
      </c>
      <c r="D128" t="s">
        <v>595</v>
      </c>
      <c r="E128" s="97" t="s">
        <v>3</v>
      </c>
      <c r="F128" t="s">
        <v>3</v>
      </c>
      <c r="G128" t="s">
        <v>67</v>
      </c>
      <c r="H128" t="s">
        <v>67</v>
      </c>
      <c r="I128" t="s">
        <v>3</v>
      </c>
      <c r="J128" t="s">
        <v>595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67</v>
      </c>
      <c r="U128" s="95" t="s">
        <v>596</v>
      </c>
    </row>
    <row r="129" spans="1:21" x14ac:dyDescent="0.45">
      <c r="A129" t="s">
        <v>597</v>
      </c>
      <c r="B129" t="s">
        <v>67</v>
      </c>
      <c r="C129" t="s">
        <v>598</v>
      </c>
      <c r="D129" t="s">
        <v>598</v>
      </c>
      <c r="E129" s="97" t="s">
        <v>3</v>
      </c>
      <c r="F129" t="s">
        <v>3</v>
      </c>
      <c r="G129" t="s">
        <v>67</v>
      </c>
      <c r="H129" t="s">
        <v>67</v>
      </c>
      <c r="I129" t="s">
        <v>3</v>
      </c>
      <c r="J129" t="s">
        <v>598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67</v>
      </c>
      <c r="U129" s="95" t="s">
        <v>599</v>
      </c>
    </row>
    <row r="130" spans="1:21" x14ac:dyDescent="0.45">
      <c r="A130" t="s">
        <v>65</v>
      </c>
      <c r="B130" t="s">
        <v>67</v>
      </c>
      <c r="C130" t="s">
        <v>600</v>
      </c>
      <c r="D130" t="s">
        <v>600</v>
      </c>
      <c r="E130" s="97" t="s">
        <v>3</v>
      </c>
      <c r="F130" t="s">
        <v>3</v>
      </c>
      <c r="G130" t="s">
        <v>67</v>
      </c>
      <c r="H130" t="s">
        <v>67</v>
      </c>
      <c r="I130" t="s">
        <v>3</v>
      </c>
      <c r="J130" t="s">
        <v>601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67</v>
      </c>
      <c r="U130" s="95" t="s">
        <v>602</v>
      </c>
    </row>
    <row r="131" spans="1:21" x14ac:dyDescent="0.45">
      <c r="A131" t="s">
        <v>66</v>
      </c>
      <c r="B131" t="s">
        <v>67</v>
      </c>
      <c r="C131" t="s">
        <v>603</v>
      </c>
      <c r="D131" t="s">
        <v>603</v>
      </c>
      <c r="E131" s="97" t="s">
        <v>3</v>
      </c>
      <c r="F131" t="s">
        <v>3</v>
      </c>
      <c r="G131" t="s">
        <v>67</v>
      </c>
      <c r="H131" t="s">
        <v>67</v>
      </c>
      <c r="I131" t="s">
        <v>3</v>
      </c>
      <c r="J131" t="s">
        <v>601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67</v>
      </c>
      <c r="U131" s="95" t="s">
        <v>604</v>
      </c>
    </row>
    <row r="132" spans="1:21" x14ac:dyDescent="0.45">
      <c r="A132" t="s">
        <v>605</v>
      </c>
      <c r="B132" t="s">
        <v>67</v>
      </c>
      <c r="C132" t="s">
        <v>606</v>
      </c>
      <c r="D132" t="s">
        <v>606</v>
      </c>
      <c r="E132" s="97" t="s">
        <v>3</v>
      </c>
      <c r="F132" t="s">
        <v>3</v>
      </c>
      <c r="G132" t="s">
        <v>67</v>
      </c>
      <c r="H132" t="s">
        <v>67</v>
      </c>
      <c r="I132" t="s">
        <v>3</v>
      </c>
      <c r="J132" t="s">
        <v>601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67</v>
      </c>
      <c r="U132" s="95" t="s">
        <v>607</v>
      </c>
    </row>
    <row r="133" spans="1:21" x14ac:dyDescent="0.45">
      <c r="A133" t="s">
        <v>608</v>
      </c>
      <c r="B133" t="s">
        <v>67</v>
      </c>
      <c r="C133" t="s">
        <v>609</v>
      </c>
      <c r="D133" t="s">
        <v>609</v>
      </c>
      <c r="E133" s="97" t="s">
        <v>3</v>
      </c>
      <c r="F133" t="s">
        <v>3</v>
      </c>
      <c r="G133" t="s">
        <v>67</v>
      </c>
      <c r="H133" t="s">
        <v>67</v>
      </c>
      <c r="I133" t="s">
        <v>3</v>
      </c>
      <c r="J133" t="s">
        <v>601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67</v>
      </c>
      <c r="U133" s="95" t="s">
        <v>610</v>
      </c>
    </row>
    <row r="134" spans="1:21" x14ac:dyDescent="0.45">
      <c r="A134" t="s">
        <v>611</v>
      </c>
      <c r="B134" t="s">
        <v>67</v>
      </c>
      <c r="C134" t="s">
        <v>612</v>
      </c>
      <c r="D134" t="s">
        <v>612</v>
      </c>
      <c r="E134" s="97" t="s">
        <v>3</v>
      </c>
      <c r="F134" t="s">
        <v>3</v>
      </c>
      <c r="G134" t="s">
        <v>67</v>
      </c>
      <c r="H134" t="s">
        <v>67</v>
      </c>
      <c r="I134" t="s">
        <v>3</v>
      </c>
      <c r="J134" t="s">
        <v>601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67</v>
      </c>
      <c r="U134" s="95" t="s">
        <v>613</v>
      </c>
    </row>
    <row r="135" spans="1:21" x14ac:dyDescent="0.45">
      <c r="A135" t="s">
        <v>614</v>
      </c>
      <c r="B135" t="s">
        <v>67</v>
      </c>
      <c r="C135" t="s">
        <v>615</v>
      </c>
      <c r="D135" t="s">
        <v>615</v>
      </c>
      <c r="E135" s="97" t="s">
        <v>3</v>
      </c>
      <c r="F135" t="s">
        <v>3</v>
      </c>
      <c r="G135" t="s">
        <v>67</v>
      </c>
      <c r="H135" t="s">
        <v>67</v>
      </c>
      <c r="I135" t="s">
        <v>3</v>
      </c>
      <c r="J135" t="s">
        <v>601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67</v>
      </c>
      <c r="U135" s="95" t="s">
        <v>616</v>
      </c>
    </row>
    <row r="136" spans="1:21" x14ac:dyDescent="0.45">
      <c r="A136" t="s">
        <v>617</v>
      </c>
      <c r="B136" t="s">
        <v>67</v>
      </c>
      <c r="C136" t="s">
        <v>618</v>
      </c>
      <c r="D136" t="s">
        <v>619</v>
      </c>
      <c r="E136" s="97" t="s">
        <v>3</v>
      </c>
      <c r="F136" t="s">
        <v>3</v>
      </c>
      <c r="G136" t="s">
        <v>67</v>
      </c>
      <c r="H136" t="s">
        <v>67</v>
      </c>
      <c r="I136" t="s">
        <v>3</v>
      </c>
      <c r="J136" t="s">
        <v>601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67</v>
      </c>
      <c r="U136" s="95" t="s">
        <v>620</v>
      </c>
    </row>
    <row r="137" spans="1:21" x14ac:dyDescent="0.45">
      <c r="A137" t="s">
        <v>621</v>
      </c>
      <c r="B137" t="s">
        <v>67</v>
      </c>
      <c r="C137" t="s">
        <v>622</v>
      </c>
      <c r="D137" t="s">
        <v>622</v>
      </c>
      <c r="E137" s="97" t="s">
        <v>3</v>
      </c>
      <c r="F137" t="s">
        <v>3</v>
      </c>
      <c r="G137" t="s">
        <v>67</v>
      </c>
      <c r="H137" t="s">
        <v>67</v>
      </c>
      <c r="I137" t="s">
        <v>3</v>
      </c>
      <c r="J137" t="s">
        <v>622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67</v>
      </c>
      <c r="U137" s="95" t="s">
        <v>623</v>
      </c>
    </row>
    <row r="138" spans="1:21" x14ac:dyDescent="0.45">
      <c r="A138" t="s">
        <v>624</v>
      </c>
      <c r="B138" t="s">
        <v>67</v>
      </c>
      <c r="C138" t="s">
        <v>535</v>
      </c>
      <c r="D138" t="s">
        <v>535</v>
      </c>
      <c r="E138" s="97" t="s">
        <v>3</v>
      </c>
      <c r="F138" t="s">
        <v>3</v>
      </c>
      <c r="G138" t="s">
        <v>67</v>
      </c>
      <c r="H138" t="s">
        <v>67</v>
      </c>
      <c r="I138" t="s">
        <v>3</v>
      </c>
      <c r="J138" t="s">
        <v>535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67</v>
      </c>
      <c r="U138" s="95" t="s">
        <v>625</v>
      </c>
    </row>
    <row r="139" spans="1:21" x14ac:dyDescent="0.45">
      <c r="A139" t="s">
        <v>626</v>
      </c>
      <c r="B139" t="s">
        <v>67</v>
      </c>
      <c r="C139" t="s">
        <v>627</v>
      </c>
      <c r="D139" t="s">
        <v>627</v>
      </c>
      <c r="E139" s="97" t="s">
        <v>3</v>
      </c>
      <c r="F139" t="s">
        <v>3</v>
      </c>
      <c r="G139" t="s">
        <v>67</v>
      </c>
      <c r="H139" t="s">
        <v>67</v>
      </c>
      <c r="I139" t="s">
        <v>3</v>
      </c>
      <c r="J139" t="s">
        <v>627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67</v>
      </c>
      <c r="U139" s="95" t="s">
        <v>628</v>
      </c>
    </row>
    <row r="140" spans="1:21" x14ac:dyDescent="0.45">
      <c r="A140" t="s">
        <v>629</v>
      </c>
      <c r="B140" t="s">
        <v>67</v>
      </c>
      <c r="C140" t="s">
        <v>630</v>
      </c>
      <c r="D140" t="s">
        <v>630</v>
      </c>
      <c r="E140" s="97" t="s">
        <v>3</v>
      </c>
      <c r="F140" t="s">
        <v>3</v>
      </c>
      <c r="G140" t="s">
        <v>67</v>
      </c>
      <c r="H140" t="s">
        <v>67</v>
      </c>
      <c r="I140" t="s">
        <v>3</v>
      </c>
      <c r="J140" t="s">
        <v>630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67</v>
      </c>
      <c r="U140" s="95" t="s">
        <v>631</v>
      </c>
    </row>
    <row r="141" spans="1:21" x14ac:dyDescent="0.45">
      <c r="A141" t="s">
        <v>632</v>
      </c>
      <c r="B141" t="s">
        <v>67</v>
      </c>
      <c r="C141" t="s">
        <v>633</v>
      </c>
      <c r="D141" t="s">
        <v>634</v>
      </c>
      <c r="E141" s="97" t="s">
        <v>3</v>
      </c>
      <c r="F141" t="s">
        <v>3</v>
      </c>
      <c r="G141" t="s">
        <v>67</v>
      </c>
      <c r="H141" t="s">
        <v>67</v>
      </c>
      <c r="I141" t="s">
        <v>3</v>
      </c>
      <c r="J141" t="s">
        <v>634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67</v>
      </c>
      <c r="U141" s="95" t="s">
        <v>635</v>
      </c>
    </row>
    <row r="142" spans="1:21" x14ac:dyDescent="0.45">
      <c r="A142" t="s">
        <v>636</v>
      </c>
      <c r="B142" t="s">
        <v>67</v>
      </c>
      <c r="C142" t="s">
        <v>633</v>
      </c>
      <c r="D142" t="s">
        <v>637</v>
      </c>
      <c r="E142" s="97" t="s">
        <v>3</v>
      </c>
      <c r="F142" t="s">
        <v>3</v>
      </c>
      <c r="G142" t="s">
        <v>67</v>
      </c>
      <c r="H142" t="s">
        <v>67</v>
      </c>
      <c r="I142" t="s">
        <v>3</v>
      </c>
      <c r="J142" t="s">
        <v>637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67</v>
      </c>
      <c r="U142" s="95" t="s">
        <v>638</v>
      </c>
    </row>
    <row r="143" spans="1:21" x14ac:dyDescent="0.45">
      <c r="A143" t="s">
        <v>81</v>
      </c>
      <c r="B143" t="s">
        <v>67</v>
      </c>
      <c r="C143" t="s">
        <v>639</v>
      </c>
      <c r="D143" t="s">
        <v>639</v>
      </c>
      <c r="E143" s="97" t="s">
        <v>3</v>
      </c>
      <c r="F143" t="s">
        <v>3</v>
      </c>
      <c r="G143" t="s">
        <v>67</v>
      </c>
      <c r="H143" t="s">
        <v>67</v>
      </c>
      <c r="I143" t="s">
        <v>3</v>
      </c>
      <c r="J143" t="s">
        <v>640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67</v>
      </c>
      <c r="U143" s="95" t="s">
        <v>641</v>
      </c>
    </row>
    <row r="144" spans="1:21" x14ac:dyDescent="0.45">
      <c r="A144" t="s">
        <v>642</v>
      </c>
      <c r="B144" t="s">
        <v>67</v>
      </c>
      <c r="C144" t="s">
        <v>217</v>
      </c>
      <c r="D144" t="s">
        <v>217</v>
      </c>
      <c r="E144" s="97" t="s">
        <v>3</v>
      </c>
      <c r="F144" t="s">
        <v>3</v>
      </c>
      <c r="G144" t="s">
        <v>67</v>
      </c>
      <c r="H144" t="s">
        <v>67</v>
      </c>
      <c r="I144" t="s">
        <v>3</v>
      </c>
      <c r="J144" t="s">
        <v>217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67</v>
      </c>
      <c r="U144" s="95" t="s">
        <v>643</v>
      </c>
    </row>
    <row r="145" spans="1:21" x14ac:dyDescent="0.45">
      <c r="A145" t="s">
        <v>644</v>
      </c>
      <c r="B145" t="s">
        <v>67</v>
      </c>
      <c r="C145" t="s">
        <v>309</v>
      </c>
      <c r="D145" t="s">
        <v>309</v>
      </c>
      <c r="E145" s="97" t="s">
        <v>3</v>
      </c>
      <c r="F145" t="s">
        <v>3</v>
      </c>
      <c r="G145" t="s">
        <v>67</v>
      </c>
      <c r="H145" t="s">
        <v>67</v>
      </c>
      <c r="I145" t="s">
        <v>3</v>
      </c>
      <c r="J145" t="s">
        <v>309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67</v>
      </c>
      <c r="U145" s="95" t="s">
        <v>645</v>
      </c>
    </row>
    <row r="146" spans="1:21" x14ac:dyDescent="0.45">
      <c r="A146" t="s">
        <v>646</v>
      </c>
      <c r="B146" t="s">
        <v>67</v>
      </c>
      <c r="C146" t="s">
        <v>647</v>
      </c>
      <c r="D146" t="s">
        <v>647</v>
      </c>
      <c r="E146" s="97" t="s">
        <v>3</v>
      </c>
      <c r="F146" t="s">
        <v>3</v>
      </c>
      <c r="G146" t="s">
        <v>67</v>
      </c>
      <c r="H146" t="s">
        <v>67</v>
      </c>
      <c r="I146" t="s">
        <v>3</v>
      </c>
      <c r="J146" t="s">
        <v>647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67</v>
      </c>
      <c r="U146" s="95" t="s">
        <v>648</v>
      </c>
    </row>
    <row r="147" spans="1:21" x14ac:dyDescent="0.45">
      <c r="A147" t="s">
        <v>649</v>
      </c>
      <c r="B147" t="s">
        <v>67</v>
      </c>
      <c r="C147" t="s">
        <v>650</v>
      </c>
      <c r="D147" t="s">
        <v>650</v>
      </c>
      <c r="E147" s="97" t="s">
        <v>3</v>
      </c>
      <c r="F147" t="s">
        <v>3</v>
      </c>
      <c r="G147" t="s">
        <v>67</v>
      </c>
      <c r="H147" t="s">
        <v>67</v>
      </c>
      <c r="I147" t="s">
        <v>3</v>
      </c>
      <c r="J147" t="s">
        <v>651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67</v>
      </c>
      <c r="U147" s="95" t="s">
        <v>652</v>
      </c>
    </row>
    <row r="148" spans="1:21" x14ac:dyDescent="0.45">
      <c r="A148" t="s">
        <v>653</v>
      </c>
      <c r="B148" t="s">
        <v>67</v>
      </c>
      <c r="C148" t="s">
        <v>313</v>
      </c>
      <c r="D148" t="s">
        <v>313</v>
      </c>
      <c r="E148" s="97" t="s">
        <v>3</v>
      </c>
      <c r="F148" t="s">
        <v>3</v>
      </c>
      <c r="G148" t="s">
        <v>67</v>
      </c>
      <c r="H148" t="s">
        <v>67</v>
      </c>
      <c r="I148" t="s">
        <v>3</v>
      </c>
      <c r="J148" t="s">
        <v>313</v>
      </c>
      <c r="K148" t="s">
        <v>3</v>
      </c>
      <c r="L148" t="s">
        <v>315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67</v>
      </c>
      <c r="U148" s="95" t="s">
        <v>654</v>
      </c>
    </row>
    <row r="149" spans="1:21" x14ac:dyDescent="0.45">
      <c r="A149" t="s">
        <v>655</v>
      </c>
      <c r="B149" t="s">
        <v>67</v>
      </c>
      <c r="C149"/>
      <c r="D149" t="s">
        <v>656</v>
      </c>
      <c r="E149" s="97" t="s">
        <v>3</v>
      </c>
      <c r="F149" t="s">
        <v>3</v>
      </c>
      <c r="G149" t="s">
        <v>67</v>
      </c>
      <c r="H149" t="s">
        <v>67</v>
      </c>
      <c r="I149" t="s">
        <v>3</v>
      </c>
      <c r="J149" t="s">
        <v>657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67</v>
      </c>
      <c r="U149" s="95" t="s">
        <v>658</v>
      </c>
    </row>
    <row r="150" spans="1:21" x14ac:dyDescent="0.45">
      <c r="A150" t="s">
        <v>659</v>
      </c>
      <c r="B150" t="s">
        <v>67</v>
      </c>
      <c r="C150" t="s">
        <v>660</v>
      </c>
      <c r="D150" t="s">
        <v>660</v>
      </c>
      <c r="E150" s="97" t="s">
        <v>3</v>
      </c>
      <c r="F150" t="s">
        <v>3</v>
      </c>
      <c r="G150" t="s">
        <v>67</v>
      </c>
      <c r="H150" t="s">
        <v>67</v>
      </c>
      <c r="I150" t="s">
        <v>3</v>
      </c>
      <c r="J150" t="s">
        <v>660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67</v>
      </c>
      <c r="U150" s="95" t="s">
        <v>661</v>
      </c>
    </row>
    <row r="151" spans="1:21" x14ac:dyDescent="0.45">
      <c r="A151" t="s">
        <v>662</v>
      </c>
      <c r="B151" t="s">
        <v>8</v>
      </c>
      <c r="C151" t="s">
        <v>663</v>
      </c>
      <c r="D151" t="s">
        <v>663</v>
      </c>
      <c r="E151" s="97" t="s">
        <v>3</v>
      </c>
      <c r="F151" t="s">
        <v>3</v>
      </c>
      <c r="G151" t="s">
        <v>105</v>
      </c>
      <c r="H151" t="s">
        <v>67</v>
      </c>
      <c r="I151" t="s">
        <v>3</v>
      </c>
      <c r="J151" t="s">
        <v>664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67</v>
      </c>
      <c r="U151" s="95" t="s">
        <v>665</v>
      </c>
    </row>
    <row r="152" spans="1:21" x14ac:dyDescent="0.45">
      <c r="A152" t="s">
        <v>666</v>
      </c>
      <c r="B152" t="s">
        <v>8</v>
      </c>
      <c r="C152" t="s">
        <v>667</v>
      </c>
      <c r="D152" t="s">
        <v>667</v>
      </c>
      <c r="E152" s="97" t="s">
        <v>3</v>
      </c>
      <c r="F152" t="s">
        <v>3</v>
      </c>
      <c r="G152" t="s">
        <v>105</v>
      </c>
      <c r="H152" t="s">
        <v>67</v>
      </c>
      <c r="I152" t="s">
        <v>3</v>
      </c>
      <c r="J152" t="s">
        <v>668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67</v>
      </c>
      <c r="U152" s="95" t="s">
        <v>669</v>
      </c>
    </row>
    <row r="153" spans="1:21" x14ac:dyDescent="0.45">
      <c r="A153" t="s">
        <v>670</v>
      </c>
      <c r="B153" t="s">
        <v>8</v>
      </c>
      <c r="C153" t="s">
        <v>671</v>
      </c>
      <c r="D153" t="s">
        <v>671</v>
      </c>
      <c r="E153" s="97" t="s">
        <v>3</v>
      </c>
      <c r="F153" t="s">
        <v>3</v>
      </c>
      <c r="G153" t="s">
        <v>105</v>
      </c>
      <c r="H153" t="s">
        <v>67</v>
      </c>
      <c r="I153" t="s">
        <v>3</v>
      </c>
      <c r="J153" t="s">
        <v>672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67</v>
      </c>
      <c r="U153" s="95" t="s">
        <v>673</v>
      </c>
    </row>
    <row r="154" spans="1:21" x14ac:dyDescent="0.45">
      <c r="A154" t="s">
        <v>674</v>
      </c>
      <c r="B154" t="s">
        <v>8</v>
      </c>
      <c r="C154" t="s">
        <v>675</v>
      </c>
      <c r="D154" t="s">
        <v>675</v>
      </c>
      <c r="E154" s="97" t="s">
        <v>3</v>
      </c>
      <c r="F154" t="s">
        <v>3</v>
      </c>
      <c r="G154" t="s">
        <v>105</v>
      </c>
      <c r="H154" t="s">
        <v>67</v>
      </c>
      <c r="I154" t="s">
        <v>3</v>
      </c>
      <c r="J154" t="s">
        <v>676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67</v>
      </c>
      <c r="U154" s="95" t="s">
        <v>677</v>
      </c>
    </row>
    <row r="155" spans="1:21" x14ac:dyDescent="0.45">
      <c r="A155" t="s">
        <v>678</v>
      </c>
      <c r="B155" t="s">
        <v>8</v>
      </c>
      <c r="C155" t="s">
        <v>679</v>
      </c>
      <c r="D155" t="s">
        <v>679</v>
      </c>
      <c r="E155" s="97" t="s">
        <v>3</v>
      </c>
      <c r="F155" t="s">
        <v>3</v>
      </c>
      <c r="G155" t="s">
        <v>105</v>
      </c>
      <c r="H155" t="s">
        <v>67</v>
      </c>
      <c r="I155" t="s">
        <v>3</v>
      </c>
      <c r="J155" t="s">
        <v>680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67</v>
      </c>
      <c r="U155" s="95" t="s">
        <v>681</v>
      </c>
    </row>
    <row r="156" spans="1:21" x14ac:dyDescent="0.45">
      <c r="A156" t="s">
        <v>682</v>
      </c>
      <c r="B156" t="s">
        <v>8</v>
      </c>
      <c r="C156" t="s">
        <v>683</v>
      </c>
      <c r="D156" t="s">
        <v>683</v>
      </c>
      <c r="E156" s="97" t="s">
        <v>3</v>
      </c>
      <c r="F156" t="s">
        <v>3</v>
      </c>
      <c r="G156" t="s">
        <v>105</v>
      </c>
      <c r="H156" t="s">
        <v>67</v>
      </c>
      <c r="I156" t="s">
        <v>3</v>
      </c>
      <c r="J156" t="s">
        <v>684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67</v>
      </c>
      <c r="U156" s="95" t="s">
        <v>685</v>
      </c>
    </row>
    <row r="157" spans="1:21" x14ac:dyDescent="0.45">
      <c r="A157" t="s">
        <v>74</v>
      </c>
      <c r="B157" t="s">
        <v>8</v>
      </c>
      <c r="C157" t="s">
        <v>686</v>
      </c>
      <c r="D157" t="s">
        <v>686</v>
      </c>
      <c r="E157" s="97" t="s">
        <v>3</v>
      </c>
      <c r="F157" t="s">
        <v>687</v>
      </c>
      <c r="G157" t="s">
        <v>8</v>
      </c>
      <c r="H157" t="s">
        <v>67</v>
      </c>
      <c r="I157" t="s">
        <v>3</v>
      </c>
      <c r="J157" t="s">
        <v>688</v>
      </c>
      <c r="K157" t="s">
        <v>3</v>
      </c>
      <c r="L157" t="s">
        <v>689</v>
      </c>
      <c r="M157" t="s">
        <v>3</v>
      </c>
      <c r="N157" t="s">
        <v>217</v>
      </c>
      <c r="O157" t="s">
        <v>3</v>
      </c>
      <c r="P157"/>
      <c r="Q157" t="s">
        <v>3</v>
      </c>
      <c r="R157"/>
      <c r="S157" t="s">
        <v>3</v>
      </c>
      <c r="T157" t="s">
        <v>67</v>
      </c>
      <c r="U157" s="95" t="s">
        <v>690</v>
      </c>
    </row>
    <row r="158" spans="1:21" x14ac:dyDescent="0.45">
      <c r="A158" t="s">
        <v>687</v>
      </c>
      <c r="B158" t="s">
        <v>8</v>
      </c>
      <c r="C158" t="s">
        <v>686</v>
      </c>
      <c r="D158" t="s">
        <v>686</v>
      </c>
      <c r="E158" s="97" t="s">
        <v>3</v>
      </c>
      <c r="F158" t="s">
        <v>687</v>
      </c>
      <c r="G158" t="s">
        <v>8</v>
      </c>
      <c r="H158" t="s">
        <v>67</v>
      </c>
      <c r="I158" t="s">
        <v>3</v>
      </c>
      <c r="J158" t="s">
        <v>688</v>
      </c>
      <c r="K158" t="s">
        <v>3</v>
      </c>
      <c r="L158" t="s">
        <v>689</v>
      </c>
      <c r="M158" t="s">
        <v>3</v>
      </c>
      <c r="N158" t="s">
        <v>217</v>
      </c>
      <c r="O158" t="s">
        <v>3</v>
      </c>
      <c r="P158"/>
      <c r="Q158" t="s">
        <v>3</v>
      </c>
      <c r="R158"/>
      <c r="S158" t="s">
        <v>3</v>
      </c>
      <c r="T158" t="s">
        <v>67</v>
      </c>
      <c r="U158" s="95" t="s">
        <v>691</v>
      </c>
    </row>
    <row r="159" spans="1:21" x14ac:dyDescent="0.45">
      <c r="A159" t="s">
        <v>692</v>
      </c>
      <c r="B159" t="s">
        <v>67</v>
      </c>
      <c r="C159" t="s">
        <v>693</v>
      </c>
      <c r="D159" t="s">
        <v>693</v>
      </c>
      <c r="E159" s="97" t="s">
        <v>3</v>
      </c>
      <c r="F159" t="s">
        <v>694</v>
      </c>
      <c r="G159" t="s">
        <v>67</v>
      </c>
      <c r="H159" t="s">
        <v>3</v>
      </c>
      <c r="I159" t="s">
        <v>3</v>
      </c>
      <c r="J159" t="s">
        <v>693</v>
      </c>
      <c r="K159" t="s">
        <v>3</v>
      </c>
      <c r="L159" t="s">
        <v>315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67</v>
      </c>
      <c r="U159" s="95" t="s">
        <v>695</v>
      </c>
    </row>
    <row r="160" spans="1:21" x14ac:dyDescent="0.45">
      <c r="A160" t="s">
        <v>696</v>
      </c>
      <c r="B160" t="s">
        <v>67</v>
      </c>
      <c r="C160" t="s">
        <v>697</v>
      </c>
      <c r="D160" t="s">
        <v>697</v>
      </c>
      <c r="E160" s="97" t="s">
        <v>3</v>
      </c>
      <c r="F160" t="s">
        <v>698</v>
      </c>
      <c r="G160" t="s">
        <v>67</v>
      </c>
      <c r="H160" t="s">
        <v>67</v>
      </c>
      <c r="I160" t="s">
        <v>3</v>
      </c>
      <c r="J160" t="s">
        <v>204</v>
      </c>
      <c r="K160" t="s">
        <v>8</v>
      </c>
      <c r="L160" t="s">
        <v>699</v>
      </c>
      <c r="M160" t="s">
        <v>3</v>
      </c>
      <c r="N160" t="s">
        <v>700</v>
      </c>
      <c r="O160" t="s">
        <v>3</v>
      </c>
      <c r="P160" t="s">
        <v>701</v>
      </c>
      <c r="Q160" t="s">
        <v>3</v>
      </c>
      <c r="R160" t="s">
        <v>315</v>
      </c>
      <c r="S160" t="s">
        <v>3</v>
      </c>
      <c r="T160" t="s">
        <v>72</v>
      </c>
      <c r="U160" s="95" t="s">
        <v>702</v>
      </c>
    </row>
    <row r="161" spans="1:21" x14ac:dyDescent="0.45">
      <c r="A161" t="s">
        <v>698</v>
      </c>
      <c r="B161" t="s">
        <v>67</v>
      </c>
      <c r="C161" t="s">
        <v>703</v>
      </c>
      <c r="D161" t="s">
        <v>703</v>
      </c>
      <c r="E161" s="97" t="s">
        <v>3</v>
      </c>
      <c r="F161" t="s">
        <v>3</v>
      </c>
      <c r="G161" t="s">
        <v>67</v>
      </c>
      <c r="H161" t="s">
        <v>67</v>
      </c>
      <c r="I161" t="s">
        <v>3</v>
      </c>
      <c r="J161" t="s">
        <v>703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67</v>
      </c>
      <c r="U161" s="95" t="s">
        <v>704</v>
      </c>
    </row>
    <row r="162" spans="1:21" x14ac:dyDescent="0.45">
      <c r="A162" t="s">
        <v>705</v>
      </c>
      <c r="B162" t="s">
        <v>67</v>
      </c>
      <c r="C162" t="s">
        <v>706</v>
      </c>
      <c r="D162" t="s">
        <v>706</v>
      </c>
      <c r="E162" s="97" t="s">
        <v>3</v>
      </c>
      <c r="F162" t="s">
        <v>3</v>
      </c>
      <c r="G162" t="s">
        <v>67</v>
      </c>
      <c r="H162" t="s">
        <v>67</v>
      </c>
      <c r="I162" t="s">
        <v>3</v>
      </c>
      <c r="J162" t="s">
        <v>706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67</v>
      </c>
      <c r="U162" s="95" t="s">
        <v>707</v>
      </c>
    </row>
    <row r="163" spans="1:21" x14ac:dyDescent="0.45">
      <c r="A163" t="s">
        <v>708</v>
      </c>
      <c r="B163" t="s">
        <v>67</v>
      </c>
      <c r="C163" t="s">
        <v>709</v>
      </c>
      <c r="D163" t="s">
        <v>709</v>
      </c>
      <c r="E163" s="97" t="s">
        <v>3</v>
      </c>
      <c r="F163" t="s">
        <v>3</v>
      </c>
      <c r="G163" t="s">
        <v>67</v>
      </c>
      <c r="H163" t="s">
        <v>67</v>
      </c>
      <c r="I163" t="s">
        <v>3</v>
      </c>
      <c r="J163" t="s">
        <v>709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67</v>
      </c>
      <c r="U163" s="95" t="s">
        <v>710</v>
      </c>
    </row>
    <row r="164" spans="1:21" x14ac:dyDescent="0.45">
      <c r="A164" t="s">
        <v>711</v>
      </c>
      <c r="B164" t="s">
        <v>67</v>
      </c>
      <c r="C164" t="s">
        <v>712</v>
      </c>
      <c r="D164" t="s">
        <v>712</v>
      </c>
      <c r="E164" s="97" t="s">
        <v>3</v>
      </c>
      <c r="F164" t="s">
        <v>3</v>
      </c>
      <c r="G164" t="s">
        <v>67</v>
      </c>
      <c r="H164" t="s">
        <v>67</v>
      </c>
      <c r="I164" t="s">
        <v>3</v>
      </c>
      <c r="J164" t="s">
        <v>712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67</v>
      </c>
      <c r="U164" s="95" t="s">
        <v>713</v>
      </c>
    </row>
    <row r="165" spans="1:21" x14ac:dyDescent="0.45">
      <c r="A165" t="s">
        <v>714</v>
      </c>
      <c r="B165" t="s">
        <v>67</v>
      </c>
      <c r="C165" t="s">
        <v>715</v>
      </c>
      <c r="D165" t="s">
        <v>715</v>
      </c>
      <c r="E165" s="97" t="s">
        <v>3</v>
      </c>
      <c r="F165" t="s">
        <v>3</v>
      </c>
      <c r="G165" t="s">
        <v>67</v>
      </c>
      <c r="H165" t="s">
        <v>67</v>
      </c>
      <c r="I165" t="s">
        <v>3</v>
      </c>
      <c r="J165" t="s">
        <v>715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67</v>
      </c>
      <c r="U165" s="95" t="s">
        <v>716</v>
      </c>
    </row>
    <row r="166" spans="1:21" x14ac:dyDescent="0.45">
      <c r="A166" t="s">
        <v>717</v>
      </c>
      <c r="B166" t="s">
        <v>67</v>
      </c>
      <c r="C166" t="s">
        <v>718</v>
      </c>
      <c r="D166" t="s">
        <v>718</v>
      </c>
      <c r="E166" s="97" t="s">
        <v>3</v>
      </c>
      <c r="F166" t="s">
        <v>3</v>
      </c>
      <c r="G166" t="s">
        <v>67</v>
      </c>
      <c r="H166" t="s">
        <v>67</v>
      </c>
      <c r="I166" t="s">
        <v>3</v>
      </c>
      <c r="J166" t="s">
        <v>718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67</v>
      </c>
      <c r="U166" s="95" t="s">
        <v>719</v>
      </c>
    </row>
    <row r="167" spans="1:21" x14ac:dyDescent="0.45">
      <c r="A167" t="s">
        <v>720</v>
      </c>
      <c r="B167" t="s">
        <v>67</v>
      </c>
      <c r="C167" t="s">
        <v>721</v>
      </c>
      <c r="D167" t="s">
        <v>721</v>
      </c>
      <c r="E167" s="97" t="s">
        <v>3</v>
      </c>
      <c r="F167" t="s">
        <v>3</v>
      </c>
      <c r="G167" t="s">
        <v>67</v>
      </c>
      <c r="H167" t="s">
        <v>67</v>
      </c>
      <c r="I167" t="s">
        <v>3</v>
      </c>
      <c r="J167" t="s">
        <v>721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67</v>
      </c>
      <c r="U167" s="95" t="s">
        <v>722</v>
      </c>
    </row>
    <row r="168" spans="1:21" x14ac:dyDescent="0.45">
      <c r="A168" t="s">
        <v>723</v>
      </c>
      <c r="B168" t="s">
        <v>67</v>
      </c>
      <c r="C168" t="s">
        <v>724</v>
      </c>
      <c r="D168" t="s">
        <v>724</v>
      </c>
      <c r="E168" s="97" t="s">
        <v>3</v>
      </c>
      <c r="F168" t="s">
        <v>3</v>
      </c>
      <c r="G168" t="s">
        <v>67</v>
      </c>
      <c r="H168" t="s">
        <v>67</v>
      </c>
      <c r="I168" t="s">
        <v>3</v>
      </c>
      <c r="J168" t="s">
        <v>724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67</v>
      </c>
      <c r="U168" s="95" t="s">
        <v>725</v>
      </c>
    </row>
    <row r="169" spans="1:21" x14ac:dyDescent="0.45">
      <c r="A169" t="s">
        <v>726</v>
      </c>
      <c r="B169" t="s">
        <v>67</v>
      </c>
      <c r="C169" t="s">
        <v>727</v>
      </c>
      <c r="D169" t="s">
        <v>727</v>
      </c>
      <c r="E169" s="97" t="s">
        <v>3</v>
      </c>
      <c r="F169" t="s">
        <v>3</v>
      </c>
      <c r="G169" t="s">
        <v>67</v>
      </c>
      <c r="H169" t="s">
        <v>67</v>
      </c>
      <c r="I169" t="s">
        <v>3</v>
      </c>
      <c r="J169" t="s">
        <v>204</v>
      </c>
      <c r="K169" t="s">
        <v>8</v>
      </c>
      <c r="L169" t="s">
        <v>313</v>
      </c>
      <c r="M169" t="s">
        <v>3</v>
      </c>
      <c r="N169" t="s">
        <v>728</v>
      </c>
      <c r="O169" t="s">
        <v>3</v>
      </c>
      <c r="P169" t="s">
        <v>729</v>
      </c>
      <c r="Q169" t="s">
        <v>3</v>
      </c>
      <c r="R169" t="s">
        <v>730</v>
      </c>
      <c r="S169" t="s">
        <v>3</v>
      </c>
      <c r="T169" t="s">
        <v>67</v>
      </c>
      <c r="U169" s="95" t="s">
        <v>731</v>
      </c>
    </row>
    <row r="170" spans="1:21" x14ac:dyDescent="0.45">
      <c r="A170" t="s">
        <v>732</v>
      </c>
      <c r="B170" t="s">
        <v>67</v>
      </c>
      <c r="C170" t="s">
        <v>733</v>
      </c>
      <c r="D170" t="s">
        <v>733</v>
      </c>
      <c r="E170" s="97" t="s">
        <v>3</v>
      </c>
      <c r="F170" t="s">
        <v>3</v>
      </c>
      <c r="G170" t="s">
        <v>67</v>
      </c>
      <c r="H170" t="s">
        <v>67</v>
      </c>
      <c r="I170" t="s">
        <v>3</v>
      </c>
      <c r="J170" t="s">
        <v>733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67</v>
      </c>
      <c r="U170" s="95" t="s">
        <v>734</v>
      </c>
    </row>
    <row r="171" spans="1:21" x14ac:dyDescent="0.45">
      <c r="A171" t="s">
        <v>735</v>
      </c>
      <c r="B171" t="s">
        <v>67</v>
      </c>
      <c r="C171" t="s">
        <v>736</v>
      </c>
      <c r="D171" t="s">
        <v>736</v>
      </c>
      <c r="E171" s="97" t="s">
        <v>3</v>
      </c>
      <c r="F171" t="s">
        <v>3</v>
      </c>
      <c r="G171" t="s">
        <v>67</v>
      </c>
      <c r="H171" t="s">
        <v>67</v>
      </c>
      <c r="I171" t="s">
        <v>3</v>
      </c>
      <c r="J171" t="s">
        <v>736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67</v>
      </c>
      <c r="U171" s="95" t="s">
        <v>737</v>
      </c>
    </row>
    <row r="172" spans="1:21" x14ac:dyDescent="0.45">
      <c r="A172" t="s">
        <v>738</v>
      </c>
      <c r="B172" t="s">
        <v>67</v>
      </c>
      <c r="C172" t="s">
        <v>739</v>
      </c>
      <c r="D172" t="s">
        <v>739</v>
      </c>
      <c r="E172" s="97" t="s">
        <v>3</v>
      </c>
      <c r="F172" t="s">
        <v>3</v>
      </c>
      <c r="G172" t="s">
        <v>67</v>
      </c>
      <c r="H172" t="s">
        <v>67</v>
      </c>
      <c r="I172" t="s">
        <v>3</v>
      </c>
      <c r="J172" t="s">
        <v>739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67</v>
      </c>
      <c r="U172" s="95" t="s">
        <v>740</v>
      </c>
    </row>
    <row r="173" spans="1:21" x14ac:dyDescent="0.45">
      <c r="A173" t="s">
        <v>741</v>
      </c>
      <c r="B173" t="s">
        <v>67</v>
      </c>
      <c r="C173" t="s">
        <v>742</v>
      </c>
      <c r="D173" t="s">
        <v>742</v>
      </c>
      <c r="E173" s="97" t="s">
        <v>3</v>
      </c>
      <c r="F173" t="s">
        <v>3</v>
      </c>
      <c r="G173" t="s">
        <v>67</v>
      </c>
      <c r="H173" t="s">
        <v>67</v>
      </c>
      <c r="I173" t="s">
        <v>3</v>
      </c>
      <c r="J173" t="s">
        <v>742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67</v>
      </c>
      <c r="U173" s="95" t="s">
        <v>743</v>
      </c>
    </row>
    <row r="174" spans="1:21" x14ac:dyDescent="0.45">
      <c r="A174" t="s">
        <v>744</v>
      </c>
      <c r="B174" t="s">
        <v>67</v>
      </c>
      <c r="C174" t="s">
        <v>745</v>
      </c>
      <c r="D174" t="s">
        <v>745</v>
      </c>
      <c r="E174" s="97" t="s">
        <v>3</v>
      </c>
      <c r="F174" t="s">
        <v>3</v>
      </c>
      <c r="G174" t="s">
        <v>67</v>
      </c>
      <c r="H174" t="s">
        <v>67</v>
      </c>
      <c r="I174" t="s">
        <v>3</v>
      </c>
      <c r="J174" t="s">
        <v>746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67</v>
      </c>
      <c r="U174" s="95" t="s">
        <v>747</v>
      </c>
    </row>
    <row r="175" spans="1:21" x14ac:dyDescent="0.45">
      <c r="A175" t="s">
        <v>748</v>
      </c>
      <c r="B175" t="s">
        <v>67</v>
      </c>
      <c r="C175" t="s">
        <v>749</v>
      </c>
      <c r="D175" t="s">
        <v>749</v>
      </c>
      <c r="E175" s="97" t="s">
        <v>3</v>
      </c>
      <c r="F175" t="s">
        <v>3</v>
      </c>
      <c r="G175" t="s">
        <v>67</v>
      </c>
      <c r="H175" t="s">
        <v>67</v>
      </c>
      <c r="I175" t="s">
        <v>3</v>
      </c>
      <c r="J175" t="s">
        <v>749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67</v>
      </c>
      <c r="U175" s="95" t="s">
        <v>750</v>
      </c>
    </row>
    <row r="176" spans="1:21" x14ac:dyDescent="0.45">
      <c r="A176" t="s">
        <v>751</v>
      </c>
      <c r="B176" t="s">
        <v>67</v>
      </c>
      <c r="C176" t="s">
        <v>752</v>
      </c>
      <c r="D176" t="s">
        <v>752</v>
      </c>
      <c r="E176" s="97" t="s">
        <v>3</v>
      </c>
      <c r="F176" t="s">
        <v>3</v>
      </c>
      <c r="G176" t="s">
        <v>67</v>
      </c>
      <c r="H176" t="s">
        <v>67</v>
      </c>
      <c r="I176" t="s">
        <v>3</v>
      </c>
      <c r="J176" t="s">
        <v>752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67</v>
      </c>
      <c r="U176" s="95" t="s">
        <v>753</v>
      </c>
    </row>
    <row r="177" spans="1:21" x14ac:dyDescent="0.45">
      <c r="A177" t="s">
        <v>754</v>
      </c>
      <c r="B177" t="s">
        <v>67</v>
      </c>
      <c r="C177" t="s">
        <v>573</v>
      </c>
      <c r="D177" t="s">
        <v>573</v>
      </c>
      <c r="E177" s="97" t="s">
        <v>3</v>
      </c>
      <c r="F177" t="s">
        <v>3</v>
      </c>
      <c r="G177" t="s">
        <v>67</v>
      </c>
      <c r="H177" t="s">
        <v>67</v>
      </c>
      <c r="I177" t="s">
        <v>3</v>
      </c>
      <c r="J177" t="s">
        <v>573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67</v>
      </c>
      <c r="U177" s="95" t="s">
        <v>755</v>
      </c>
    </row>
    <row r="178" spans="1:21" x14ac:dyDescent="0.45">
      <c r="A178" t="s">
        <v>756</v>
      </c>
      <c r="B178" t="s">
        <v>67</v>
      </c>
      <c r="C178" t="s">
        <v>576</v>
      </c>
      <c r="D178" t="s">
        <v>576</v>
      </c>
      <c r="E178" s="97" t="s">
        <v>3</v>
      </c>
      <c r="F178" t="s">
        <v>3</v>
      </c>
      <c r="G178" t="s">
        <v>67</v>
      </c>
      <c r="H178" t="s">
        <v>67</v>
      </c>
      <c r="I178" t="s">
        <v>3</v>
      </c>
      <c r="J178" t="s">
        <v>576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67</v>
      </c>
      <c r="U178" s="95" t="s">
        <v>757</v>
      </c>
    </row>
    <row r="179" spans="1:21" x14ac:dyDescent="0.45">
      <c r="A179" t="s">
        <v>758</v>
      </c>
      <c r="B179" t="s">
        <v>67</v>
      </c>
      <c r="C179" t="s">
        <v>729</v>
      </c>
      <c r="D179" t="s">
        <v>729</v>
      </c>
      <c r="E179" s="97" t="s">
        <v>3</v>
      </c>
      <c r="F179" t="s">
        <v>3</v>
      </c>
      <c r="G179" t="s">
        <v>67</v>
      </c>
      <c r="H179" t="s">
        <v>67</v>
      </c>
      <c r="I179" t="s">
        <v>3</v>
      </c>
      <c r="J179" t="s">
        <v>729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67</v>
      </c>
      <c r="U179" s="95" t="s">
        <v>759</v>
      </c>
    </row>
    <row r="180" spans="1:21" x14ac:dyDescent="0.45">
      <c r="A180" t="s">
        <v>760</v>
      </c>
      <c r="B180" t="s">
        <v>67</v>
      </c>
      <c r="C180" t="s">
        <v>730</v>
      </c>
      <c r="D180" t="s">
        <v>730</v>
      </c>
      <c r="E180" s="97" t="s">
        <v>3</v>
      </c>
      <c r="F180" t="s">
        <v>3</v>
      </c>
      <c r="G180" t="s">
        <v>67</v>
      </c>
      <c r="H180" t="s">
        <v>67</v>
      </c>
      <c r="I180" t="s">
        <v>3</v>
      </c>
      <c r="J180" t="s">
        <v>730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67</v>
      </c>
      <c r="U180" s="95" t="s">
        <v>761</v>
      </c>
    </row>
    <row r="181" spans="1:21" x14ac:dyDescent="0.45">
      <c r="A181" t="s">
        <v>762</v>
      </c>
      <c r="B181" t="s">
        <v>67</v>
      </c>
      <c r="C181" t="s">
        <v>763</v>
      </c>
      <c r="D181" t="s">
        <v>763</v>
      </c>
      <c r="E181" s="97" t="s">
        <v>3</v>
      </c>
      <c r="F181" t="s">
        <v>3</v>
      </c>
      <c r="G181" t="s">
        <v>67</v>
      </c>
      <c r="H181" t="s">
        <v>67</v>
      </c>
      <c r="I181" t="s">
        <v>3</v>
      </c>
      <c r="J181" t="s">
        <v>313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67</v>
      </c>
      <c r="U181" s="95" t="s">
        <v>764</v>
      </c>
    </row>
    <row r="182" spans="1:21" x14ac:dyDescent="0.45">
      <c r="A182" t="s">
        <v>765</v>
      </c>
      <c r="B182" t="s">
        <v>67</v>
      </c>
      <c r="C182" t="s">
        <v>766</v>
      </c>
      <c r="D182" t="s">
        <v>766</v>
      </c>
      <c r="E182" s="97" t="s">
        <v>3</v>
      </c>
      <c r="F182" t="s">
        <v>3</v>
      </c>
      <c r="G182" t="s">
        <v>67</v>
      </c>
      <c r="H182" t="s">
        <v>67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67</v>
      </c>
      <c r="U182" s="95" t="s">
        <v>767</v>
      </c>
    </row>
    <row r="183" spans="1:21" x14ac:dyDescent="0.45">
      <c r="A183" t="s">
        <v>768</v>
      </c>
      <c r="B183" t="s">
        <v>67</v>
      </c>
      <c r="C183" t="s">
        <v>769</v>
      </c>
      <c r="D183" t="s">
        <v>769</v>
      </c>
      <c r="E183" s="97" t="s">
        <v>3</v>
      </c>
      <c r="F183" t="s">
        <v>3</v>
      </c>
      <c r="G183" t="s">
        <v>67</v>
      </c>
      <c r="H183" t="s">
        <v>67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67</v>
      </c>
      <c r="U183" s="95" t="s">
        <v>770</v>
      </c>
    </row>
    <row r="184" spans="1:21" x14ac:dyDescent="0.45">
      <c r="A184" t="s">
        <v>771</v>
      </c>
      <c r="B184" t="s">
        <v>67</v>
      </c>
      <c r="C184" t="s">
        <v>772</v>
      </c>
      <c r="D184" t="s">
        <v>772</v>
      </c>
      <c r="E184" s="97" t="s">
        <v>3</v>
      </c>
      <c r="F184" t="s">
        <v>3</v>
      </c>
      <c r="G184" t="s">
        <v>67</v>
      </c>
      <c r="H184" t="s">
        <v>67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67</v>
      </c>
      <c r="U184" s="95" t="s">
        <v>773</v>
      </c>
    </row>
    <row r="185" spans="1:21" x14ac:dyDescent="0.45">
      <c r="A185" t="s">
        <v>774</v>
      </c>
      <c r="B185" t="s">
        <v>67</v>
      </c>
      <c r="C185" t="s">
        <v>775</v>
      </c>
      <c r="D185" t="s">
        <v>775</v>
      </c>
      <c r="E185" s="97" t="s">
        <v>3</v>
      </c>
      <c r="F185" t="s">
        <v>3</v>
      </c>
      <c r="G185" t="s">
        <v>67</v>
      </c>
      <c r="H185" t="s">
        <v>67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67</v>
      </c>
      <c r="U185" s="95" t="s">
        <v>776</v>
      </c>
    </row>
    <row r="186" spans="1:21" x14ac:dyDescent="0.45">
      <c r="A186" t="s">
        <v>777</v>
      </c>
      <c r="B186" t="s">
        <v>67</v>
      </c>
      <c r="C186" t="s">
        <v>778</v>
      </c>
      <c r="D186" t="s">
        <v>778</v>
      </c>
      <c r="E186" s="97" t="s">
        <v>3</v>
      </c>
      <c r="F186" t="s">
        <v>3</v>
      </c>
      <c r="G186" t="s">
        <v>67</v>
      </c>
      <c r="H186" t="s">
        <v>67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67</v>
      </c>
      <c r="U186" s="95" t="s">
        <v>779</v>
      </c>
    </row>
    <row r="187" spans="1:21" x14ac:dyDescent="0.45">
      <c r="A187" t="s">
        <v>780</v>
      </c>
      <c r="B187" t="s">
        <v>67</v>
      </c>
      <c r="C187" t="s">
        <v>781</v>
      </c>
      <c r="D187" t="s">
        <v>781</v>
      </c>
      <c r="E187" s="97" t="s">
        <v>3</v>
      </c>
      <c r="F187" t="s">
        <v>3</v>
      </c>
      <c r="G187" t="s">
        <v>67</v>
      </c>
      <c r="H187" t="s">
        <v>67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67</v>
      </c>
      <c r="U187" s="95" t="s">
        <v>782</v>
      </c>
    </row>
    <row r="188" spans="1:21" x14ac:dyDescent="0.45">
      <c r="A188" t="s">
        <v>783</v>
      </c>
      <c r="B188" t="s">
        <v>67</v>
      </c>
      <c r="C188" t="s">
        <v>660</v>
      </c>
      <c r="D188" t="s">
        <v>660</v>
      </c>
      <c r="E188" s="97" t="s">
        <v>3</v>
      </c>
      <c r="F188" t="s">
        <v>3</v>
      </c>
      <c r="G188" t="s">
        <v>67</v>
      </c>
      <c r="H188" t="s">
        <v>67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67</v>
      </c>
      <c r="U188" s="95" t="s">
        <v>784</v>
      </c>
    </row>
    <row r="189" spans="1:21" x14ac:dyDescent="0.45">
      <c r="A189" t="s">
        <v>785</v>
      </c>
      <c r="B189" t="s">
        <v>67</v>
      </c>
      <c r="C189" t="s">
        <v>309</v>
      </c>
      <c r="D189" t="s">
        <v>309</v>
      </c>
      <c r="E189" s="97" t="s">
        <v>3</v>
      </c>
      <c r="F189" t="s">
        <v>3</v>
      </c>
      <c r="G189" t="s">
        <v>67</v>
      </c>
      <c r="H189" t="s">
        <v>67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67</v>
      </c>
      <c r="U189" s="95" t="s">
        <v>786</v>
      </c>
    </row>
    <row r="190" spans="1:21" x14ac:dyDescent="0.45">
      <c r="A190" t="s">
        <v>787</v>
      </c>
      <c r="B190" t="s">
        <v>67</v>
      </c>
      <c r="C190" t="s">
        <v>788</v>
      </c>
      <c r="D190" t="s">
        <v>788</v>
      </c>
      <c r="E190" s="97" t="s">
        <v>3</v>
      </c>
      <c r="F190" t="s">
        <v>3</v>
      </c>
      <c r="G190" t="s">
        <v>67</v>
      </c>
      <c r="H190" t="s">
        <v>67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67</v>
      </c>
      <c r="U190" s="95" t="s">
        <v>789</v>
      </c>
    </row>
    <row r="191" spans="1:21" x14ac:dyDescent="0.45">
      <c r="A191" t="s">
        <v>790</v>
      </c>
      <c r="B191" t="s">
        <v>67</v>
      </c>
      <c r="C191" t="s">
        <v>791</v>
      </c>
      <c r="D191" t="s">
        <v>791</v>
      </c>
      <c r="E191" s="97" t="s">
        <v>3</v>
      </c>
      <c r="F191" t="s">
        <v>3</v>
      </c>
      <c r="G191" t="s">
        <v>67</v>
      </c>
      <c r="H191" t="s">
        <v>67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67</v>
      </c>
      <c r="U191" s="95" t="s">
        <v>792</v>
      </c>
    </row>
    <row r="192" spans="1:21" x14ac:dyDescent="0.45">
      <c r="A192" t="s">
        <v>793</v>
      </c>
      <c r="B192" t="s">
        <v>67</v>
      </c>
      <c r="C192" t="s">
        <v>794</v>
      </c>
      <c r="D192" t="s">
        <v>794</v>
      </c>
      <c r="E192" s="97" t="s">
        <v>3</v>
      </c>
      <c r="F192" t="s">
        <v>3</v>
      </c>
      <c r="G192" t="s">
        <v>67</v>
      </c>
      <c r="H192" t="s">
        <v>67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67</v>
      </c>
      <c r="U192" s="95" t="s">
        <v>795</v>
      </c>
    </row>
    <row r="193" spans="1:21" x14ac:dyDescent="0.45">
      <c r="A193" t="s">
        <v>796</v>
      </c>
      <c r="B193" t="s">
        <v>67</v>
      </c>
      <c r="C193" t="s">
        <v>797</v>
      </c>
      <c r="D193" t="s">
        <v>797</v>
      </c>
      <c r="E193" s="97" t="s">
        <v>3</v>
      </c>
      <c r="F193" t="s">
        <v>3</v>
      </c>
      <c r="G193" t="s">
        <v>67</v>
      </c>
      <c r="H193" t="s">
        <v>67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67</v>
      </c>
      <c r="U193" s="95" t="s">
        <v>798</v>
      </c>
    </row>
    <row r="194" spans="1:21" x14ac:dyDescent="0.45">
      <c r="A194" t="s">
        <v>799</v>
      </c>
      <c r="B194" t="s">
        <v>67</v>
      </c>
      <c r="C194" t="s">
        <v>800</v>
      </c>
      <c r="D194" t="s">
        <v>800</v>
      </c>
      <c r="E194" s="98" t="s">
        <v>3</v>
      </c>
      <c r="F194" t="s">
        <v>3</v>
      </c>
      <c r="G194" t="s">
        <v>67</v>
      </c>
      <c r="H194" t="s">
        <v>67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67</v>
      </c>
      <c r="U194" s="95" t="s">
        <v>801</v>
      </c>
    </row>
    <row r="195" spans="1:21" x14ac:dyDescent="0.45">
      <c r="A195" t="s">
        <v>802</v>
      </c>
      <c r="B195" t="s">
        <v>67</v>
      </c>
      <c r="C195" t="s">
        <v>803</v>
      </c>
      <c r="D195" t="s">
        <v>803</v>
      </c>
      <c r="E195" s="97" t="s">
        <v>3</v>
      </c>
      <c r="F195" t="s">
        <v>3</v>
      </c>
      <c r="G195" t="s">
        <v>67</v>
      </c>
      <c r="H195" t="s">
        <v>67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67</v>
      </c>
      <c r="U195" s="95" t="s">
        <v>804</v>
      </c>
    </row>
    <row r="196" spans="1:21" x14ac:dyDescent="0.45">
      <c r="A196" t="s">
        <v>805</v>
      </c>
      <c r="B196" t="s">
        <v>67</v>
      </c>
      <c r="C196" t="s">
        <v>806</v>
      </c>
      <c r="D196" t="s">
        <v>806</v>
      </c>
      <c r="E196" s="97" t="s">
        <v>3</v>
      </c>
      <c r="F196" t="s">
        <v>3</v>
      </c>
      <c r="G196" t="s">
        <v>67</v>
      </c>
      <c r="H196" t="s">
        <v>67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67</v>
      </c>
      <c r="U196" s="95" t="s">
        <v>807</v>
      </c>
    </row>
    <row r="197" spans="1:21" x14ac:dyDescent="0.45">
      <c r="A197" t="s">
        <v>808</v>
      </c>
      <c r="B197" t="s">
        <v>67</v>
      </c>
      <c r="C197" t="s">
        <v>809</v>
      </c>
      <c r="D197" t="s">
        <v>809</v>
      </c>
      <c r="E197" s="97" t="s">
        <v>3</v>
      </c>
      <c r="F197" t="s">
        <v>3</v>
      </c>
      <c r="G197" t="s">
        <v>67</v>
      </c>
      <c r="H197" t="s">
        <v>67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67</v>
      </c>
      <c r="U197" s="95" t="s">
        <v>810</v>
      </c>
    </row>
    <row r="198" spans="1:21" x14ac:dyDescent="0.45">
      <c r="A198" t="s">
        <v>811</v>
      </c>
      <c r="B198" t="s">
        <v>8</v>
      </c>
      <c r="C198" t="s">
        <v>812</v>
      </c>
      <c r="D198" t="s">
        <v>812</v>
      </c>
      <c r="E198" s="97" t="s">
        <v>3</v>
      </c>
      <c r="F198" t="s">
        <v>3</v>
      </c>
      <c r="G198" t="s">
        <v>105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67</v>
      </c>
      <c r="U198" s="95" t="s">
        <v>813</v>
      </c>
    </row>
    <row r="199" spans="1:21" x14ac:dyDescent="0.45">
      <c r="A199" t="s">
        <v>814</v>
      </c>
      <c r="B199" t="s">
        <v>8</v>
      </c>
      <c r="C199" t="s">
        <v>815</v>
      </c>
      <c r="D199" t="s">
        <v>816</v>
      </c>
      <c r="E199" s="97" t="s">
        <v>817</v>
      </c>
      <c r="F199" t="s">
        <v>818</v>
      </c>
      <c r="G199" t="s">
        <v>8</v>
      </c>
      <c r="H199" t="s">
        <v>8</v>
      </c>
      <c r="I199" t="s">
        <v>135</v>
      </c>
      <c r="J199" t="s">
        <v>630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67</v>
      </c>
      <c r="U199" s="95" t="s">
        <v>819</v>
      </c>
    </row>
    <row r="200" spans="1:21" x14ac:dyDescent="0.45">
      <c r="A200" t="s">
        <v>818</v>
      </c>
      <c r="B200" t="s">
        <v>8</v>
      </c>
      <c r="C200" t="s">
        <v>820</v>
      </c>
      <c r="D200" t="s">
        <v>820</v>
      </c>
      <c r="E200" s="97" t="s">
        <v>817</v>
      </c>
      <c r="F200" t="s">
        <v>818</v>
      </c>
      <c r="G200" t="s">
        <v>8</v>
      </c>
      <c r="H200" t="s">
        <v>8</v>
      </c>
      <c r="I200" t="s">
        <v>135</v>
      </c>
      <c r="J200" t="s">
        <v>630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67</v>
      </c>
      <c r="U200" s="95" t="s">
        <v>821</v>
      </c>
    </row>
    <row r="201" spans="1:21" x14ac:dyDescent="0.45">
      <c r="A201" t="s">
        <v>822</v>
      </c>
      <c r="B201" t="s">
        <v>3</v>
      </c>
      <c r="C201" t="s">
        <v>823</v>
      </c>
      <c r="D201" t="s">
        <v>823</v>
      </c>
      <c r="E201" s="97" t="s">
        <v>3</v>
      </c>
      <c r="F201" t="s">
        <v>3</v>
      </c>
      <c r="G201" t="s">
        <v>8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67</v>
      </c>
      <c r="U201" s="95" t="s">
        <v>824</v>
      </c>
    </row>
    <row r="202" spans="1:21" x14ac:dyDescent="0.45">
      <c r="A202" t="s">
        <v>825</v>
      </c>
      <c r="B202" t="s">
        <v>3</v>
      </c>
      <c r="C202" t="s">
        <v>826</v>
      </c>
      <c r="D202" t="s">
        <v>826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67</v>
      </c>
      <c r="U202" s="95" t="s">
        <v>827</v>
      </c>
    </row>
    <row r="203" spans="1:21" x14ac:dyDescent="0.45">
      <c r="A203" t="s">
        <v>828</v>
      </c>
      <c r="B203" t="s">
        <v>67</v>
      </c>
      <c r="C203" t="s">
        <v>647</v>
      </c>
      <c r="D203" t="s">
        <v>647</v>
      </c>
      <c r="E203" s="97" t="s">
        <v>3</v>
      </c>
      <c r="F203" t="s">
        <v>3</v>
      </c>
      <c r="G203" t="s">
        <v>102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67</v>
      </c>
      <c r="U203" s="95" t="s">
        <v>829</v>
      </c>
    </row>
    <row r="204" spans="1:21" x14ac:dyDescent="0.45">
      <c r="A204" t="s">
        <v>830</v>
      </c>
      <c r="B204" t="s">
        <v>3</v>
      </c>
      <c r="C204" t="s">
        <v>831</v>
      </c>
      <c r="D204" t="s">
        <v>831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67</v>
      </c>
      <c r="U204" s="95" t="s">
        <v>832</v>
      </c>
    </row>
    <row r="205" spans="1:21" x14ac:dyDescent="0.45">
      <c r="A205" t="s">
        <v>833</v>
      </c>
      <c r="B205" t="s">
        <v>3</v>
      </c>
      <c r="C205" t="s">
        <v>834</v>
      </c>
      <c r="D205" t="s">
        <v>834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67</v>
      </c>
      <c r="U205" s="95" t="s">
        <v>835</v>
      </c>
    </row>
    <row r="206" spans="1:21" x14ac:dyDescent="0.45">
      <c r="A206" t="s">
        <v>836</v>
      </c>
      <c r="B206" t="s">
        <v>3</v>
      </c>
      <c r="C206" t="s">
        <v>837</v>
      </c>
      <c r="D206" t="s">
        <v>837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67</v>
      </c>
      <c r="U206" s="95" t="s">
        <v>838</v>
      </c>
    </row>
    <row r="207" spans="1:21" x14ac:dyDescent="0.45">
      <c r="A207" t="s">
        <v>839</v>
      </c>
      <c r="B207" t="s">
        <v>3</v>
      </c>
      <c r="C207" t="s">
        <v>840</v>
      </c>
      <c r="D207" t="s">
        <v>840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67</v>
      </c>
      <c r="U207" s="95" t="s">
        <v>841</v>
      </c>
    </row>
    <row r="208" spans="1:21" x14ac:dyDescent="0.45">
      <c r="A208" t="s">
        <v>842</v>
      </c>
      <c r="B208" t="s">
        <v>3</v>
      </c>
      <c r="C208" t="s">
        <v>843</v>
      </c>
      <c r="D208" t="s">
        <v>843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67</v>
      </c>
      <c r="U208" s="95" t="s">
        <v>844</v>
      </c>
    </row>
    <row r="209" spans="1:21" x14ac:dyDescent="0.45">
      <c r="A209" t="s">
        <v>845</v>
      </c>
      <c r="B209" t="s">
        <v>8</v>
      </c>
      <c r="C209" t="s">
        <v>846</v>
      </c>
      <c r="D209" t="s">
        <v>847</v>
      </c>
      <c r="E209" s="97" t="s">
        <v>3</v>
      </c>
      <c r="F209" t="s">
        <v>848</v>
      </c>
      <c r="G209" t="s">
        <v>8</v>
      </c>
      <c r="H209" t="s">
        <v>67</v>
      </c>
      <c r="I209" t="s">
        <v>3</v>
      </c>
      <c r="J209" t="s">
        <v>847</v>
      </c>
      <c r="K209" t="s">
        <v>3</v>
      </c>
      <c r="L209" t="s">
        <v>849</v>
      </c>
      <c r="M209" t="s">
        <v>3</v>
      </c>
      <c r="N209" t="s">
        <v>315</v>
      </c>
      <c r="O209" t="s">
        <v>3</v>
      </c>
      <c r="P209"/>
      <c r="Q209" t="s">
        <v>3</v>
      </c>
      <c r="R209"/>
      <c r="S209" t="s">
        <v>3</v>
      </c>
      <c r="T209" t="s">
        <v>67</v>
      </c>
      <c r="U209" s="95" t="s">
        <v>850</v>
      </c>
    </row>
    <row r="210" spans="1:21" x14ac:dyDescent="0.45">
      <c r="A210" t="s">
        <v>848</v>
      </c>
      <c r="B210" t="s">
        <v>8</v>
      </c>
      <c r="C210" t="s">
        <v>851</v>
      </c>
      <c r="D210" t="s">
        <v>847</v>
      </c>
      <c r="E210" s="97" t="s">
        <v>3</v>
      </c>
      <c r="F210" t="s">
        <v>3</v>
      </c>
      <c r="G210" t="s">
        <v>8</v>
      </c>
      <c r="H210" t="s">
        <v>67</v>
      </c>
      <c r="I210" t="s">
        <v>3</v>
      </c>
      <c r="J210" t="s">
        <v>847</v>
      </c>
      <c r="K210" t="s">
        <v>3</v>
      </c>
      <c r="L210" t="s">
        <v>313</v>
      </c>
      <c r="M210" t="s">
        <v>3</v>
      </c>
      <c r="N210" t="s">
        <v>315</v>
      </c>
      <c r="O210" t="s">
        <v>3</v>
      </c>
      <c r="P210"/>
      <c r="Q210" t="s">
        <v>3</v>
      </c>
      <c r="R210"/>
      <c r="S210" t="s">
        <v>3</v>
      </c>
      <c r="T210" t="s">
        <v>67</v>
      </c>
      <c r="U210" s="95" t="s">
        <v>852</v>
      </c>
    </row>
    <row r="211" spans="1:21" x14ac:dyDescent="0.45">
      <c r="A211" t="s">
        <v>853</v>
      </c>
      <c r="B211" t="s">
        <v>3</v>
      </c>
      <c r="C211" t="s">
        <v>313</v>
      </c>
      <c r="D211" t="s">
        <v>313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67</v>
      </c>
      <c r="U211" s="95" t="s">
        <v>854</v>
      </c>
    </row>
    <row r="212" spans="1:21" x14ac:dyDescent="0.45">
      <c r="A212" t="s">
        <v>855</v>
      </c>
      <c r="B212" t="s">
        <v>3</v>
      </c>
      <c r="C212" t="s">
        <v>856</v>
      </c>
      <c r="D212" t="s">
        <v>856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67</v>
      </c>
      <c r="U212" s="95" t="s">
        <v>857</v>
      </c>
    </row>
    <row r="213" spans="1:21" x14ac:dyDescent="0.45">
      <c r="A213" t="s">
        <v>858</v>
      </c>
      <c r="B213" t="s">
        <v>3</v>
      </c>
      <c r="C213" t="s">
        <v>859</v>
      </c>
      <c r="D213" t="s">
        <v>859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67</v>
      </c>
      <c r="U213" s="95" t="s">
        <v>860</v>
      </c>
    </row>
    <row r="214" spans="1:21" x14ac:dyDescent="0.45">
      <c r="A214" t="s">
        <v>861</v>
      </c>
      <c r="B214" t="s">
        <v>3</v>
      </c>
      <c r="C214" t="s">
        <v>862</v>
      </c>
      <c r="D214" t="s">
        <v>863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67</v>
      </c>
      <c r="U214" s="95" t="s">
        <v>864</v>
      </c>
    </row>
    <row r="215" spans="1:21" x14ac:dyDescent="0.45">
      <c r="A215" t="s">
        <v>865</v>
      </c>
      <c r="B215" t="s">
        <v>8</v>
      </c>
      <c r="C215" t="s">
        <v>866</v>
      </c>
      <c r="D215" t="s">
        <v>866</v>
      </c>
      <c r="E215" s="97" t="s">
        <v>3</v>
      </c>
      <c r="F215" t="s">
        <v>867</v>
      </c>
      <c r="G215" t="s">
        <v>8</v>
      </c>
      <c r="H215" t="s">
        <v>67</v>
      </c>
      <c r="I215" t="s">
        <v>3</v>
      </c>
      <c r="J215" t="s">
        <v>204</v>
      </c>
      <c r="K215" t="s">
        <v>8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67</v>
      </c>
      <c r="U215" s="95" t="s">
        <v>868</v>
      </c>
    </row>
    <row r="216" spans="1:21" x14ac:dyDescent="0.45">
      <c r="A216" t="s">
        <v>867</v>
      </c>
      <c r="B216" t="s">
        <v>8</v>
      </c>
      <c r="C216" t="s">
        <v>391</v>
      </c>
      <c r="D216" t="s">
        <v>866</v>
      </c>
      <c r="E216" s="97" t="s">
        <v>3</v>
      </c>
      <c r="F216" t="s">
        <v>867</v>
      </c>
      <c r="G216" t="s">
        <v>8</v>
      </c>
      <c r="H216" t="s">
        <v>67</v>
      </c>
      <c r="I216" t="s">
        <v>3</v>
      </c>
      <c r="J216" t="s">
        <v>204</v>
      </c>
      <c r="K216" t="s">
        <v>8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67</v>
      </c>
      <c r="U216" s="95" t="s">
        <v>869</v>
      </c>
    </row>
    <row r="217" spans="1:21" x14ac:dyDescent="0.45">
      <c r="A217" t="s">
        <v>870</v>
      </c>
      <c r="B217" t="s">
        <v>3</v>
      </c>
      <c r="C217" t="s">
        <v>871</v>
      </c>
      <c r="D217" t="s">
        <v>871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67</v>
      </c>
      <c r="U217" s="95" t="s">
        <v>872</v>
      </c>
    </row>
    <row r="218" spans="1:21" x14ac:dyDescent="0.45">
      <c r="A218" t="s">
        <v>873</v>
      </c>
      <c r="B218" t="s">
        <v>8</v>
      </c>
      <c r="C218" t="s">
        <v>874</v>
      </c>
      <c r="D218" t="s">
        <v>874</v>
      </c>
      <c r="E218" s="97" t="s">
        <v>3</v>
      </c>
      <c r="F218" t="s">
        <v>3</v>
      </c>
      <c r="G218" t="s">
        <v>8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67</v>
      </c>
      <c r="U218" s="95" t="s">
        <v>875</v>
      </c>
    </row>
    <row r="219" spans="1:21" x14ac:dyDescent="0.45">
      <c r="A219" t="s">
        <v>876</v>
      </c>
      <c r="B219" t="s">
        <v>3</v>
      </c>
      <c r="C219" t="s">
        <v>877</v>
      </c>
      <c r="D219" t="s">
        <v>877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67</v>
      </c>
      <c r="U219" s="95" t="s">
        <v>878</v>
      </c>
    </row>
    <row r="220" spans="1:21" x14ac:dyDescent="0.45">
      <c r="A220" t="s">
        <v>879</v>
      </c>
      <c r="B220" t="s">
        <v>3</v>
      </c>
      <c r="C220" t="s">
        <v>880</v>
      </c>
      <c r="D220" t="s">
        <v>880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67</v>
      </c>
      <c r="U220" s="95" t="s">
        <v>881</v>
      </c>
    </row>
    <row r="221" spans="1:21" x14ac:dyDescent="0.45">
      <c r="A221" t="s">
        <v>882</v>
      </c>
      <c r="B221" t="s">
        <v>3</v>
      </c>
      <c r="C221" t="s">
        <v>883</v>
      </c>
      <c r="D221" t="s">
        <v>883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67</v>
      </c>
      <c r="U221" s="95" t="s">
        <v>884</v>
      </c>
    </row>
    <row r="222" spans="1:21" x14ac:dyDescent="0.45">
      <c r="A222" t="s">
        <v>885</v>
      </c>
      <c r="B222" t="s">
        <v>8</v>
      </c>
      <c r="C222" t="s">
        <v>886</v>
      </c>
      <c r="D222" t="s">
        <v>886</v>
      </c>
      <c r="E222" s="97" t="s">
        <v>3</v>
      </c>
      <c r="F222" t="s">
        <v>887</v>
      </c>
      <c r="G222" t="s">
        <v>8</v>
      </c>
      <c r="H222" t="s">
        <v>67</v>
      </c>
      <c r="I222" t="s">
        <v>3</v>
      </c>
      <c r="J222" t="s">
        <v>217</v>
      </c>
      <c r="K222" t="s">
        <v>3</v>
      </c>
      <c r="L222" t="s">
        <v>660</v>
      </c>
      <c r="M222" t="s">
        <v>3</v>
      </c>
      <c r="N222" t="s">
        <v>888</v>
      </c>
      <c r="O222" t="s">
        <v>3</v>
      </c>
      <c r="P222" t="s">
        <v>889</v>
      </c>
      <c r="Q222" t="s">
        <v>3</v>
      </c>
      <c r="R222"/>
      <c r="S222" t="s">
        <v>3</v>
      </c>
      <c r="T222" t="s">
        <v>67</v>
      </c>
      <c r="U222" s="95" t="s">
        <v>890</v>
      </c>
    </row>
    <row r="223" spans="1:21" x14ac:dyDescent="0.45">
      <c r="A223" t="s">
        <v>887</v>
      </c>
      <c r="B223" t="s">
        <v>8</v>
      </c>
      <c r="C223" t="s">
        <v>886</v>
      </c>
      <c r="D223" t="s">
        <v>891</v>
      </c>
      <c r="E223" s="97" t="s">
        <v>3</v>
      </c>
      <c r="F223" t="s">
        <v>3</v>
      </c>
      <c r="G223" t="s">
        <v>8</v>
      </c>
      <c r="H223" t="s">
        <v>67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67</v>
      </c>
      <c r="U223" s="95" t="s">
        <v>892</v>
      </c>
    </row>
    <row r="224" spans="1:21" x14ac:dyDescent="0.45">
      <c r="A224" t="s">
        <v>893</v>
      </c>
      <c r="B224" t="s">
        <v>3</v>
      </c>
      <c r="C224" t="s">
        <v>894</v>
      </c>
      <c r="D224" t="s">
        <v>895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67</v>
      </c>
      <c r="U224" s="95" t="s">
        <v>896</v>
      </c>
    </row>
    <row r="225" spans="1:21" x14ac:dyDescent="0.45">
      <c r="A225" t="s">
        <v>897</v>
      </c>
      <c r="B225" t="s">
        <v>3</v>
      </c>
      <c r="C225" t="s">
        <v>898</v>
      </c>
      <c r="D225" t="s">
        <v>899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67</v>
      </c>
      <c r="U225" s="95" t="s">
        <v>900</v>
      </c>
    </row>
    <row r="226" spans="1:21" x14ac:dyDescent="0.45">
      <c r="A226" t="s">
        <v>901</v>
      </c>
      <c r="B226" t="s">
        <v>3</v>
      </c>
      <c r="C226" t="s">
        <v>902</v>
      </c>
      <c r="D226" t="s">
        <v>902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67</v>
      </c>
      <c r="U226" s="95" t="s">
        <v>903</v>
      </c>
    </row>
    <row r="227" spans="1:21" x14ac:dyDescent="0.45">
      <c r="A227" t="s">
        <v>904</v>
      </c>
      <c r="B227" t="s">
        <v>8</v>
      </c>
      <c r="C227" t="s">
        <v>905</v>
      </c>
      <c r="D227" t="s">
        <v>905</v>
      </c>
      <c r="E227" s="97" t="s">
        <v>3</v>
      </c>
      <c r="F227" t="s">
        <v>3</v>
      </c>
      <c r="G227" t="s">
        <v>8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67</v>
      </c>
      <c r="U227" s="95" t="s">
        <v>906</v>
      </c>
    </row>
    <row r="228" spans="1:21" x14ac:dyDescent="0.45">
      <c r="A228" t="s">
        <v>907</v>
      </c>
      <c r="B228" t="s">
        <v>3</v>
      </c>
      <c r="C228" t="s">
        <v>908</v>
      </c>
      <c r="D228" t="s">
        <v>908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67</v>
      </c>
      <c r="U228" s="95" t="s">
        <v>909</v>
      </c>
    </row>
    <row r="229" spans="1:21" x14ac:dyDescent="0.45">
      <c r="A229" t="s">
        <v>910</v>
      </c>
      <c r="B229" t="s">
        <v>3</v>
      </c>
      <c r="C229" t="s">
        <v>911</v>
      </c>
      <c r="D229" t="s">
        <v>911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67</v>
      </c>
      <c r="U229" s="95" t="s">
        <v>912</v>
      </c>
    </row>
    <row r="230" spans="1:21" x14ac:dyDescent="0.45">
      <c r="A230" t="s">
        <v>913</v>
      </c>
      <c r="B230" t="s">
        <v>8</v>
      </c>
      <c r="C230" t="s">
        <v>914</v>
      </c>
      <c r="D230" t="s">
        <v>914</v>
      </c>
      <c r="E230" s="97" t="s">
        <v>3</v>
      </c>
      <c r="F230" t="s">
        <v>915</v>
      </c>
      <c r="G230" t="s">
        <v>8</v>
      </c>
      <c r="H230" t="s">
        <v>8</v>
      </c>
      <c r="I230" t="s">
        <v>271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67</v>
      </c>
      <c r="U230" s="95" t="s">
        <v>916</v>
      </c>
    </row>
    <row r="231" spans="1:21" x14ac:dyDescent="0.45">
      <c r="A231" t="s">
        <v>917</v>
      </c>
      <c r="B231" t="s">
        <v>3</v>
      </c>
      <c r="C231" t="s">
        <v>918</v>
      </c>
      <c r="D231" t="s">
        <v>918</v>
      </c>
      <c r="E231" s="97" t="s">
        <v>3</v>
      </c>
      <c r="F231" t="s">
        <v>3</v>
      </c>
      <c r="G231" t="s">
        <v>3</v>
      </c>
      <c r="H231" t="s">
        <v>8</v>
      </c>
      <c r="I231" t="s">
        <v>271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67</v>
      </c>
      <c r="U231" s="95" t="s">
        <v>919</v>
      </c>
    </row>
    <row r="232" spans="1:21" x14ac:dyDescent="0.45">
      <c r="A232" t="s">
        <v>920</v>
      </c>
      <c r="B232" t="s">
        <v>3</v>
      </c>
      <c r="C232" t="s">
        <v>921</v>
      </c>
      <c r="D232" t="s">
        <v>921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67</v>
      </c>
      <c r="U232" s="95" t="s">
        <v>922</v>
      </c>
    </row>
    <row r="233" spans="1:21" x14ac:dyDescent="0.45">
      <c r="A233" t="s">
        <v>923</v>
      </c>
      <c r="B233" t="s">
        <v>8</v>
      </c>
      <c r="C233" t="s">
        <v>924</v>
      </c>
      <c r="D233" t="s">
        <v>925</v>
      </c>
      <c r="E233" s="97" t="s">
        <v>3</v>
      </c>
      <c r="F233" t="s">
        <v>926</v>
      </c>
      <c r="G233" t="s">
        <v>8</v>
      </c>
      <c r="H233" t="s">
        <v>3</v>
      </c>
      <c r="I233" t="s">
        <v>3</v>
      </c>
      <c r="J233" t="s">
        <v>52</v>
      </c>
      <c r="K233" t="s">
        <v>3</v>
      </c>
      <c r="L233" t="s">
        <v>347</v>
      </c>
      <c r="M233" t="s">
        <v>3</v>
      </c>
      <c r="N233" t="s">
        <v>348</v>
      </c>
      <c r="O233" t="s">
        <v>3</v>
      </c>
      <c r="P233" t="s">
        <v>927</v>
      </c>
      <c r="Q233" t="s">
        <v>3</v>
      </c>
      <c r="R233" t="s">
        <v>928</v>
      </c>
      <c r="S233" t="s">
        <v>3</v>
      </c>
      <c r="T233" t="s">
        <v>67</v>
      </c>
      <c r="U233" s="95" t="s">
        <v>929</v>
      </c>
    </row>
    <row r="234" spans="1:21" x14ac:dyDescent="0.45">
      <c r="A234" t="s">
        <v>930</v>
      </c>
      <c r="B234" t="s">
        <v>3</v>
      </c>
      <c r="C234" t="s">
        <v>931</v>
      </c>
      <c r="D234" t="s">
        <v>931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67</v>
      </c>
      <c r="U234" s="95" t="s">
        <v>932</v>
      </c>
    </row>
    <row r="235" spans="1:21" x14ac:dyDescent="0.45">
      <c r="A235" t="s">
        <v>933</v>
      </c>
      <c r="B235" t="s">
        <v>3</v>
      </c>
      <c r="C235" t="s">
        <v>934</v>
      </c>
      <c r="D235" t="s">
        <v>934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67</v>
      </c>
      <c r="U235" s="95" t="s">
        <v>935</v>
      </c>
    </row>
    <row r="236" spans="1:21" x14ac:dyDescent="0.45">
      <c r="A236" t="s">
        <v>926</v>
      </c>
      <c r="B236" t="s">
        <v>8</v>
      </c>
      <c r="C236" t="s">
        <v>936</v>
      </c>
      <c r="D236" t="s">
        <v>925</v>
      </c>
      <c r="E236" s="97" t="s">
        <v>3</v>
      </c>
      <c r="F236" t="s">
        <v>3</v>
      </c>
      <c r="G236" t="s">
        <v>8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67</v>
      </c>
      <c r="U236" s="95" t="s">
        <v>937</v>
      </c>
    </row>
    <row r="237" spans="1:21" x14ac:dyDescent="0.45">
      <c r="A237" t="s">
        <v>938</v>
      </c>
      <c r="B237" t="s">
        <v>8</v>
      </c>
      <c r="C237" t="s">
        <v>939</v>
      </c>
      <c r="D237" t="s">
        <v>940</v>
      </c>
      <c r="E237" s="97" t="s">
        <v>3</v>
      </c>
      <c r="F237" t="s">
        <v>941</v>
      </c>
      <c r="G237" t="s">
        <v>8</v>
      </c>
      <c r="H237" t="s">
        <v>8</v>
      </c>
      <c r="I237" t="s">
        <v>123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67</v>
      </c>
      <c r="U237" s="95" t="s">
        <v>942</v>
      </c>
    </row>
    <row r="238" spans="1:21" x14ac:dyDescent="0.45">
      <c r="A238" t="s">
        <v>941</v>
      </c>
      <c r="B238" t="s">
        <v>8</v>
      </c>
      <c r="C238" t="s">
        <v>943</v>
      </c>
      <c r="D238" t="s">
        <v>943</v>
      </c>
      <c r="E238" s="97" t="s">
        <v>3</v>
      </c>
      <c r="F238" t="s">
        <v>3</v>
      </c>
      <c r="G238" t="s">
        <v>8</v>
      </c>
      <c r="H238" t="s">
        <v>8</v>
      </c>
      <c r="I238" t="s">
        <v>79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67</v>
      </c>
      <c r="U238" s="95" t="s">
        <v>944</v>
      </c>
    </row>
    <row r="239" spans="1:21" x14ac:dyDescent="0.45">
      <c r="A239" t="s">
        <v>945</v>
      </c>
      <c r="B239" t="s">
        <v>8</v>
      </c>
      <c r="C239" t="s">
        <v>946</v>
      </c>
      <c r="D239" t="s">
        <v>946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67</v>
      </c>
      <c r="U239" s="95" t="s">
        <v>947</v>
      </c>
    </row>
    <row r="240" spans="1:21" x14ac:dyDescent="0.45">
      <c r="A240" t="s">
        <v>948</v>
      </c>
      <c r="B240" t="s">
        <v>8</v>
      </c>
      <c r="C240" t="s">
        <v>949</v>
      </c>
      <c r="D240" t="s">
        <v>949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67</v>
      </c>
      <c r="U240" s="95" t="s">
        <v>950</v>
      </c>
    </row>
    <row r="241" spans="1:21" x14ac:dyDescent="0.45">
      <c r="A241" t="s">
        <v>951</v>
      </c>
      <c r="B241" t="s">
        <v>8</v>
      </c>
      <c r="C241" t="s">
        <v>952</v>
      </c>
      <c r="D241" t="s">
        <v>952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67</v>
      </c>
      <c r="U241" s="95" t="s">
        <v>953</v>
      </c>
    </row>
    <row r="242" spans="1:21" x14ac:dyDescent="0.45">
      <c r="A242" t="s">
        <v>954</v>
      </c>
      <c r="B242" t="s">
        <v>3</v>
      </c>
      <c r="C242" t="s">
        <v>955</v>
      </c>
      <c r="D242" t="s">
        <v>955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67</v>
      </c>
      <c r="U242" s="95" t="s">
        <v>956</v>
      </c>
    </row>
    <row r="243" spans="1:21" x14ac:dyDescent="0.45">
      <c r="A243" t="s">
        <v>957</v>
      </c>
      <c r="B243" t="s">
        <v>8</v>
      </c>
      <c r="C243" t="s">
        <v>958</v>
      </c>
      <c r="D243" t="s">
        <v>959</v>
      </c>
      <c r="E243" s="97" t="s">
        <v>3</v>
      </c>
      <c r="F243" t="s">
        <v>960</v>
      </c>
      <c r="G243" t="s">
        <v>8</v>
      </c>
      <c r="H243" t="s">
        <v>67</v>
      </c>
      <c r="I243" t="s">
        <v>3</v>
      </c>
      <c r="J243" t="s">
        <v>961</v>
      </c>
      <c r="K243" t="s">
        <v>3</v>
      </c>
      <c r="L243" t="s">
        <v>217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67</v>
      </c>
      <c r="U243" s="95" t="s">
        <v>962</v>
      </c>
    </row>
    <row r="244" spans="1:21" x14ac:dyDescent="0.45">
      <c r="A244" t="s">
        <v>960</v>
      </c>
      <c r="B244" t="s">
        <v>3</v>
      </c>
      <c r="C244" t="s">
        <v>963</v>
      </c>
      <c r="D244" t="s">
        <v>964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67</v>
      </c>
      <c r="U244" s="95" t="s">
        <v>965</v>
      </c>
    </row>
    <row r="245" spans="1:21" x14ac:dyDescent="0.45">
      <c r="A245" t="s">
        <v>966</v>
      </c>
      <c r="B245" t="s">
        <v>3</v>
      </c>
      <c r="C245" t="s">
        <v>967</v>
      </c>
      <c r="D245" t="s">
        <v>967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67</v>
      </c>
      <c r="U245" s="95" t="s">
        <v>968</v>
      </c>
    </row>
    <row r="246" spans="1:21" x14ac:dyDescent="0.45">
      <c r="A246" t="s">
        <v>969</v>
      </c>
      <c r="B246" t="s">
        <v>8</v>
      </c>
      <c r="C246" t="s">
        <v>970</v>
      </c>
      <c r="D246" t="s">
        <v>971</v>
      </c>
      <c r="E246" s="97" t="s">
        <v>3</v>
      </c>
      <c r="F246" t="s">
        <v>3</v>
      </c>
      <c r="G246" t="s">
        <v>8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67</v>
      </c>
      <c r="U246" s="95" t="s">
        <v>972</v>
      </c>
    </row>
    <row r="247" spans="1:21" x14ac:dyDescent="0.45">
      <c r="A247" t="s">
        <v>973</v>
      </c>
      <c r="B247" t="s">
        <v>8</v>
      </c>
      <c r="C247" t="s">
        <v>974</v>
      </c>
      <c r="D247" t="s">
        <v>975</v>
      </c>
      <c r="E247" s="97" t="s">
        <v>3</v>
      </c>
      <c r="F247" t="s">
        <v>3</v>
      </c>
      <c r="G247" t="s">
        <v>8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67</v>
      </c>
      <c r="U247" s="95" t="s">
        <v>976</v>
      </c>
    </row>
    <row r="248" spans="1:21" x14ac:dyDescent="0.45">
      <c r="A248" t="s">
        <v>977</v>
      </c>
      <c r="B248" t="s">
        <v>8</v>
      </c>
      <c r="C248" t="s">
        <v>671</v>
      </c>
      <c r="D248" t="s">
        <v>978</v>
      </c>
      <c r="E248" s="97" t="s">
        <v>3</v>
      </c>
      <c r="F248" t="s">
        <v>3</v>
      </c>
      <c r="G248" t="s">
        <v>8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67</v>
      </c>
      <c r="U248" s="95" t="s">
        <v>979</v>
      </c>
    </row>
    <row r="249" spans="1:21" x14ac:dyDescent="0.45">
      <c r="A249" t="s">
        <v>980</v>
      </c>
      <c r="B249" t="s">
        <v>8</v>
      </c>
      <c r="C249" t="s">
        <v>981</v>
      </c>
      <c r="D249" t="s">
        <v>981</v>
      </c>
      <c r="E249" s="97" t="s">
        <v>3</v>
      </c>
      <c r="F249" t="s">
        <v>3</v>
      </c>
      <c r="G249" t="s">
        <v>8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67</v>
      </c>
      <c r="U249" s="95" t="s">
        <v>982</v>
      </c>
    </row>
    <row r="250" spans="1:21" x14ac:dyDescent="0.45">
      <c r="A250" t="s">
        <v>983</v>
      </c>
      <c r="B250" t="s">
        <v>8</v>
      </c>
      <c r="C250" t="s">
        <v>984</v>
      </c>
      <c r="D250" t="s">
        <v>984</v>
      </c>
      <c r="E250" s="97" t="s">
        <v>3</v>
      </c>
      <c r="F250" t="s">
        <v>3</v>
      </c>
      <c r="G250" t="s">
        <v>8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67</v>
      </c>
      <c r="U250" s="95" t="s">
        <v>985</v>
      </c>
    </row>
    <row r="251" spans="1:21" x14ac:dyDescent="0.45">
      <c r="A251" t="s">
        <v>986</v>
      </c>
      <c r="B251" t="s">
        <v>8</v>
      </c>
      <c r="C251" t="s">
        <v>683</v>
      </c>
      <c r="D251" t="s">
        <v>683</v>
      </c>
      <c r="E251" s="97" t="s">
        <v>3</v>
      </c>
      <c r="F251" t="s">
        <v>3</v>
      </c>
      <c r="G251" t="s">
        <v>8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67</v>
      </c>
      <c r="U251" s="95" t="s">
        <v>987</v>
      </c>
    </row>
    <row r="252" spans="1:21" x14ac:dyDescent="0.45">
      <c r="A252" t="s">
        <v>581</v>
      </c>
      <c r="B252" t="s">
        <v>8</v>
      </c>
      <c r="C252" t="s">
        <v>988</v>
      </c>
      <c r="D252" t="s">
        <v>989</v>
      </c>
      <c r="E252" s="97" t="s">
        <v>3</v>
      </c>
      <c r="F252" t="s">
        <v>3</v>
      </c>
      <c r="G252" t="s">
        <v>8</v>
      </c>
      <c r="H252" t="s">
        <v>8</v>
      </c>
      <c r="I252" t="s">
        <v>135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67</v>
      </c>
      <c r="U252" s="95" t="s">
        <v>990</v>
      </c>
    </row>
    <row r="253" spans="1:21" x14ac:dyDescent="0.45">
      <c r="A253" t="s">
        <v>991</v>
      </c>
      <c r="B253" t="s">
        <v>8</v>
      </c>
      <c r="C253" t="s">
        <v>444</v>
      </c>
      <c r="D253" t="s">
        <v>444</v>
      </c>
      <c r="E253" s="98" t="s">
        <v>3</v>
      </c>
      <c r="F253" t="s">
        <v>3</v>
      </c>
      <c r="G253" t="s">
        <v>105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67</v>
      </c>
      <c r="U253" s="95" t="s">
        <v>992</v>
      </c>
    </row>
    <row r="254" spans="1:21" x14ac:dyDescent="0.45">
      <c r="A254" t="s">
        <v>993</v>
      </c>
      <c r="B254" t="s">
        <v>8</v>
      </c>
      <c r="C254" t="s">
        <v>994</v>
      </c>
      <c r="D254" t="s">
        <v>994</v>
      </c>
      <c r="E254" s="96" t="s">
        <v>3</v>
      </c>
      <c r="F254" t="s">
        <v>3</v>
      </c>
      <c r="G254" t="s">
        <v>8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67</v>
      </c>
      <c r="U254" s="95" t="s">
        <v>995</v>
      </c>
    </row>
    <row r="255" spans="1:21" x14ac:dyDescent="0.45">
      <c r="A255" t="s">
        <v>996</v>
      </c>
      <c r="B255" t="s">
        <v>8</v>
      </c>
      <c r="C255" t="s">
        <v>997</v>
      </c>
      <c r="D255" t="s">
        <v>997</v>
      </c>
      <c r="E255" s="97" t="s">
        <v>3</v>
      </c>
      <c r="F255" t="s">
        <v>3</v>
      </c>
      <c r="G255" t="s">
        <v>8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67</v>
      </c>
      <c r="U255" s="95" t="s">
        <v>998</v>
      </c>
    </row>
    <row r="256" spans="1:21" x14ac:dyDescent="0.45">
      <c r="A256" t="s">
        <v>999</v>
      </c>
      <c r="B256" t="s">
        <v>8</v>
      </c>
      <c r="C256" t="s">
        <v>1000</v>
      </c>
      <c r="D256" t="s">
        <v>1000</v>
      </c>
      <c r="E256" s="97" t="s">
        <v>3</v>
      </c>
      <c r="F256" t="s">
        <v>3</v>
      </c>
      <c r="G256" t="s">
        <v>8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67</v>
      </c>
      <c r="U256" s="95" t="s">
        <v>1001</v>
      </c>
    </row>
    <row r="257" spans="1:21" x14ac:dyDescent="0.45">
      <c r="A257" t="s">
        <v>1002</v>
      </c>
      <c r="B257" t="s">
        <v>8</v>
      </c>
      <c r="C257" t="s">
        <v>1003</v>
      </c>
      <c r="D257" t="s">
        <v>1003</v>
      </c>
      <c r="E257" s="97" t="s">
        <v>3</v>
      </c>
      <c r="F257" t="s">
        <v>1004</v>
      </c>
      <c r="G257" t="s">
        <v>105</v>
      </c>
      <c r="H257" t="s">
        <v>8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67</v>
      </c>
      <c r="U257" s="95" t="s">
        <v>1005</v>
      </c>
    </row>
    <row r="258" spans="1:21" x14ac:dyDescent="0.45">
      <c r="A258" t="s">
        <v>487</v>
      </c>
      <c r="B258" t="s">
        <v>3</v>
      </c>
      <c r="C258" t="s">
        <v>486</v>
      </c>
      <c r="D258" t="s">
        <v>486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67</v>
      </c>
      <c r="U258" s="95" t="s">
        <v>1006</v>
      </c>
    </row>
    <row r="259" spans="1:21" x14ac:dyDescent="0.45">
      <c r="A259" t="s">
        <v>1007</v>
      </c>
      <c r="B259" t="s">
        <v>3</v>
      </c>
      <c r="C259" t="s">
        <v>1008</v>
      </c>
      <c r="D259" t="s">
        <v>1008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67</v>
      </c>
      <c r="U259" s="95" t="s">
        <v>1009</v>
      </c>
    </row>
    <row r="260" spans="1:21" x14ac:dyDescent="0.45">
      <c r="A260" t="s">
        <v>1010</v>
      </c>
      <c r="B260" t="s">
        <v>8</v>
      </c>
      <c r="C260" t="s">
        <v>1011</v>
      </c>
      <c r="D260" t="s">
        <v>1011</v>
      </c>
      <c r="E260" s="97" t="s">
        <v>3</v>
      </c>
      <c r="F260" t="s">
        <v>1012</v>
      </c>
      <c r="G260" t="s">
        <v>105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67</v>
      </c>
      <c r="U260" s="95" t="s">
        <v>1013</v>
      </c>
    </row>
    <row r="261" spans="1:21" x14ac:dyDescent="0.45">
      <c r="A261" t="s">
        <v>1012</v>
      </c>
      <c r="B261" t="s">
        <v>8</v>
      </c>
      <c r="C261" t="s">
        <v>1014</v>
      </c>
      <c r="D261" t="s">
        <v>1015</v>
      </c>
      <c r="E261" s="97" t="s">
        <v>3</v>
      </c>
      <c r="F261" t="s">
        <v>3</v>
      </c>
      <c r="G261" t="s">
        <v>105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67</v>
      </c>
      <c r="U261" s="95" t="s">
        <v>1016</v>
      </c>
    </row>
    <row r="262" spans="1:21" x14ac:dyDescent="0.45">
      <c r="A262" t="s">
        <v>1017</v>
      </c>
      <c r="B262" t="s">
        <v>8</v>
      </c>
      <c r="C262" t="s">
        <v>1018</v>
      </c>
      <c r="D262" t="s">
        <v>1019</v>
      </c>
      <c r="E262" s="97" t="s">
        <v>3</v>
      </c>
      <c r="F262" t="s">
        <v>1020</v>
      </c>
      <c r="G262" t="s">
        <v>105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67</v>
      </c>
      <c r="U262" s="95" t="s">
        <v>1021</v>
      </c>
    </row>
    <row r="263" spans="1:21" x14ac:dyDescent="0.45">
      <c r="A263" t="s">
        <v>1020</v>
      </c>
      <c r="B263" t="s">
        <v>8</v>
      </c>
      <c r="C263" t="s">
        <v>1022</v>
      </c>
      <c r="D263" t="s">
        <v>1022</v>
      </c>
      <c r="E263" s="97" t="s">
        <v>3</v>
      </c>
      <c r="F263" t="s">
        <v>3</v>
      </c>
      <c r="G263" t="s">
        <v>105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67</v>
      </c>
      <c r="U263" s="95" t="s">
        <v>1023</v>
      </c>
    </row>
    <row r="264" spans="1:21" x14ac:dyDescent="0.45">
      <c r="A264" t="s">
        <v>1024</v>
      </c>
      <c r="B264" t="s">
        <v>8</v>
      </c>
      <c r="C264" t="s">
        <v>1025</v>
      </c>
      <c r="D264" t="s">
        <v>1025</v>
      </c>
      <c r="E264" s="97" t="s">
        <v>2</v>
      </c>
      <c r="F264" t="s">
        <v>3</v>
      </c>
      <c r="G264" t="s">
        <v>3</v>
      </c>
      <c r="H264" t="s">
        <v>8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67</v>
      </c>
      <c r="U264" s="95" t="s">
        <v>1026</v>
      </c>
    </row>
    <row r="265" spans="1:21" x14ac:dyDescent="0.45">
      <c r="A265" t="s">
        <v>1027</v>
      </c>
      <c r="B265" t="s">
        <v>8</v>
      </c>
      <c r="C265" t="s">
        <v>1028</v>
      </c>
      <c r="D265" t="s">
        <v>1028</v>
      </c>
      <c r="E265" s="97" t="s">
        <v>2</v>
      </c>
      <c r="F265" t="s">
        <v>3</v>
      </c>
      <c r="G265" t="s">
        <v>3</v>
      </c>
      <c r="H265" t="s">
        <v>8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67</v>
      </c>
      <c r="U265" s="95" t="s">
        <v>1029</v>
      </c>
    </row>
    <row r="266" spans="1:21" x14ac:dyDescent="0.45">
      <c r="A266" t="s">
        <v>1030</v>
      </c>
      <c r="B266" t="s">
        <v>3</v>
      </c>
      <c r="C266" t="s">
        <v>1031</v>
      </c>
      <c r="D266" t="s">
        <v>1031</v>
      </c>
      <c r="E266" s="97" t="s">
        <v>3</v>
      </c>
      <c r="F266" t="s">
        <v>494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67</v>
      </c>
      <c r="U266" s="95" t="s">
        <v>1032</v>
      </c>
    </row>
    <row r="267" spans="1:21" x14ac:dyDescent="0.45">
      <c r="A267" t="s">
        <v>1033</v>
      </c>
      <c r="B267" t="s">
        <v>8</v>
      </c>
      <c r="C267" t="s">
        <v>1034</v>
      </c>
      <c r="D267" t="s">
        <v>1034</v>
      </c>
      <c r="E267" s="97" t="s">
        <v>3</v>
      </c>
      <c r="F267" t="s">
        <v>3</v>
      </c>
      <c r="G267" t="s">
        <v>8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67</v>
      </c>
      <c r="U267" s="95" t="s">
        <v>1035</v>
      </c>
    </row>
    <row r="268" spans="1:21" x14ac:dyDescent="0.45">
      <c r="A268" t="s">
        <v>1036</v>
      </c>
      <c r="B268" t="s">
        <v>8</v>
      </c>
      <c r="C268" t="s">
        <v>1037</v>
      </c>
      <c r="D268" t="s">
        <v>1037</v>
      </c>
      <c r="E268" s="97" t="s">
        <v>3</v>
      </c>
      <c r="F268" t="s">
        <v>3</v>
      </c>
      <c r="G268" t="s">
        <v>8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67</v>
      </c>
      <c r="U268" s="95" t="s">
        <v>1038</v>
      </c>
    </row>
    <row r="269" spans="1:21" x14ac:dyDescent="0.45">
      <c r="A269" t="s">
        <v>1039</v>
      </c>
      <c r="B269" t="s">
        <v>3</v>
      </c>
      <c r="C269" t="s">
        <v>1040</v>
      </c>
      <c r="D269" t="s">
        <v>1041</v>
      </c>
      <c r="E269" s="98" t="s">
        <v>3</v>
      </c>
      <c r="F269" t="s">
        <v>1042</v>
      </c>
      <c r="G269" t="s">
        <v>8</v>
      </c>
      <c r="H269" t="s">
        <v>8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67</v>
      </c>
      <c r="U269" s="95" t="s">
        <v>1043</v>
      </c>
    </row>
    <row r="270" spans="1:21" x14ac:dyDescent="0.45">
      <c r="A270" t="s">
        <v>1042</v>
      </c>
      <c r="B270" t="s">
        <v>3</v>
      </c>
      <c r="C270" t="s">
        <v>1044</v>
      </c>
      <c r="D270" t="s">
        <v>1044</v>
      </c>
      <c r="E270" s="97" t="s">
        <v>3</v>
      </c>
      <c r="F270" t="s">
        <v>3</v>
      </c>
      <c r="G270" t="s">
        <v>8</v>
      </c>
      <c r="H270" t="s">
        <v>8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67</v>
      </c>
      <c r="U270" s="95" t="s">
        <v>1045</v>
      </c>
    </row>
    <row r="271" spans="1:21" x14ac:dyDescent="0.45">
      <c r="A271" t="s">
        <v>1046</v>
      </c>
      <c r="B271" t="s">
        <v>8</v>
      </c>
      <c r="C271" t="s">
        <v>1047</v>
      </c>
      <c r="D271" t="s">
        <v>1048</v>
      </c>
      <c r="E271" s="97" t="s">
        <v>2</v>
      </c>
      <c r="F271" t="s">
        <v>3</v>
      </c>
      <c r="G271" t="s">
        <v>3</v>
      </c>
      <c r="H271" t="s">
        <v>8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67</v>
      </c>
      <c r="U271" s="95" t="s">
        <v>1049</v>
      </c>
    </row>
    <row r="272" spans="1:21" x14ac:dyDescent="0.45">
      <c r="A272" t="s">
        <v>1050</v>
      </c>
      <c r="B272" t="s">
        <v>3</v>
      </c>
      <c r="C272" t="s">
        <v>1051</v>
      </c>
      <c r="D272" t="s">
        <v>1051</v>
      </c>
      <c r="E272" s="97" t="s">
        <v>3</v>
      </c>
      <c r="F272" t="s">
        <v>3</v>
      </c>
      <c r="G272" t="s">
        <v>8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67</v>
      </c>
      <c r="U272" s="95" t="s">
        <v>1052</v>
      </c>
    </row>
    <row r="273" spans="1:21" x14ac:dyDescent="0.45">
      <c r="A273" t="s">
        <v>465</v>
      </c>
      <c r="B273" t="s">
        <v>8</v>
      </c>
      <c r="C273" t="s">
        <v>464</v>
      </c>
      <c r="D273" t="s">
        <v>464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67</v>
      </c>
      <c r="U273" s="95" t="s">
        <v>1053</v>
      </c>
    </row>
    <row r="274" spans="1:21" x14ac:dyDescent="0.45">
      <c r="A274" t="s">
        <v>1054</v>
      </c>
      <c r="B274" t="s">
        <v>8</v>
      </c>
      <c r="C274" t="s">
        <v>1055</v>
      </c>
      <c r="D274" t="s">
        <v>1055</v>
      </c>
      <c r="E274" s="97" t="s">
        <v>3</v>
      </c>
      <c r="F274" t="s">
        <v>3</v>
      </c>
      <c r="G274" t="s">
        <v>8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67</v>
      </c>
      <c r="U274" s="95" t="s">
        <v>1056</v>
      </c>
    </row>
    <row r="275" spans="1:21" x14ac:dyDescent="0.45">
      <c r="A275" t="s">
        <v>1057</v>
      </c>
      <c r="B275" t="s">
        <v>8</v>
      </c>
      <c r="C275" t="s">
        <v>1058</v>
      </c>
      <c r="D275" t="s">
        <v>12</v>
      </c>
      <c r="E275" s="97" t="s">
        <v>3</v>
      </c>
      <c r="F275" t="s">
        <v>1059</v>
      </c>
      <c r="G275" t="s">
        <v>3</v>
      </c>
      <c r="H275" t="s">
        <v>67</v>
      </c>
      <c r="I275" t="s">
        <v>3</v>
      </c>
      <c r="J275" t="s">
        <v>204</v>
      </c>
      <c r="K275" t="s">
        <v>8</v>
      </c>
      <c r="L275" t="s">
        <v>313</v>
      </c>
      <c r="M275" t="s">
        <v>3</v>
      </c>
      <c r="N275" t="s">
        <v>217</v>
      </c>
      <c r="O275" t="s">
        <v>3</v>
      </c>
      <c r="P275" t="s">
        <v>729</v>
      </c>
      <c r="Q275" t="s">
        <v>3</v>
      </c>
      <c r="R275" t="s">
        <v>730</v>
      </c>
      <c r="S275" t="s">
        <v>3</v>
      </c>
      <c r="T275" t="s">
        <v>67</v>
      </c>
      <c r="U275" s="95" t="s">
        <v>1060</v>
      </c>
    </row>
    <row r="276" spans="1:21" x14ac:dyDescent="0.45">
      <c r="A276" t="s">
        <v>1059</v>
      </c>
      <c r="B276" t="s">
        <v>8</v>
      </c>
      <c r="C276" t="s">
        <v>1061</v>
      </c>
      <c r="D276" t="s">
        <v>1062</v>
      </c>
      <c r="E276" s="97" t="s">
        <v>3</v>
      </c>
      <c r="F276" t="s">
        <v>3</v>
      </c>
      <c r="G276" t="s">
        <v>8</v>
      </c>
      <c r="H276" t="s">
        <v>67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67</v>
      </c>
      <c r="U276" s="95" t="s">
        <v>1063</v>
      </c>
    </row>
    <row r="277" spans="1:21" x14ac:dyDescent="0.45">
      <c r="A277" t="s">
        <v>1064</v>
      </c>
      <c r="B277" t="s">
        <v>8</v>
      </c>
      <c r="C277" t="s">
        <v>1065</v>
      </c>
      <c r="D277" t="s">
        <v>1065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67</v>
      </c>
      <c r="U277" s="95" t="s">
        <v>1066</v>
      </c>
    </row>
    <row r="278" spans="1:21" x14ac:dyDescent="0.45">
      <c r="A278" t="s">
        <v>1067</v>
      </c>
      <c r="B278" t="s">
        <v>8</v>
      </c>
      <c r="C278" t="s">
        <v>1068</v>
      </c>
      <c r="D278" t="s">
        <v>1068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67</v>
      </c>
      <c r="U278" s="95" t="s">
        <v>1069</v>
      </c>
    </row>
    <row r="279" spans="1:21" x14ac:dyDescent="0.45">
      <c r="A279" t="s">
        <v>1070</v>
      </c>
      <c r="B279" t="s">
        <v>8</v>
      </c>
      <c r="C279" t="s">
        <v>1071</v>
      </c>
      <c r="D279" t="s">
        <v>1071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67</v>
      </c>
      <c r="U279" s="95" t="s">
        <v>1072</v>
      </c>
    </row>
    <row r="280" spans="1:21" x14ac:dyDescent="0.45">
      <c r="A280" t="s">
        <v>1073</v>
      </c>
      <c r="B280" t="s">
        <v>8</v>
      </c>
      <c r="C280" t="s">
        <v>1074</v>
      </c>
      <c r="D280" t="s">
        <v>1074</v>
      </c>
      <c r="E280" s="97" t="s">
        <v>3</v>
      </c>
      <c r="F280" t="s">
        <v>3</v>
      </c>
      <c r="G280" t="s">
        <v>8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67</v>
      </c>
      <c r="U280" s="95" t="s">
        <v>1075</v>
      </c>
    </row>
    <row r="281" spans="1:21" x14ac:dyDescent="0.45">
      <c r="A281" t="s">
        <v>1076</v>
      </c>
      <c r="B281" t="s">
        <v>8</v>
      </c>
      <c r="C281" t="s">
        <v>1077</v>
      </c>
      <c r="D281" t="s">
        <v>1077</v>
      </c>
      <c r="E281" s="97" t="s">
        <v>3</v>
      </c>
      <c r="F281" t="s">
        <v>3</v>
      </c>
      <c r="G281" t="s">
        <v>8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67</v>
      </c>
      <c r="U281" s="95" t="s">
        <v>1078</v>
      </c>
    </row>
    <row r="282" spans="1:21" x14ac:dyDescent="0.45">
      <c r="A282" t="s">
        <v>1079</v>
      </c>
      <c r="B282" t="s">
        <v>8</v>
      </c>
      <c r="C282" t="s">
        <v>1080</v>
      </c>
      <c r="D282" t="s">
        <v>1080</v>
      </c>
      <c r="E282" s="97" t="s">
        <v>3</v>
      </c>
      <c r="F282" t="s">
        <v>3</v>
      </c>
      <c r="G282" t="s">
        <v>8</v>
      </c>
      <c r="H282" t="s">
        <v>67</v>
      </c>
      <c r="I282" t="s">
        <v>3</v>
      </c>
      <c r="J282" t="s">
        <v>630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67</v>
      </c>
      <c r="U282" s="95" t="s">
        <v>1081</v>
      </c>
    </row>
    <row r="283" spans="1:21" x14ac:dyDescent="0.45">
      <c r="A283" t="s">
        <v>1082</v>
      </c>
      <c r="B283" t="s">
        <v>8</v>
      </c>
      <c r="C283" t="s">
        <v>1083</v>
      </c>
      <c r="D283" t="s">
        <v>1084</v>
      </c>
      <c r="E283" s="97" t="s">
        <v>3</v>
      </c>
      <c r="F283" t="s">
        <v>1085</v>
      </c>
      <c r="G283" t="s">
        <v>105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67</v>
      </c>
      <c r="U283" s="95" t="s">
        <v>1086</v>
      </c>
    </row>
    <row r="284" spans="1:21" x14ac:dyDescent="0.45">
      <c r="A284" t="s">
        <v>1085</v>
      </c>
      <c r="B284" t="s">
        <v>8</v>
      </c>
      <c r="C284" t="s">
        <v>1087</v>
      </c>
      <c r="D284" t="s">
        <v>1088</v>
      </c>
      <c r="E284" s="97" t="s">
        <v>3</v>
      </c>
      <c r="F284" t="s">
        <v>1085</v>
      </c>
      <c r="G284" t="s">
        <v>105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67</v>
      </c>
      <c r="U284" s="95" t="s">
        <v>1089</v>
      </c>
    </row>
    <row r="285" spans="1:21" x14ac:dyDescent="0.45">
      <c r="A285" t="s">
        <v>1090</v>
      </c>
      <c r="B285" t="s">
        <v>8</v>
      </c>
      <c r="C285" t="s">
        <v>1091</v>
      </c>
      <c r="D285" t="s">
        <v>1092</v>
      </c>
      <c r="E285" s="97" t="s">
        <v>54</v>
      </c>
      <c r="F285" t="s">
        <v>1093</v>
      </c>
      <c r="G285" t="s">
        <v>8</v>
      </c>
      <c r="H285" t="s">
        <v>67</v>
      </c>
      <c r="I285" t="s">
        <v>107</v>
      </c>
      <c r="J285" t="s">
        <v>313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67</v>
      </c>
      <c r="U285" s="95" t="s">
        <v>1094</v>
      </c>
    </row>
    <row r="286" spans="1:21" x14ac:dyDescent="0.45">
      <c r="A286" t="s">
        <v>1093</v>
      </c>
      <c r="B286" t="s">
        <v>8</v>
      </c>
      <c r="C286" t="s">
        <v>1095</v>
      </c>
      <c r="D286" t="s">
        <v>1095</v>
      </c>
      <c r="E286" s="97" t="s">
        <v>54</v>
      </c>
      <c r="F286" t="s">
        <v>1093</v>
      </c>
      <c r="G286" t="s">
        <v>8</v>
      </c>
      <c r="H286" t="s">
        <v>67</v>
      </c>
      <c r="I286" t="s">
        <v>107</v>
      </c>
      <c r="J286" t="s">
        <v>313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67</v>
      </c>
      <c r="U286" s="95" t="s">
        <v>1096</v>
      </c>
    </row>
    <row r="287" spans="1:21" x14ac:dyDescent="0.45">
      <c r="A287" t="s">
        <v>1097</v>
      </c>
      <c r="B287" t="s">
        <v>8</v>
      </c>
      <c r="C287" t="s">
        <v>1098</v>
      </c>
      <c r="D287" t="s">
        <v>1098</v>
      </c>
      <c r="E287" s="97" t="s">
        <v>3</v>
      </c>
      <c r="F287" t="s">
        <v>3</v>
      </c>
      <c r="G287" t="s">
        <v>8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67</v>
      </c>
      <c r="U287" s="95" t="s">
        <v>1099</v>
      </c>
    </row>
    <row r="288" spans="1:21" x14ac:dyDescent="0.45">
      <c r="A288" t="s">
        <v>1100</v>
      </c>
      <c r="B288" t="s">
        <v>8</v>
      </c>
      <c r="C288" t="s">
        <v>1101</v>
      </c>
      <c r="D288" t="s">
        <v>1101</v>
      </c>
      <c r="E288" s="97" t="s">
        <v>3</v>
      </c>
      <c r="F288" t="s">
        <v>1102</v>
      </c>
      <c r="G288" t="s">
        <v>8</v>
      </c>
      <c r="H288" t="s">
        <v>67</v>
      </c>
      <c r="I288" t="s">
        <v>6</v>
      </c>
      <c r="J288" t="s">
        <v>1103</v>
      </c>
      <c r="K288" t="s">
        <v>3</v>
      </c>
      <c r="L288" t="s">
        <v>315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67</v>
      </c>
      <c r="U288" s="95" t="s">
        <v>1104</v>
      </c>
    </row>
    <row r="289" spans="1:21" x14ac:dyDescent="0.45">
      <c r="A289" t="s">
        <v>1102</v>
      </c>
      <c r="B289" t="s">
        <v>8</v>
      </c>
      <c r="C289" t="s">
        <v>1101</v>
      </c>
      <c r="D289" t="s">
        <v>1101</v>
      </c>
      <c r="E289" s="97" t="s">
        <v>3</v>
      </c>
      <c r="F289" t="s">
        <v>3</v>
      </c>
      <c r="G289" t="s">
        <v>8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67</v>
      </c>
      <c r="U289" s="95" t="s">
        <v>1105</v>
      </c>
    </row>
    <row r="290" spans="1:21" x14ac:dyDescent="0.45">
      <c r="A290" t="s">
        <v>1106</v>
      </c>
      <c r="B290" t="s">
        <v>8</v>
      </c>
      <c r="C290" t="s">
        <v>1107</v>
      </c>
      <c r="D290" t="s">
        <v>697</v>
      </c>
      <c r="E290" s="97" t="s">
        <v>3</v>
      </c>
      <c r="F290" t="s">
        <v>1108</v>
      </c>
      <c r="G290" t="s">
        <v>8</v>
      </c>
      <c r="H290" t="s">
        <v>67</v>
      </c>
      <c r="I290" t="s">
        <v>3</v>
      </c>
      <c r="J290" t="s">
        <v>204</v>
      </c>
      <c r="K290" t="s">
        <v>8</v>
      </c>
      <c r="L290" t="s">
        <v>699</v>
      </c>
      <c r="M290" t="s">
        <v>3</v>
      </c>
      <c r="N290" t="s">
        <v>700</v>
      </c>
      <c r="O290" t="s">
        <v>3</v>
      </c>
      <c r="P290" t="s">
        <v>701</v>
      </c>
      <c r="Q290" t="s">
        <v>3</v>
      </c>
      <c r="R290" t="s">
        <v>315</v>
      </c>
      <c r="S290" t="s">
        <v>3</v>
      </c>
      <c r="T290" t="s">
        <v>67</v>
      </c>
      <c r="U290" s="95" t="s">
        <v>1109</v>
      </c>
    </row>
    <row r="291" spans="1:21" x14ac:dyDescent="0.45">
      <c r="A291" t="s">
        <v>1108</v>
      </c>
      <c r="B291" t="s">
        <v>8</v>
      </c>
      <c r="C291" t="s">
        <v>1110</v>
      </c>
      <c r="D291" t="s">
        <v>1110</v>
      </c>
      <c r="E291" s="97" t="s">
        <v>3</v>
      </c>
      <c r="F291" t="s">
        <v>1108</v>
      </c>
      <c r="G291" t="s">
        <v>8</v>
      </c>
      <c r="H291" t="s">
        <v>67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67</v>
      </c>
      <c r="U291" s="95" t="s">
        <v>1111</v>
      </c>
    </row>
    <row r="292" spans="1:21" x14ac:dyDescent="0.45">
      <c r="A292" t="s">
        <v>1112</v>
      </c>
      <c r="B292" t="s">
        <v>3</v>
      </c>
      <c r="C292" t="s">
        <v>1113</v>
      </c>
      <c r="D292" t="s">
        <v>1113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67</v>
      </c>
      <c r="U292" s="95" t="s">
        <v>1114</v>
      </c>
    </row>
    <row r="293" spans="1:21" x14ac:dyDescent="0.45">
      <c r="A293" t="s">
        <v>1115</v>
      </c>
      <c r="B293" t="s">
        <v>8</v>
      </c>
      <c r="C293" t="s">
        <v>1116</v>
      </c>
      <c r="D293" t="s">
        <v>1116</v>
      </c>
      <c r="E293" s="97" t="s">
        <v>3</v>
      </c>
      <c r="F293" t="s">
        <v>3</v>
      </c>
      <c r="G293" t="s">
        <v>8</v>
      </c>
      <c r="H293" t="s">
        <v>3</v>
      </c>
      <c r="I293" t="s">
        <v>538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67</v>
      </c>
      <c r="U293" s="95" t="s">
        <v>1117</v>
      </c>
    </row>
    <row r="294" spans="1:21" x14ac:dyDescent="0.45">
      <c r="A294" t="s">
        <v>1118</v>
      </c>
      <c r="B294" t="s">
        <v>8</v>
      </c>
      <c r="C294" t="s">
        <v>1119</v>
      </c>
      <c r="D294" t="s">
        <v>1119</v>
      </c>
      <c r="E294" s="97" t="s">
        <v>3</v>
      </c>
      <c r="F294" t="s">
        <v>3</v>
      </c>
      <c r="G294" t="s">
        <v>8</v>
      </c>
      <c r="H294" t="s">
        <v>3</v>
      </c>
      <c r="I294" t="s">
        <v>538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67</v>
      </c>
      <c r="U294" s="95" t="s">
        <v>1120</v>
      </c>
    </row>
    <row r="295" spans="1:21" x14ac:dyDescent="0.45">
      <c r="A295" t="s">
        <v>1121</v>
      </c>
      <c r="B295" t="s">
        <v>8</v>
      </c>
      <c r="C295" t="s">
        <v>1122</v>
      </c>
      <c r="D295" t="s">
        <v>1122</v>
      </c>
      <c r="E295" s="97" t="s">
        <v>3</v>
      </c>
      <c r="F295" t="s">
        <v>3</v>
      </c>
      <c r="G295" t="s">
        <v>8</v>
      </c>
      <c r="H295" t="s">
        <v>3</v>
      </c>
      <c r="I295" t="s">
        <v>538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67</v>
      </c>
      <c r="U295" s="95" t="s">
        <v>1123</v>
      </c>
    </row>
    <row r="296" spans="1:21" x14ac:dyDescent="0.45">
      <c r="A296" t="s">
        <v>1124</v>
      </c>
      <c r="B296" t="s">
        <v>8</v>
      </c>
      <c r="C296" t="s">
        <v>1125</v>
      </c>
      <c r="D296" t="s">
        <v>1125</v>
      </c>
      <c r="E296" s="97" t="s">
        <v>3</v>
      </c>
      <c r="F296" t="s">
        <v>3</v>
      </c>
      <c r="G296" t="s">
        <v>8</v>
      </c>
      <c r="H296" t="s">
        <v>3</v>
      </c>
      <c r="I296" t="s">
        <v>538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67</v>
      </c>
      <c r="U296" s="95" t="s">
        <v>1126</v>
      </c>
    </row>
    <row r="297" spans="1:21" x14ac:dyDescent="0.45">
      <c r="A297" t="s">
        <v>1127</v>
      </c>
      <c r="B297" t="s">
        <v>8</v>
      </c>
      <c r="C297" t="s">
        <v>1128</v>
      </c>
      <c r="D297" t="s">
        <v>1128</v>
      </c>
      <c r="E297" s="97" t="s">
        <v>3</v>
      </c>
      <c r="F297" t="s">
        <v>3</v>
      </c>
      <c r="G297" t="s">
        <v>8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67</v>
      </c>
      <c r="U297" s="95" t="s">
        <v>1129</v>
      </c>
    </row>
    <row r="298" spans="1:21" x14ac:dyDescent="0.45">
      <c r="A298" t="s">
        <v>1130</v>
      </c>
      <c r="B298" t="s">
        <v>8</v>
      </c>
      <c r="C298" t="s">
        <v>1131</v>
      </c>
      <c r="D298" t="s">
        <v>1132</v>
      </c>
      <c r="E298" s="97" t="s">
        <v>3</v>
      </c>
      <c r="F298" t="s">
        <v>1133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67</v>
      </c>
      <c r="U298" s="95" t="s">
        <v>1134</v>
      </c>
    </row>
    <row r="299" spans="1:21" x14ac:dyDescent="0.45">
      <c r="A299" t="s">
        <v>1133</v>
      </c>
      <c r="B299" t="s">
        <v>8</v>
      </c>
      <c r="C299" t="s">
        <v>1135</v>
      </c>
      <c r="D299" t="s">
        <v>1135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67</v>
      </c>
      <c r="U299" s="95" t="s">
        <v>1136</v>
      </c>
    </row>
    <row r="300" spans="1:21" x14ac:dyDescent="0.45">
      <c r="A300" t="s">
        <v>1137</v>
      </c>
      <c r="B300" t="s">
        <v>8</v>
      </c>
      <c r="C300" t="s">
        <v>1138</v>
      </c>
      <c r="D300" t="s">
        <v>1138</v>
      </c>
      <c r="E300" s="97" t="s">
        <v>3</v>
      </c>
      <c r="F300" t="s">
        <v>3</v>
      </c>
      <c r="G300" t="s">
        <v>105</v>
      </c>
      <c r="H300" t="s">
        <v>67</v>
      </c>
      <c r="I300" t="s">
        <v>3</v>
      </c>
      <c r="J300" t="s">
        <v>664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67</v>
      </c>
      <c r="U300" s="95" t="s">
        <v>1139</v>
      </c>
    </row>
    <row r="301" spans="1:21" x14ac:dyDescent="0.45">
      <c r="A301" t="s">
        <v>1140</v>
      </c>
      <c r="B301" t="s">
        <v>8</v>
      </c>
      <c r="C301" t="s">
        <v>1141</v>
      </c>
      <c r="D301" t="s">
        <v>1142</v>
      </c>
      <c r="E301" s="97" t="s">
        <v>3</v>
      </c>
      <c r="F301" t="s">
        <v>3</v>
      </c>
      <c r="G301" t="s">
        <v>105</v>
      </c>
      <c r="H301" t="s">
        <v>67</v>
      </c>
      <c r="I301" t="s">
        <v>3</v>
      </c>
      <c r="J301" t="s">
        <v>1143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67</v>
      </c>
      <c r="U301" s="95" t="s">
        <v>1144</v>
      </c>
    </row>
    <row r="302" spans="1:21" x14ac:dyDescent="0.45">
      <c r="A302" t="s">
        <v>1145</v>
      </c>
      <c r="B302" t="s">
        <v>8</v>
      </c>
      <c r="C302" t="s">
        <v>1146</v>
      </c>
      <c r="D302" t="s">
        <v>1146</v>
      </c>
      <c r="E302" s="97" t="s">
        <v>3</v>
      </c>
      <c r="F302" t="s">
        <v>3</v>
      </c>
      <c r="G302" t="s">
        <v>105</v>
      </c>
      <c r="H302" t="s">
        <v>67</v>
      </c>
      <c r="I302" t="s">
        <v>3</v>
      </c>
      <c r="J302" t="s">
        <v>1147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67</v>
      </c>
      <c r="U302" s="95" t="s">
        <v>1148</v>
      </c>
    </row>
    <row r="303" spans="1:21" x14ac:dyDescent="0.45">
      <c r="A303" t="s">
        <v>1149</v>
      </c>
      <c r="B303" t="s">
        <v>8</v>
      </c>
      <c r="C303" t="s">
        <v>1150</v>
      </c>
      <c r="D303" t="s">
        <v>1150</v>
      </c>
      <c r="E303" s="97" t="s">
        <v>3</v>
      </c>
      <c r="F303" t="s">
        <v>3</v>
      </c>
      <c r="G303" t="s">
        <v>105</v>
      </c>
      <c r="H303" t="s">
        <v>67</v>
      </c>
      <c r="I303" t="s">
        <v>3</v>
      </c>
      <c r="J303" t="s">
        <v>1151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67</v>
      </c>
      <c r="U303" s="95" t="s">
        <v>1152</v>
      </c>
    </row>
    <row r="304" spans="1:21" x14ac:dyDescent="0.45">
      <c r="A304" t="s">
        <v>1153</v>
      </c>
      <c r="B304" t="s">
        <v>8</v>
      </c>
      <c r="C304" t="s">
        <v>1154</v>
      </c>
      <c r="D304" t="s">
        <v>1154</v>
      </c>
      <c r="E304" s="97" t="s">
        <v>3</v>
      </c>
      <c r="F304" t="s">
        <v>3</v>
      </c>
      <c r="G304" t="s">
        <v>105</v>
      </c>
      <c r="H304" t="s">
        <v>67</v>
      </c>
      <c r="I304" t="s">
        <v>3</v>
      </c>
      <c r="J304" t="s">
        <v>1155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67</v>
      </c>
      <c r="U304" s="95" t="s">
        <v>1156</v>
      </c>
    </row>
    <row r="305" spans="1:21" x14ac:dyDescent="0.45">
      <c r="A305" t="s">
        <v>1157</v>
      </c>
      <c r="B305" t="s">
        <v>8</v>
      </c>
      <c r="C305" t="s">
        <v>1062</v>
      </c>
      <c r="D305" t="s">
        <v>1158</v>
      </c>
      <c r="E305" s="97" t="s">
        <v>3</v>
      </c>
      <c r="F305" t="s">
        <v>1159</v>
      </c>
      <c r="G305" t="s">
        <v>3</v>
      </c>
      <c r="H305" t="s">
        <v>67</v>
      </c>
      <c r="I305" t="s">
        <v>3</v>
      </c>
      <c r="J305" t="s">
        <v>204</v>
      </c>
      <c r="K305" t="s">
        <v>8</v>
      </c>
      <c r="L305" t="s">
        <v>313</v>
      </c>
      <c r="M305" t="s">
        <v>3</v>
      </c>
      <c r="N305" t="s">
        <v>217</v>
      </c>
      <c r="O305" t="s">
        <v>3</v>
      </c>
      <c r="P305" t="s">
        <v>729</v>
      </c>
      <c r="Q305" t="s">
        <v>3</v>
      </c>
      <c r="R305" t="s">
        <v>730</v>
      </c>
      <c r="S305" t="s">
        <v>3</v>
      </c>
      <c r="T305" t="s">
        <v>67</v>
      </c>
      <c r="U305" s="95" t="s">
        <v>1160</v>
      </c>
    </row>
    <row r="306" spans="1:21" x14ac:dyDescent="0.45">
      <c r="A306" t="s">
        <v>1159</v>
      </c>
      <c r="B306" t="s">
        <v>8</v>
      </c>
      <c r="C306" t="s">
        <v>1161</v>
      </c>
      <c r="D306" t="s">
        <v>1161</v>
      </c>
      <c r="E306" s="97" t="s">
        <v>3</v>
      </c>
      <c r="F306" t="s">
        <v>3</v>
      </c>
      <c r="G306" t="s">
        <v>8</v>
      </c>
      <c r="H306" t="s">
        <v>67</v>
      </c>
      <c r="I306" t="s">
        <v>3</v>
      </c>
      <c r="J306" t="s">
        <v>204</v>
      </c>
      <c r="K306" t="s">
        <v>8</v>
      </c>
      <c r="L306" t="s">
        <v>1162</v>
      </c>
      <c r="M306" t="s">
        <v>3</v>
      </c>
      <c r="N306" t="s">
        <v>313</v>
      </c>
      <c r="O306" t="s">
        <v>3</v>
      </c>
      <c r="P306"/>
      <c r="Q306" t="s">
        <v>3</v>
      </c>
      <c r="R306"/>
      <c r="S306" t="s">
        <v>3</v>
      </c>
      <c r="T306" t="s">
        <v>67</v>
      </c>
      <c r="U306" s="95" t="s">
        <v>1163</v>
      </c>
    </row>
    <row r="307" spans="1:21" x14ac:dyDescent="0.45">
      <c r="A307" t="s">
        <v>1004</v>
      </c>
      <c r="B307" t="s">
        <v>3</v>
      </c>
      <c r="C307" t="s">
        <v>1164</v>
      </c>
      <c r="D307" t="s">
        <v>1164</v>
      </c>
      <c r="E307" s="97" t="s">
        <v>3</v>
      </c>
      <c r="F307" t="s">
        <v>3</v>
      </c>
      <c r="G307" t="s">
        <v>105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67</v>
      </c>
      <c r="U307" s="95" t="s">
        <v>1165</v>
      </c>
    </row>
    <row r="308" spans="1:21" x14ac:dyDescent="0.45">
      <c r="A308" t="s">
        <v>915</v>
      </c>
      <c r="B308" t="s">
        <v>8</v>
      </c>
      <c r="C308" t="s">
        <v>914</v>
      </c>
      <c r="D308" t="s">
        <v>914</v>
      </c>
      <c r="E308" s="97" t="s">
        <v>3</v>
      </c>
      <c r="F308" t="s">
        <v>3</v>
      </c>
      <c r="G308" t="s">
        <v>8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67</v>
      </c>
      <c r="U308" s="95" t="s">
        <v>1166</v>
      </c>
    </row>
    <row r="309" spans="1:21" x14ac:dyDescent="0.45">
      <c r="A309" t="s">
        <v>461</v>
      </c>
      <c r="B309" t="s">
        <v>8</v>
      </c>
      <c r="C309" t="s">
        <v>1167</v>
      </c>
      <c r="D309" t="s">
        <v>1167</v>
      </c>
      <c r="E309" s="97" t="s">
        <v>3</v>
      </c>
      <c r="F309" t="s">
        <v>3</v>
      </c>
      <c r="G309" t="s">
        <v>8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67</v>
      </c>
      <c r="U309" s="95" t="s">
        <v>1168</v>
      </c>
    </row>
    <row r="310" spans="1:21" x14ac:dyDescent="0.45">
      <c r="A310" t="s">
        <v>1169</v>
      </c>
      <c r="B310" t="s">
        <v>8</v>
      </c>
      <c r="C310" t="s">
        <v>1170</v>
      </c>
      <c r="D310" t="s">
        <v>1170</v>
      </c>
      <c r="E310" s="97" t="s">
        <v>3</v>
      </c>
      <c r="F310" t="s">
        <v>73</v>
      </c>
      <c r="G310" t="s">
        <v>8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67</v>
      </c>
      <c r="U310" s="95" t="s">
        <v>1171</v>
      </c>
    </row>
    <row r="311" spans="1:21" x14ac:dyDescent="0.45">
      <c r="A311" t="s">
        <v>73</v>
      </c>
      <c r="B311" t="s">
        <v>8</v>
      </c>
      <c r="C311" t="s">
        <v>1170</v>
      </c>
      <c r="D311" t="s">
        <v>1170</v>
      </c>
      <c r="E311" s="97" t="s">
        <v>3</v>
      </c>
      <c r="F311" t="s">
        <v>3</v>
      </c>
      <c r="G311" t="s">
        <v>8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67</v>
      </c>
      <c r="U311" s="95" t="s">
        <v>1172</v>
      </c>
    </row>
    <row r="312" spans="1:21" x14ac:dyDescent="0.45">
      <c r="A312" t="s">
        <v>1173</v>
      </c>
      <c r="B312" t="s">
        <v>8</v>
      </c>
      <c r="C312" t="s">
        <v>1174</v>
      </c>
      <c r="D312" t="s">
        <v>1174</v>
      </c>
      <c r="E312" s="97" t="s">
        <v>3</v>
      </c>
      <c r="F312" t="s">
        <v>1175</v>
      </c>
      <c r="G312" t="s">
        <v>3</v>
      </c>
      <c r="H312" t="s">
        <v>67</v>
      </c>
      <c r="I312" t="s">
        <v>3</v>
      </c>
      <c r="J312" t="s">
        <v>204</v>
      </c>
      <c r="K312" t="s">
        <v>8</v>
      </c>
      <c r="L312" t="s">
        <v>313</v>
      </c>
      <c r="M312" t="s">
        <v>3</v>
      </c>
      <c r="N312" t="s">
        <v>217</v>
      </c>
      <c r="O312" t="s">
        <v>3</v>
      </c>
      <c r="P312" t="s">
        <v>729</v>
      </c>
      <c r="Q312" t="s">
        <v>3</v>
      </c>
      <c r="R312" t="s">
        <v>730</v>
      </c>
      <c r="S312" t="s">
        <v>3</v>
      </c>
      <c r="T312" t="s">
        <v>67</v>
      </c>
      <c r="U312" s="95" t="s">
        <v>1176</v>
      </c>
    </row>
    <row r="313" spans="1:21" x14ac:dyDescent="0.45">
      <c r="A313" t="s">
        <v>1175</v>
      </c>
      <c r="B313" t="s">
        <v>8</v>
      </c>
      <c r="C313" t="s">
        <v>1174</v>
      </c>
      <c r="D313" t="s">
        <v>1174</v>
      </c>
      <c r="E313" s="97" t="s">
        <v>3</v>
      </c>
      <c r="F313" t="s">
        <v>3</v>
      </c>
      <c r="G313" t="s">
        <v>8</v>
      </c>
      <c r="H313" t="s">
        <v>67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67</v>
      </c>
      <c r="U313" s="95" t="s">
        <v>1177</v>
      </c>
    </row>
    <row r="314" spans="1:21" x14ac:dyDescent="0.45">
      <c r="A314" t="s">
        <v>1178</v>
      </c>
      <c r="B314" t="s">
        <v>8</v>
      </c>
      <c r="C314" t="s">
        <v>1179</v>
      </c>
      <c r="D314" t="s">
        <v>1179</v>
      </c>
      <c r="E314" s="97" t="s">
        <v>3</v>
      </c>
      <c r="F314" t="s">
        <v>1180</v>
      </c>
      <c r="G314" t="s">
        <v>3</v>
      </c>
      <c r="H314" t="s">
        <v>67</v>
      </c>
      <c r="I314" t="s">
        <v>3</v>
      </c>
      <c r="J314" t="s">
        <v>204</v>
      </c>
      <c r="K314" t="s">
        <v>8</v>
      </c>
      <c r="L314" t="s">
        <v>313</v>
      </c>
      <c r="M314" t="s">
        <v>3</v>
      </c>
      <c r="N314" t="s">
        <v>217</v>
      </c>
      <c r="O314" t="s">
        <v>3</v>
      </c>
      <c r="P314" t="s">
        <v>729</v>
      </c>
      <c r="Q314" t="s">
        <v>3</v>
      </c>
      <c r="R314" t="s">
        <v>730</v>
      </c>
      <c r="S314" t="s">
        <v>3</v>
      </c>
      <c r="T314" t="s">
        <v>67</v>
      </c>
      <c r="U314" s="95" t="s">
        <v>1181</v>
      </c>
    </row>
    <row r="315" spans="1:21" x14ac:dyDescent="0.45">
      <c r="A315" t="s">
        <v>1180</v>
      </c>
      <c r="B315" t="s">
        <v>8</v>
      </c>
      <c r="C315" t="s">
        <v>1179</v>
      </c>
      <c r="D315" t="s">
        <v>1179</v>
      </c>
      <c r="E315" s="97" t="s">
        <v>3</v>
      </c>
      <c r="F315" t="s">
        <v>3</v>
      </c>
      <c r="G315" t="s">
        <v>8</v>
      </c>
      <c r="H315" t="s">
        <v>67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67</v>
      </c>
      <c r="U315" s="95" t="s">
        <v>1182</v>
      </c>
    </row>
    <row r="316" spans="1:21" x14ac:dyDescent="0.45">
      <c r="A316" t="s">
        <v>1183</v>
      </c>
      <c r="B316" t="s">
        <v>8</v>
      </c>
      <c r="C316" t="s">
        <v>1184</v>
      </c>
      <c r="D316" t="s">
        <v>1184</v>
      </c>
      <c r="E316" s="97" t="s">
        <v>3</v>
      </c>
      <c r="F316" t="s">
        <v>1185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67</v>
      </c>
      <c r="U316" s="95" t="s">
        <v>1186</v>
      </c>
    </row>
    <row r="317" spans="1:21" x14ac:dyDescent="0.45">
      <c r="A317" t="s">
        <v>1185</v>
      </c>
      <c r="B317" t="s">
        <v>8</v>
      </c>
      <c r="C317" t="s">
        <v>1184</v>
      </c>
      <c r="D317" t="s">
        <v>1184</v>
      </c>
      <c r="E317" s="97" t="s">
        <v>3</v>
      </c>
      <c r="F317" t="s">
        <v>3</v>
      </c>
      <c r="G317" t="s">
        <v>8</v>
      </c>
      <c r="H317" t="s">
        <v>67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67</v>
      </c>
      <c r="U317" s="95" t="s">
        <v>1187</v>
      </c>
    </row>
    <row r="318" spans="1:21" x14ac:dyDescent="0.45">
      <c r="A318" t="s">
        <v>1188</v>
      </c>
      <c r="B318" t="s">
        <v>8</v>
      </c>
      <c r="C318" t="s">
        <v>703</v>
      </c>
      <c r="D318" t="s">
        <v>703</v>
      </c>
      <c r="E318" s="97" t="s">
        <v>3</v>
      </c>
      <c r="F318" t="s">
        <v>3</v>
      </c>
      <c r="G318" t="s">
        <v>8</v>
      </c>
      <c r="H318" t="s">
        <v>3</v>
      </c>
      <c r="I318" t="s">
        <v>271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67</v>
      </c>
      <c r="U318" s="95" t="s">
        <v>1189</v>
      </c>
    </row>
    <row r="319" spans="1:21" x14ac:dyDescent="0.45">
      <c r="A319" t="s">
        <v>1190</v>
      </c>
      <c r="B319" t="s">
        <v>8</v>
      </c>
      <c r="C319" t="s">
        <v>1191</v>
      </c>
      <c r="D319" t="s">
        <v>1191</v>
      </c>
      <c r="E319" s="97" t="s">
        <v>3</v>
      </c>
      <c r="F319" t="s">
        <v>3</v>
      </c>
      <c r="G319" t="s">
        <v>8</v>
      </c>
      <c r="H319" t="s">
        <v>8</v>
      </c>
      <c r="I319" t="s">
        <v>538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67</v>
      </c>
      <c r="U319" s="95" t="s">
        <v>1192</v>
      </c>
    </row>
    <row r="320" spans="1:21" x14ac:dyDescent="0.45">
      <c r="A320" t="s">
        <v>1193</v>
      </c>
      <c r="B320" t="s">
        <v>3</v>
      </c>
      <c r="C320" t="s">
        <v>1194</v>
      </c>
      <c r="D320" t="s">
        <v>1194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67</v>
      </c>
      <c r="U320" s="95" t="s">
        <v>1195</v>
      </c>
    </row>
    <row r="321" spans="3:21" x14ac:dyDescent="0.45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 x14ac:dyDescent="0.45">
      <c r="C322"/>
      <c r="E322" s="97"/>
      <c r="F322"/>
      <c r="K322"/>
      <c r="M322"/>
      <c r="O322"/>
      <c r="Q322"/>
      <c r="S322"/>
      <c r="U322" s="95"/>
    </row>
    <row r="323" spans="3:21" x14ac:dyDescent="0.45">
      <c r="C323"/>
      <c r="E323" s="97"/>
      <c r="F323"/>
      <c r="K323"/>
      <c r="M323"/>
      <c r="O323"/>
      <c r="Q323"/>
      <c r="S323"/>
      <c r="U323" s="95"/>
    </row>
    <row r="324" spans="3:21" x14ac:dyDescent="0.45">
      <c r="C324"/>
      <c r="D324"/>
      <c r="E324" s="97"/>
      <c r="F324"/>
      <c r="K324"/>
      <c r="M324"/>
      <c r="O324"/>
      <c r="Q324"/>
      <c r="S324"/>
      <c r="U324" s="95"/>
    </row>
    <row r="325" spans="3:21" x14ac:dyDescent="0.45">
      <c r="C325"/>
      <c r="D325"/>
      <c r="E325" s="97"/>
      <c r="F325"/>
      <c r="K325"/>
      <c r="M325"/>
      <c r="O325"/>
      <c r="Q325"/>
      <c r="S325"/>
      <c r="U325" s="95"/>
    </row>
    <row r="326" spans="3:21" x14ac:dyDescent="0.45">
      <c r="C326"/>
      <c r="D326"/>
      <c r="E326" s="97"/>
      <c r="F326"/>
      <c r="K326"/>
      <c r="M326"/>
      <c r="O326"/>
      <c r="Q326"/>
      <c r="S326"/>
      <c r="U326" s="95"/>
    </row>
    <row r="327" spans="3:21" x14ac:dyDescent="0.45">
      <c r="C327"/>
      <c r="D327"/>
      <c r="E327" s="97"/>
      <c r="F327"/>
      <c r="K327"/>
      <c r="M327"/>
      <c r="O327"/>
      <c r="Q327"/>
      <c r="S327"/>
      <c r="U327" s="95"/>
    </row>
    <row r="328" spans="3:21" x14ac:dyDescent="0.45">
      <c r="C328"/>
      <c r="D328"/>
      <c r="E328" s="97"/>
      <c r="F328"/>
      <c r="K328"/>
      <c r="M328"/>
      <c r="O328"/>
      <c r="Q328"/>
      <c r="S328"/>
      <c r="U328" s="95"/>
    </row>
    <row r="329" spans="3:21" x14ac:dyDescent="0.45">
      <c r="C329"/>
      <c r="D329"/>
      <c r="E329" s="97"/>
      <c r="F329"/>
      <c r="K329"/>
      <c r="M329"/>
      <c r="O329"/>
      <c r="Q329"/>
      <c r="S329"/>
      <c r="U329" s="95"/>
    </row>
    <row r="330" spans="3:21" x14ac:dyDescent="0.45">
      <c r="C330"/>
      <c r="E330" s="97"/>
      <c r="F330"/>
      <c r="K330"/>
      <c r="M330"/>
      <c r="O330"/>
      <c r="Q330"/>
      <c r="S330"/>
      <c r="U330" s="95"/>
    </row>
    <row r="331" spans="3:21" x14ac:dyDescent="0.45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 x14ac:dyDescent="0.45">
      <c r="C332"/>
      <c r="D332"/>
      <c r="E332" s="97"/>
      <c r="F332"/>
      <c r="K332"/>
      <c r="M332"/>
      <c r="O332"/>
      <c r="Q332"/>
      <c r="S332"/>
      <c r="U332" s="95"/>
    </row>
    <row r="333" spans="3:21" x14ac:dyDescent="0.45">
      <c r="C333"/>
      <c r="E333" s="97"/>
      <c r="F333"/>
      <c r="K333"/>
      <c r="M333"/>
      <c r="O333"/>
      <c r="Q333"/>
      <c r="S333"/>
      <c r="U333" s="95"/>
    </row>
    <row r="334" spans="3:21" x14ac:dyDescent="0.45">
      <c r="C334"/>
      <c r="E334" s="97"/>
      <c r="F334"/>
      <c r="K334"/>
      <c r="M334"/>
      <c r="O334"/>
      <c r="Q334"/>
      <c r="S334"/>
      <c r="U334" s="95"/>
    </row>
    <row r="335" spans="3:21" x14ac:dyDescent="0.45">
      <c r="C335"/>
      <c r="D335"/>
      <c r="E335" s="97"/>
      <c r="F335"/>
      <c r="K335"/>
      <c r="M335"/>
      <c r="O335"/>
      <c r="Q335"/>
      <c r="S335"/>
      <c r="U335" s="95"/>
    </row>
    <row r="336" spans="3:21" x14ac:dyDescent="0.45">
      <c r="C336"/>
      <c r="D336"/>
      <c r="E336" s="97"/>
      <c r="F336"/>
      <c r="K336"/>
      <c r="M336"/>
      <c r="O336"/>
      <c r="Q336"/>
      <c r="S336"/>
      <c r="U336" s="95"/>
    </row>
    <row r="337" spans="3:21" x14ac:dyDescent="0.45">
      <c r="C337"/>
      <c r="D337"/>
      <c r="E337" s="97"/>
      <c r="F337"/>
      <c r="K337"/>
      <c r="M337"/>
      <c r="O337"/>
      <c r="Q337"/>
      <c r="S337"/>
      <c r="U337" s="95"/>
    </row>
    <row r="338" spans="3:21" x14ac:dyDescent="0.45">
      <c r="C338"/>
      <c r="D338"/>
      <c r="E338" s="97"/>
      <c r="F338"/>
      <c r="K338"/>
      <c r="M338"/>
      <c r="O338"/>
      <c r="Q338"/>
      <c r="S338"/>
      <c r="U338" s="95"/>
    </row>
    <row r="339" spans="3:21" x14ac:dyDescent="0.45">
      <c r="C339"/>
      <c r="D339"/>
      <c r="E339" s="97"/>
      <c r="F339"/>
      <c r="K339"/>
      <c r="M339"/>
      <c r="O339"/>
      <c r="Q339"/>
      <c r="S339"/>
      <c r="U339" s="95"/>
    </row>
    <row r="340" spans="3:21" x14ac:dyDescent="0.45">
      <c r="C340"/>
      <c r="D340"/>
      <c r="E340" s="97"/>
      <c r="F340"/>
      <c r="K340"/>
      <c r="M340"/>
      <c r="O340"/>
      <c r="Q340"/>
      <c r="S340"/>
      <c r="U340" s="95"/>
    </row>
    <row r="341" spans="3:21" x14ac:dyDescent="0.45">
      <c r="C341"/>
      <c r="D341"/>
      <c r="E341" s="97"/>
      <c r="F341"/>
      <c r="K341"/>
      <c r="M341"/>
      <c r="O341"/>
      <c r="Q341"/>
      <c r="S341"/>
      <c r="U341" s="95"/>
    </row>
    <row r="342" spans="3:21" x14ac:dyDescent="0.45">
      <c r="C342"/>
      <c r="D342"/>
      <c r="E342" s="97"/>
      <c r="F342"/>
      <c r="K342"/>
      <c r="M342"/>
      <c r="O342"/>
      <c r="Q342"/>
      <c r="S342"/>
      <c r="U342" s="95"/>
    </row>
    <row r="343" spans="3:21" x14ac:dyDescent="0.45">
      <c r="C343"/>
      <c r="D343"/>
      <c r="E343" s="97"/>
      <c r="F343"/>
      <c r="K343"/>
      <c r="M343"/>
      <c r="O343"/>
      <c r="Q343"/>
      <c r="S343"/>
      <c r="U343" s="95"/>
    </row>
    <row r="344" spans="3:21" x14ac:dyDescent="0.45">
      <c r="C344"/>
      <c r="D344"/>
      <c r="E344" s="97"/>
      <c r="F344"/>
      <c r="K344"/>
      <c r="M344"/>
      <c r="O344"/>
      <c r="Q344"/>
      <c r="S344"/>
      <c r="U344" s="95"/>
    </row>
    <row r="345" spans="3:21" x14ac:dyDescent="0.45">
      <c r="C345"/>
      <c r="D345"/>
      <c r="E345" s="97"/>
      <c r="F345"/>
      <c r="K345"/>
      <c r="M345"/>
      <c r="O345"/>
      <c r="Q345"/>
      <c r="S345"/>
      <c r="U345" s="95"/>
    </row>
    <row r="346" spans="3:21" x14ac:dyDescent="0.45">
      <c r="C346"/>
      <c r="D346"/>
      <c r="E346" s="97"/>
      <c r="F346"/>
      <c r="K346"/>
      <c r="M346"/>
      <c r="O346"/>
      <c r="Q346"/>
      <c r="S346"/>
      <c r="U346" s="95"/>
    </row>
    <row r="347" spans="3:21" x14ac:dyDescent="0.45">
      <c r="C347"/>
      <c r="D347"/>
      <c r="E347" s="97"/>
      <c r="F347"/>
      <c r="K347"/>
      <c r="M347"/>
      <c r="O347"/>
      <c r="Q347"/>
      <c r="S347"/>
      <c r="U347" s="95"/>
    </row>
    <row r="348" spans="3:21" x14ac:dyDescent="0.45">
      <c r="C348"/>
      <c r="D348"/>
      <c r="E348" s="97"/>
      <c r="F348"/>
      <c r="K348"/>
      <c r="M348"/>
      <c r="O348"/>
      <c r="Q348"/>
      <c r="S348"/>
      <c r="U348" s="95"/>
    </row>
    <row r="349" spans="3:21" x14ac:dyDescent="0.45">
      <c r="C349"/>
      <c r="D349"/>
      <c r="E349" s="97"/>
      <c r="F349"/>
      <c r="K349"/>
      <c r="M349"/>
      <c r="O349"/>
      <c r="Q349"/>
      <c r="S349"/>
      <c r="U349" s="95"/>
    </row>
    <row r="350" spans="3:21" x14ac:dyDescent="0.45">
      <c r="C350"/>
      <c r="D350"/>
      <c r="E350" s="97"/>
      <c r="F350"/>
      <c r="K350"/>
      <c r="M350"/>
      <c r="O350"/>
      <c r="Q350"/>
      <c r="S350"/>
      <c r="U350" s="95"/>
    </row>
    <row r="351" spans="3:21" x14ac:dyDescent="0.45">
      <c r="C351"/>
      <c r="D351"/>
      <c r="E351" s="97"/>
      <c r="F351"/>
      <c r="K351"/>
      <c r="M351"/>
      <c r="O351"/>
      <c r="Q351"/>
      <c r="S351"/>
      <c r="U351" s="95"/>
    </row>
    <row r="352" spans="3:21" x14ac:dyDescent="0.45">
      <c r="C352"/>
      <c r="D352"/>
      <c r="E352" s="97"/>
      <c r="F352"/>
      <c r="K352"/>
      <c r="M352"/>
      <c r="O352"/>
      <c r="Q352"/>
      <c r="S352"/>
      <c r="U352" s="95"/>
    </row>
    <row r="353" spans="3:21" x14ac:dyDescent="0.45">
      <c r="C353"/>
      <c r="D353"/>
      <c r="E353" s="97"/>
      <c r="F353"/>
      <c r="K353"/>
      <c r="M353"/>
      <c r="O353"/>
      <c r="Q353"/>
      <c r="S353"/>
      <c r="U353" s="95"/>
    </row>
    <row r="354" spans="3:21" x14ac:dyDescent="0.45">
      <c r="C354"/>
      <c r="D354"/>
      <c r="E354" s="97"/>
      <c r="F354"/>
      <c r="K354"/>
      <c r="M354"/>
      <c r="O354"/>
      <c r="Q354"/>
      <c r="S354"/>
      <c r="U354" s="95"/>
    </row>
    <row r="355" spans="3:21" x14ac:dyDescent="0.45">
      <c r="C355"/>
      <c r="D355"/>
      <c r="E355" s="97"/>
      <c r="F355"/>
      <c r="K355"/>
      <c r="M355"/>
      <c r="O355"/>
      <c r="Q355"/>
      <c r="S355"/>
      <c r="U355" s="95"/>
    </row>
    <row r="356" spans="3:21" x14ac:dyDescent="0.45">
      <c r="C356"/>
      <c r="D356"/>
      <c r="E356" s="97"/>
      <c r="F356"/>
      <c r="K356"/>
      <c r="M356"/>
      <c r="O356"/>
      <c r="Q356"/>
      <c r="S356"/>
      <c r="U356" s="95"/>
    </row>
    <row r="357" spans="3:21" x14ac:dyDescent="0.45">
      <c r="C357"/>
      <c r="D357"/>
      <c r="E357" s="97"/>
      <c r="F357"/>
      <c r="K357"/>
      <c r="M357"/>
      <c r="O357"/>
      <c r="Q357"/>
      <c r="S357"/>
      <c r="U357" s="95"/>
    </row>
    <row r="358" spans="3:21" x14ac:dyDescent="0.45">
      <c r="C358"/>
      <c r="D358"/>
      <c r="E358" s="97"/>
      <c r="F358"/>
      <c r="K358"/>
      <c r="M358"/>
      <c r="O358"/>
      <c r="Q358"/>
      <c r="S358"/>
      <c r="U358" s="95"/>
    </row>
    <row r="359" spans="3:21" x14ac:dyDescent="0.45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 x14ac:dyDescent="0.45">
      <c r="C360"/>
      <c r="D360"/>
      <c r="E360" s="97"/>
      <c r="F360"/>
      <c r="K360"/>
      <c r="M360"/>
      <c r="O360"/>
      <c r="Q360"/>
      <c r="S360"/>
      <c r="U360" s="95"/>
    </row>
    <row r="361" spans="3:21" x14ac:dyDescent="0.45">
      <c r="C361"/>
      <c r="D361"/>
      <c r="E361" s="97"/>
      <c r="F361"/>
      <c r="K361"/>
      <c r="M361"/>
      <c r="O361"/>
      <c r="Q361"/>
      <c r="S361"/>
      <c r="U361" s="95"/>
    </row>
    <row r="362" spans="3:21" x14ac:dyDescent="0.45">
      <c r="C362"/>
      <c r="D362"/>
      <c r="E362" s="97"/>
      <c r="F362"/>
      <c r="K362"/>
      <c r="M362"/>
      <c r="O362"/>
      <c r="Q362"/>
      <c r="S362"/>
      <c r="U362" s="95"/>
    </row>
    <row r="363" spans="3:21" x14ac:dyDescent="0.45">
      <c r="C363"/>
      <c r="D363"/>
      <c r="E363" s="97"/>
      <c r="F363"/>
      <c r="K363"/>
      <c r="M363"/>
      <c r="O363"/>
      <c r="Q363"/>
      <c r="S363"/>
      <c r="U363" s="95"/>
    </row>
    <row r="364" spans="3:21" x14ac:dyDescent="0.45">
      <c r="C364"/>
      <c r="D364"/>
      <c r="E364" s="97"/>
      <c r="F364"/>
      <c r="K364"/>
      <c r="M364"/>
      <c r="O364"/>
      <c r="Q364"/>
      <c r="S364"/>
      <c r="U364" s="95"/>
    </row>
    <row r="365" spans="3:21" x14ac:dyDescent="0.45">
      <c r="C365"/>
      <c r="D365"/>
      <c r="E365" s="97"/>
      <c r="F365"/>
      <c r="K365"/>
      <c r="M365"/>
      <c r="O365"/>
      <c r="Q365"/>
      <c r="S365"/>
      <c r="U365" s="95"/>
    </row>
    <row r="366" spans="3:21" x14ac:dyDescent="0.45">
      <c r="C366"/>
      <c r="D366"/>
      <c r="E366" s="97"/>
      <c r="F366"/>
      <c r="K366"/>
      <c r="M366"/>
      <c r="O366"/>
      <c r="Q366"/>
      <c r="S366"/>
      <c r="U366" s="95"/>
    </row>
    <row r="367" spans="3:21" x14ac:dyDescent="0.45">
      <c r="C367"/>
      <c r="D367"/>
      <c r="E367" s="97"/>
      <c r="F367"/>
      <c r="K367"/>
      <c r="M367"/>
      <c r="O367"/>
      <c r="Q367"/>
      <c r="S367"/>
      <c r="U367" s="95"/>
    </row>
    <row r="368" spans="3:21" x14ac:dyDescent="0.45">
      <c r="C368"/>
      <c r="D368"/>
      <c r="E368" s="97"/>
      <c r="F368"/>
      <c r="K368"/>
      <c r="M368"/>
      <c r="O368"/>
      <c r="Q368"/>
      <c r="S368"/>
      <c r="U368" s="95"/>
    </row>
    <row r="369" spans="3:21" x14ac:dyDescent="0.45">
      <c r="C369"/>
      <c r="D369"/>
      <c r="E369" s="97"/>
      <c r="F369"/>
      <c r="K369"/>
      <c r="M369"/>
      <c r="O369"/>
      <c r="Q369"/>
      <c r="S369"/>
      <c r="U369" s="95"/>
    </row>
    <row r="370" spans="3:21" x14ac:dyDescent="0.45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 x14ac:dyDescent="0.45">
      <c r="C371"/>
      <c r="D371"/>
      <c r="E371" s="97"/>
      <c r="F371"/>
      <c r="K371"/>
      <c r="M371"/>
      <c r="O371"/>
      <c r="Q371"/>
      <c r="S371"/>
      <c r="U371" s="95"/>
    </row>
    <row r="372" spans="3:21" x14ac:dyDescent="0.45">
      <c r="C372"/>
      <c r="D372"/>
      <c r="E372" s="97"/>
      <c r="F372"/>
      <c r="K372"/>
      <c r="M372"/>
      <c r="O372"/>
      <c r="Q372"/>
      <c r="S372"/>
      <c r="U372" s="95"/>
    </row>
    <row r="373" spans="3:21" x14ac:dyDescent="0.45">
      <c r="C373"/>
      <c r="D373"/>
      <c r="E373" s="97"/>
      <c r="F373"/>
      <c r="K373"/>
      <c r="M373"/>
      <c r="O373"/>
      <c r="Q373"/>
      <c r="S373"/>
      <c r="U373" s="95"/>
    </row>
    <row r="374" spans="3:21" x14ac:dyDescent="0.45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 x14ac:dyDescent="0.45">
      <c r="C375"/>
      <c r="D375"/>
      <c r="E375" s="97"/>
      <c r="F375"/>
      <c r="K375"/>
      <c r="M375"/>
      <c r="O375"/>
      <c r="Q375"/>
      <c r="S375"/>
      <c r="U375" s="95"/>
    </row>
    <row r="376" spans="3:21" x14ac:dyDescent="0.45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 x14ac:dyDescent="0.45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 x14ac:dyDescent="0.45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 x14ac:dyDescent="0.45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 x14ac:dyDescent="0.45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 x14ac:dyDescent="0.45">
      <c r="C381"/>
      <c r="D381"/>
      <c r="E381" s="97"/>
      <c r="F381"/>
      <c r="K381"/>
      <c r="M381"/>
      <c r="O381"/>
      <c r="Q381"/>
      <c r="S381"/>
      <c r="U381" s="95"/>
    </row>
    <row r="382" spans="3:21" x14ac:dyDescent="0.45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 x14ac:dyDescent="0.45">
      <c r="C383"/>
      <c r="D383"/>
      <c r="E383" s="97"/>
      <c r="F383"/>
      <c r="K383"/>
      <c r="M383"/>
      <c r="O383"/>
      <c r="Q383"/>
      <c r="S383"/>
      <c r="U383" s="95"/>
    </row>
    <row r="384" spans="3:21" x14ac:dyDescent="0.45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 x14ac:dyDescent="0.45">
      <c r="C385"/>
      <c r="D385"/>
      <c r="E385" s="97"/>
      <c r="F385"/>
      <c r="K385"/>
      <c r="M385"/>
      <c r="O385"/>
      <c r="Q385"/>
      <c r="S385"/>
      <c r="U385" s="95"/>
    </row>
    <row r="386" spans="3:21" x14ac:dyDescent="0.45">
      <c r="C386"/>
      <c r="D386"/>
      <c r="E386" s="97"/>
      <c r="F386"/>
      <c r="K386"/>
      <c r="M386"/>
      <c r="O386"/>
      <c r="Q386"/>
      <c r="S386"/>
      <c r="U386" s="95"/>
    </row>
    <row r="387" spans="3:21" x14ac:dyDescent="0.45">
      <c r="C387"/>
      <c r="D387"/>
      <c r="E387" s="97"/>
      <c r="F387"/>
      <c r="K387"/>
      <c r="M387"/>
      <c r="O387"/>
      <c r="Q387"/>
      <c r="S387"/>
      <c r="U387" s="95"/>
    </row>
    <row r="388" spans="3:21" x14ac:dyDescent="0.45">
      <c r="C388"/>
      <c r="D388"/>
      <c r="E388" s="97"/>
      <c r="F388"/>
      <c r="K388"/>
      <c r="M388"/>
      <c r="O388"/>
      <c r="Q388"/>
      <c r="S388"/>
      <c r="U388" s="95"/>
    </row>
    <row r="389" spans="3:21" x14ac:dyDescent="0.45">
      <c r="C389"/>
      <c r="D389"/>
      <c r="E389" s="97"/>
      <c r="F389"/>
      <c r="K389"/>
      <c r="M389"/>
      <c r="O389"/>
      <c r="Q389"/>
      <c r="S389"/>
      <c r="U389" s="95"/>
    </row>
    <row r="390" spans="3:21" x14ac:dyDescent="0.45">
      <c r="C390"/>
      <c r="D390"/>
      <c r="E390" s="97"/>
      <c r="F390"/>
      <c r="K390"/>
      <c r="M390"/>
      <c r="O390"/>
      <c r="Q390"/>
      <c r="S390"/>
      <c r="U390" s="95"/>
    </row>
    <row r="391" spans="3:21" x14ac:dyDescent="0.45">
      <c r="C391"/>
      <c r="D391"/>
      <c r="E391" s="97"/>
      <c r="F391"/>
      <c r="J391"/>
      <c r="K391"/>
      <c r="M391"/>
      <c r="O391"/>
      <c r="Q391"/>
      <c r="S391"/>
      <c r="U391" s="95"/>
    </row>
    <row r="392" spans="3:21" x14ac:dyDescent="0.45">
      <c r="C392"/>
      <c r="D392"/>
      <c r="E392" s="97"/>
      <c r="F392"/>
      <c r="J392"/>
      <c r="K392"/>
      <c r="M392"/>
      <c r="O392"/>
      <c r="Q392"/>
      <c r="S392"/>
      <c r="U392" s="95"/>
    </row>
    <row r="393" spans="3:21" x14ac:dyDescent="0.45">
      <c r="C393"/>
      <c r="D393"/>
      <c r="E393" s="97"/>
      <c r="F393"/>
      <c r="J393"/>
      <c r="K393"/>
      <c r="M393"/>
      <c r="O393"/>
      <c r="Q393"/>
      <c r="S393"/>
      <c r="U393" s="95"/>
    </row>
    <row r="394" spans="3:21" x14ac:dyDescent="0.45">
      <c r="C394"/>
      <c r="D394"/>
      <c r="E394" s="97"/>
      <c r="F394"/>
      <c r="K394"/>
      <c r="M394"/>
      <c r="O394"/>
      <c r="Q394"/>
      <c r="S394"/>
      <c r="U394" s="95"/>
    </row>
    <row r="395" spans="3:21" x14ac:dyDescent="0.45">
      <c r="C395"/>
      <c r="D395"/>
      <c r="E395" s="97"/>
      <c r="F395"/>
      <c r="K395"/>
      <c r="M395"/>
      <c r="O395"/>
      <c r="Q395"/>
      <c r="S395"/>
      <c r="U395" s="95"/>
    </row>
    <row r="396" spans="3:21" x14ac:dyDescent="0.45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 x14ac:dyDescent="0.45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 x14ac:dyDescent="0.45">
      <c r="C398"/>
      <c r="D398"/>
      <c r="E398" s="97"/>
      <c r="F398"/>
      <c r="J398"/>
      <c r="K398"/>
      <c r="M398"/>
      <c r="O398"/>
      <c r="Q398"/>
      <c r="S398"/>
      <c r="U398" s="95"/>
    </row>
    <row r="399" spans="3:21" x14ac:dyDescent="0.45">
      <c r="C399"/>
      <c r="D399"/>
      <c r="E399" s="97"/>
      <c r="F399"/>
      <c r="J399"/>
      <c r="K399"/>
      <c r="M399"/>
      <c r="O399"/>
      <c r="Q399"/>
      <c r="S399"/>
      <c r="U399" s="95"/>
    </row>
    <row r="400" spans="3:21" x14ac:dyDescent="0.45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 x14ac:dyDescent="0.45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 x14ac:dyDescent="0.45">
      <c r="C402"/>
      <c r="D402"/>
      <c r="E402" s="97"/>
      <c r="F402"/>
      <c r="K402"/>
      <c r="M402"/>
      <c r="O402"/>
      <c r="Q402"/>
      <c r="S402"/>
      <c r="U402" s="95"/>
    </row>
    <row r="403" spans="3:21" x14ac:dyDescent="0.45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 x14ac:dyDescent="0.45">
      <c r="C404"/>
      <c r="D404"/>
      <c r="E404" s="97"/>
      <c r="F404"/>
      <c r="K404"/>
      <c r="M404"/>
      <c r="O404"/>
      <c r="Q404"/>
      <c r="S404"/>
      <c r="U404" s="95"/>
    </row>
    <row r="405" spans="3:21" x14ac:dyDescent="0.45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 x14ac:dyDescent="0.45">
      <c r="C406"/>
      <c r="D406"/>
      <c r="E406" s="97"/>
      <c r="F406"/>
      <c r="K406"/>
      <c r="M406"/>
      <c r="O406"/>
      <c r="Q406"/>
      <c r="S406"/>
      <c r="U406" s="95"/>
    </row>
    <row r="407" spans="3:21" x14ac:dyDescent="0.45">
      <c r="C407"/>
      <c r="D407"/>
      <c r="E407" s="97"/>
      <c r="F407"/>
      <c r="K407"/>
      <c r="M407"/>
      <c r="O407"/>
      <c r="Q407"/>
      <c r="S407"/>
      <c r="U407" s="95"/>
    </row>
    <row r="408" spans="3:21" x14ac:dyDescent="0.45">
      <c r="C408"/>
      <c r="D408"/>
      <c r="E408" s="97"/>
      <c r="F408"/>
      <c r="K408"/>
      <c r="M408"/>
      <c r="O408"/>
      <c r="Q408"/>
      <c r="S408"/>
      <c r="U408" s="95"/>
    </row>
    <row r="409" spans="3:21" x14ac:dyDescent="0.45">
      <c r="C409"/>
      <c r="D409"/>
      <c r="E409" s="97"/>
      <c r="F409"/>
      <c r="K409"/>
      <c r="M409"/>
      <c r="O409"/>
      <c r="Q409"/>
      <c r="S409"/>
      <c r="U409" s="95"/>
    </row>
    <row r="410" spans="3:21" x14ac:dyDescent="0.45">
      <c r="C410"/>
      <c r="D410"/>
      <c r="E410" s="97"/>
      <c r="F410"/>
      <c r="K410"/>
      <c r="M410"/>
      <c r="O410"/>
      <c r="Q410"/>
      <c r="S410"/>
      <c r="U410" s="95"/>
    </row>
    <row r="411" spans="3:21" x14ac:dyDescent="0.45">
      <c r="C411"/>
      <c r="D411"/>
      <c r="E411" s="97"/>
      <c r="F411"/>
      <c r="K411"/>
      <c r="M411"/>
      <c r="O411"/>
      <c r="Q411"/>
      <c r="S411"/>
      <c r="U411" s="95"/>
    </row>
    <row r="412" spans="3:21" x14ac:dyDescent="0.45">
      <c r="C412"/>
      <c r="D412"/>
      <c r="E412" s="97"/>
      <c r="F412"/>
      <c r="K412"/>
      <c r="M412"/>
      <c r="O412"/>
      <c r="Q412"/>
      <c r="S412"/>
      <c r="U412" s="95"/>
    </row>
    <row r="413" spans="3:21" x14ac:dyDescent="0.45">
      <c r="C413"/>
      <c r="D413"/>
      <c r="E413" s="97"/>
      <c r="F413"/>
      <c r="K413"/>
      <c r="M413"/>
      <c r="O413"/>
      <c r="Q413"/>
      <c r="S413"/>
      <c r="U413" s="95"/>
    </row>
    <row r="414" spans="3:21" x14ac:dyDescent="0.45">
      <c r="C414"/>
      <c r="D414"/>
      <c r="E414" s="97"/>
      <c r="F414"/>
      <c r="K414"/>
      <c r="M414"/>
      <c r="O414"/>
      <c r="Q414"/>
      <c r="S414"/>
      <c r="U414" s="95"/>
    </row>
    <row r="415" spans="3:21" x14ac:dyDescent="0.45">
      <c r="C415"/>
      <c r="D415"/>
      <c r="E415" s="97"/>
      <c r="F415"/>
      <c r="J415"/>
      <c r="K415"/>
      <c r="M415"/>
      <c r="O415"/>
      <c r="Q415"/>
      <c r="S415"/>
      <c r="U415" s="95"/>
    </row>
    <row r="416" spans="3:21" x14ac:dyDescent="0.45">
      <c r="C416"/>
      <c r="D416"/>
      <c r="E416" s="97"/>
      <c r="F416"/>
      <c r="J416"/>
      <c r="K416"/>
      <c r="M416"/>
      <c r="O416"/>
      <c r="Q416"/>
      <c r="S416"/>
      <c r="U416" s="95"/>
    </row>
    <row r="417" spans="3:21" x14ac:dyDescent="0.45">
      <c r="C417"/>
      <c r="D417"/>
      <c r="E417" s="97"/>
      <c r="F417"/>
      <c r="J417"/>
      <c r="K417"/>
      <c r="M417"/>
      <c r="O417"/>
      <c r="Q417"/>
      <c r="S417"/>
      <c r="U417" s="95"/>
    </row>
    <row r="418" spans="3:21" x14ac:dyDescent="0.45">
      <c r="C418"/>
      <c r="D418"/>
      <c r="E418" s="97"/>
      <c r="F418"/>
      <c r="J418"/>
      <c r="K418"/>
      <c r="M418"/>
      <c r="O418"/>
      <c r="Q418"/>
      <c r="S418"/>
      <c r="U418" s="95"/>
    </row>
    <row r="419" spans="3:21" x14ac:dyDescent="0.45">
      <c r="C419"/>
      <c r="D419"/>
      <c r="E419" s="97"/>
      <c r="F419"/>
      <c r="J419"/>
      <c r="K419"/>
      <c r="M419"/>
      <c r="O419"/>
      <c r="Q419"/>
      <c r="S419"/>
      <c r="U419" s="95"/>
    </row>
    <row r="420" spans="3:21" x14ac:dyDescent="0.45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 x14ac:dyDescent="0.45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 x14ac:dyDescent="0.45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 x14ac:dyDescent="0.45">
      <c r="C423"/>
      <c r="D423"/>
      <c r="E423" s="97"/>
      <c r="F423"/>
      <c r="K423"/>
      <c r="M423"/>
      <c r="O423"/>
      <c r="Q423"/>
      <c r="S423"/>
      <c r="U423" s="95"/>
    </row>
    <row r="424" spans="3:21" x14ac:dyDescent="0.45">
      <c r="C424"/>
      <c r="D424"/>
      <c r="E424" s="97"/>
      <c r="F424"/>
      <c r="K424"/>
      <c r="M424"/>
      <c r="O424"/>
      <c r="Q424"/>
      <c r="S424"/>
      <c r="U424" s="95"/>
    </row>
    <row r="425" spans="3:21" x14ac:dyDescent="0.45">
      <c r="C425"/>
      <c r="D425"/>
      <c r="E425" s="97"/>
      <c r="F425"/>
      <c r="K425"/>
      <c r="M425"/>
      <c r="O425"/>
      <c r="Q425"/>
      <c r="S425"/>
      <c r="U425" s="95"/>
    </row>
    <row r="426" spans="3:21" x14ac:dyDescent="0.45">
      <c r="C426"/>
      <c r="D426"/>
      <c r="E426" s="97"/>
      <c r="F426"/>
      <c r="K426"/>
      <c r="M426"/>
      <c r="O426"/>
      <c r="Q426"/>
      <c r="S426"/>
      <c r="U426" s="95"/>
    </row>
    <row r="427" spans="3:21" x14ac:dyDescent="0.45">
      <c r="C427"/>
      <c r="D427"/>
      <c r="E427" s="97"/>
      <c r="F427"/>
      <c r="K427"/>
      <c r="M427"/>
      <c r="O427"/>
      <c r="Q427"/>
      <c r="S427"/>
      <c r="U427" s="95"/>
    </row>
    <row r="428" spans="3:21" x14ac:dyDescent="0.45">
      <c r="C428"/>
      <c r="D428"/>
      <c r="E428" s="97"/>
      <c r="F428"/>
      <c r="K428"/>
      <c r="M428"/>
      <c r="O428"/>
      <c r="Q428"/>
      <c r="S428"/>
      <c r="U428" s="95"/>
    </row>
    <row r="429" spans="3:21" x14ac:dyDescent="0.45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 x14ac:dyDescent="0.45">
      <c r="C430"/>
      <c r="D430"/>
      <c r="E430" s="97"/>
      <c r="F430"/>
      <c r="K430"/>
      <c r="M430"/>
      <c r="O430"/>
      <c r="Q430"/>
      <c r="S430"/>
      <c r="U430" s="95"/>
    </row>
    <row r="431" spans="3:21" x14ac:dyDescent="0.45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 x14ac:dyDescent="0.45">
      <c r="C432"/>
      <c r="D432"/>
      <c r="E432" s="97"/>
      <c r="F432"/>
      <c r="K432"/>
      <c r="M432"/>
      <c r="O432"/>
      <c r="Q432"/>
      <c r="S432"/>
      <c r="U432" s="95"/>
    </row>
    <row r="433" spans="3:21" x14ac:dyDescent="0.45">
      <c r="C433"/>
      <c r="D433"/>
      <c r="E433" s="97"/>
      <c r="F433"/>
      <c r="K433"/>
      <c r="M433"/>
      <c r="O433"/>
      <c r="Q433"/>
      <c r="S433"/>
      <c r="U433" s="95"/>
    </row>
    <row r="434" spans="3:21" x14ac:dyDescent="0.45">
      <c r="C434"/>
      <c r="D434"/>
      <c r="E434" s="97"/>
      <c r="F434"/>
      <c r="K434"/>
      <c r="M434"/>
      <c r="O434"/>
      <c r="Q434"/>
      <c r="S434"/>
      <c r="U434" s="95"/>
    </row>
    <row r="435" spans="3:21" x14ac:dyDescent="0.45">
      <c r="C435"/>
      <c r="D435"/>
      <c r="E435" s="97"/>
      <c r="F435"/>
      <c r="K435"/>
      <c r="M435"/>
      <c r="O435"/>
      <c r="Q435"/>
      <c r="S435"/>
      <c r="U435" s="95"/>
    </row>
    <row r="436" spans="3:21" x14ac:dyDescent="0.45">
      <c r="C436"/>
      <c r="D436"/>
      <c r="E436" s="97"/>
      <c r="F436"/>
      <c r="K436"/>
      <c r="M436"/>
      <c r="O436"/>
      <c r="Q436"/>
      <c r="S436"/>
      <c r="U436" s="95"/>
    </row>
    <row r="437" spans="3:21" x14ac:dyDescent="0.45">
      <c r="C437"/>
      <c r="D437"/>
      <c r="E437" s="97"/>
      <c r="F437"/>
      <c r="K437"/>
      <c r="M437"/>
      <c r="O437"/>
      <c r="Q437"/>
      <c r="S437"/>
      <c r="U437" s="95"/>
    </row>
    <row r="438" spans="3:21" x14ac:dyDescent="0.45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6"/>
  <sheetViews>
    <sheetView topLeftCell="A471" workbookViewId="0">
      <selection activeCell="X483" sqref="X483:Y483"/>
    </sheetView>
  </sheetViews>
  <sheetFormatPr defaultRowHeight="18" x14ac:dyDescent="0.45"/>
  <cols>
    <col min="2" max="2" width="27.796875" style="147" customWidth="1"/>
    <col min="3" max="3" width="8.796875" style="147" customWidth="1"/>
    <col min="4" max="4" width="42.09765625" style="147" customWidth="1"/>
    <col min="20" max="23" width="8.796875" style="147" customWidth="1"/>
  </cols>
  <sheetData>
    <row r="1" spans="1:32" x14ac:dyDescent="0.45">
      <c r="A1" t="s">
        <v>1196</v>
      </c>
      <c r="B1" t="s">
        <v>1197</v>
      </c>
      <c r="C1" t="s">
        <v>1198</v>
      </c>
      <c r="D1" t="s">
        <v>1199</v>
      </c>
      <c r="E1" t="s">
        <v>1200</v>
      </c>
      <c r="F1" t="s">
        <v>1201</v>
      </c>
      <c r="G1" t="s">
        <v>1202</v>
      </c>
      <c r="H1" t="s">
        <v>1203</v>
      </c>
      <c r="I1" t="s">
        <v>1204</v>
      </c>
      <c r="J1" t="s">
        <v>1205</v>
      </c>
      <c r="K1" t="s">
        <v>1206</v>
      </c>
      <c r="L1" t="s">
        <v>1207</v>
      </c>
      <c r="M1" t="s">
        <v>1208</v>
      </c>
      <c r="N1" t="s">
        <v>1209</v>
      </c>
      <c r="O1" t="s">
        <v>1210</v>
      </c>
      <c r="P1" t="s">
        <v>1211</v>
      </c>
      <c r="Q1" t="s">
        <v>1212</v>
      </c>
      <c r="R1" t="s">
        <v>1213</v>
      </c>
      <c r="S1" t="s">
        <v>1214</v>
      </c>
      <c r="T1" t="s">
        <v>1215</v>
      </c>
      <c r="U1" t="s">
        <v>1216</v>
      </c>
      <c r="V1" t="s">
        <v>1217</v>
      </c>
      <c r="W1" t="s">
        <v>1218</v>
      </c>
      <c r="X1" t="s">
        <v>1219</v>
      </c>
      <c r="Y1" t="s">
        <v>1220</v>
      </c>
      <c r="Z1" t="s">
        <v>1221</v>
      </c>
      <c r="AA1" t="s">
        <v>1222</v>
      </c>
      <c r="AB1" t="s">
        <v>1223</v>
      </c>
      <c r="AC1" t="s">
        <v>1224</v>
      </c>
      <c r="AD1" t="s">
        <v>1225</v>
      </c>
      <c r="AE1" t="s">
        <v>189</v>
      </c>
      <c r="AF1" t="s">
        <v>190</v>
      </c>
    </row>
    <row r="2" spans="1:32" x14ac:dyDescent="0.45">
      <c r="A2" t="s">
        <v>8</v>
      </c>
      <c r="B2" t="s">
        <v>1226</v>
      </c>
      <c r="C2" t="s">
        <v>1227</v>
      </c>
      <c r="D2" t="s">
        <v>1226</v>
      </c>
      <c r="J2" t="s">
        <v>8</v>
      </c>
      <c r="K2" t="s">
        <v>3</v>
      </c>
      <c r="L2" t="s">
        <v>3</v>
      </c>
      <c r="M2" t="s">
        <v>373</v>
      </c>
      <c r="N2" t="s">
        <v>3</v>
      </c>
      <c r="O2" t="s">
        <v>3</v>
      </c>
      <c r="P2" t="s">
        <v>3</v>
      </c>
      <c r="Q2" t="s">
        <v>8</v>
      </c>
      <c r="R2" t="s">
        <v>373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67</v>
      </c>
      <c r="AF2" t="s">
        <v>1228</v>
      </c>
    </row>
    <row r="3" spans="1:32" x14ac:dyDescent="0.45">
      <c r="A3" t="s">
        <v>1229</v>
      </c>
      <c r="B3" t="s">
        <v>1230</v>
      </c>
      <c r="C3" t="s">
        <v>1231</v>
      </c>
      <c r="D3" t="s">
        <v>1232</v>
      </c>
      <c r="E3" t="s">
        <v>1233</v>
      </c>
      <c r="F3" t="s">
        <v>1234</v>
      </c>
      <c r="H3" t="s">
        <v>1235</v>
      </c>
      <c r="J3" t="s">
        <v>8</v>
      </c>
      <c r="K3" t="s">
        <v>3</v>
      </c>
      <c r="L3" t="s">
        <v>3</v>
      </c>
      <c r="M3" t="s">
        <v>373</v>
      </c>
      <c r="N3" t="s">
        <v>3</v>
      </c>
      <c r="O3" t="s">
        <v>3</v>
      </c>
      <c r="P3" t="s">
        <v>3</v>
      </c>
      <c r="Q3" t="s">
        <v>8</v>
      </c>
      <c r="R3" t="s">
        <v>373</v>
      </c>
      <c r="S3" t="s">
        <v>8</v>
      </c>
      <c r="T3" t="s">
        <v>1229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67</v>
      </c>
      <c r="AF3" t="s">
        <v>1236</v>
      </c>
    </row>
    <row r="4" spans="1:32" x14ac:dyDescent="0.45">
      <c r="A4" t="s">
        <v>90</v>
      </c>
      <c r="B4" t="s">
        <v>1237</v>
      </c>
      <c r="C4" t="s">
        <v>1238</v>
      </c>
      <c r="D4" t="s">
        <v>1239</v>
      </c>
      <c r="E4" t="s">
        <v>1233</v>
      </c>
      <c r="F4" t="s">
        <v>1240</v>
      </c>
      <c r="H4" t="s">
        <v>1241</v>
      </c>
      <c r="J4" t="s">
        <v>8</v>
      </c>
      <c r="K4" t="s">
        <v>3</v>
      </c>
      <c r="L4" t="s">
        <v>3</v>
      </c>
      <c r="M4" t="s">
        <v>373</v>
      </c>
      <c r="N4" t="s">
        <v>3</v>
      </c>
      <c r="O4" t="s">
        <v>3</v>
      </c>
      <c r="P4" t="s">
        <v>3</v>
      </c>
      <c r="Q4" t="s">
        <v>8</v>
      </c>
      <c r="R4" t="s">
        <v>373</v>
      </c>
      <c r="S4" t="s">
        <v>8</v>
      </c>
      <c r="T4" t="s">
        <v>90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67</v>
      </c>
      <c r="AF4" t="s">
        <v>1242</v>
      </c>
    </row>
    <row r="5" spans="1:32" x14ac:dyDescent="0.45">
      <c r="A5" t="s">
        <v>94</v>
      </c>
      <c r="B5" t="s">
        <v>1243</v>
      </c>
      <c r="C5" t="s">
        <v>1244</v>
      </c>
      <c r="D5" t="s">
        <v>1245</v>
      </c>
      <c r="E5" t="s">
        <v>1246</v>
      </c>
      <c r="F5" t="s">
        <v>1247</v>
      </c>
      <c r="H5" t="s">
        <v>1248</v>
      </c>
      <c r="J5" t="s">
        <v>8</v>
      </c>
      <c r="K5" t="s">
        <v>3</v>
      </c>
      <c r="L5" t="s">
        <v>3</v>
      </c>
      <c r="M5" t="s">
        <v>373</v>
      </c>
      <c r="N5" t="s">
        <v>3</v>
      </c>
      <c r="O5" t="s">
        <v>3</v>
      </c>
      <c r="P5" t="s">
        <v>3</v>
      </c>
      <c r="Q5" t="s">
        <v>8</v>
      </c>
      <c r="R5" t="s">
        <v>373</v>
      </c>
      <c r="S5" t="s">
        <v>8</v>
      </c>
      <c r="T5" t="s">
        <v>94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67</v>
      </c>
      <c r="AF5" t="s">
        <v>1249</v>
      </c>
    </row>
    <row r="6" spans="1:32" x14ac:dyDescent="0.45">
      <c r="A6" t="s">
        <v>114</v>
      </c>
      <c r="B6" t="s">
        <v>1250</v>
      </c>
      <c r="C6" t="s">
        <v>1251</v>
      </c>
      <c r="D6" t="s">
        <v>1252</v>
      </c>
      <c r="E6" t="s">
        <v>1246</v>
      </c>
      <c r="F6" t="s">
        <v>1247</v>
      </c>
      <c r="H6" t="s">
        <v>1253</v>
      </c>
      <c r="J6" t="s">
        <v>8</v>
      </c>
      <c r="K6" t="s">
        <v>3</v>
      </c>
      <c r="L6" t="s">
        <v>3</v>
      </c>
      <c r="M6" t="s">
        <v>373</v>
      </c>
      <c r="N6" t="s">
        <v>3</v>
      </c>
      <c r="O6" t="s">
        <v>3</v>
      </c>
      <c r="P6" t="s">
        <v>3</v>
      </c>
      <c r="Q6" t="s">
        <v>8</v>
      </c>
      <c r="R6" t="s">
        <v>373</v>
      </c>
      <c r="S6" t="s">
        <v>8</v>
      </c>
      <c r="T6" t="s">
        <v>114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67</v>
      </c>
      <c r="AF6" t="s">
        <v>1254</v>
      </c>
    </row>
    <row r="7" spans="1:32" x14ac:dyDescent="0.45">
      <c r="A7" t="s">
        <v>79</v>
      </c>
      <c r="B7" t="s">
        <v>1255</v>
      </c>
      <c r="C7" t="s">
        <v>1256</v>
      </c>
      <c r="D7" t="s">
        <v>1257</v>
      </c>
      <c r="E7" t="s">
        <v>1258</v>
      </c>
      <c r="F7" t="s">
        <v>1259</v>
      </c>
      <c r="H7" t="s">
        <v>1260</v>
      </c>
      <c r="J7" t="s">
        <v>8</v>
      </c>
      <c r="K7" t="s">
        <v>3</v>
      </c>
      <c r="L7" t="s">
        <v>3</v>
      </c>
      <c r="M7" t="s">
        <v>373</v>
      </c>
      <c r="N7" t="s">
        <v>3</v>
      </c>
      <c r="O7" t="s">
        <v>3</v>
      </c>
      <c r="P7" t="s">
        <v>3</v>
      </c>
      <c r="Q7" t="s">
        <v>8</v>
      </c>
      <c r="R7" t="s">
        <v>373</v>
      </c>
      <c r="S7" t="s">
        <v>8</v>
      </c>
      <c r="T7" t="s">
        <v>79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67</v>
      </c>
      <c r="AF7" t="s">
        <v>1261</v>
      </c>
    </row>
    <row r="8" spans="1:32" x14ac:dyDescent="0.45">
      <c r="A8" t="s">
        <v>107</v>
      </c>
      <c r="B8" t="s">
        <v>1262</v>
      </c>
      <c r="C8" t="s">
        <v>1263</v>
      </c>
      <c r="D8" t="s">
        <v>1264</v>
      </c>
      <c r="E8" t="s">
        <v>1258</v>
      </c>
      <c r="F8" t="s">
        <v>1259</v>
      </c>
      <c r="H8" t="s">
        <v>1265</v>
      </c>
      <c r="J8" t="s">
        <v>8</v>
      </c>
      <c r="K8" t="s">
        <v>3</v>
      </c>
      <c r="L8" t="s">
        <v>3</v>
      </c>
      <c r="M8" t="s">
        <v>373</v>
      </c>
      <c r="N8" t="s">
        <v>3</v>
      </c>
      <c r="O8" t="s">
        <v>3</v>
      </c>
      <c r="P8" t="s">
        <v>3</v>
      </c>
      <c r="Q8" t="s">
        <v>8</v>
      </c>
      <c r="R8" t="s">
        <v>373</v>
      </c>
      <c r="S8" t="s">
        <v>8</v>
      </c>
      <c r="T8" t="s">
        <v>107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67</v>
      </c>
      <c r="AF8" t="s">
        <v>1266</v>
      </c>
    </row>
    <row r="9" spans="1:32" x14ac:dyDescent="0.45">
      <c r="A9" t="s">
        <v>1267</v>
      </c>
      <c r="B9" t="s">
        <v>1268</v>
      </c>
      <c r="C9" t="s">
        <v>1269</v>
      </c>
      <c r="D9" t="s">
        <v>1270</v>
      </c>
      <c r="E9" t="s">
        <v>1271</v>
      </c>
      <c r="F9" t="s">
        <v>1272</v>
      </c>
      <c r="H9" t="s">
        <v>1273</v>
      </c>
      <c r="J9" t="s">
        <v>8</v>
      </c>
      <c r="K9" t="s">
        <v>3</v>
      </c>
      <c r="L9" t="s">
        <v>3</v>
      </c>
      <c r="M9" t="s">
        <v>373</v>
      </c>
      <c r="N9" t="s">
        <v>3</v>
      </c>
      <c r="O9" t="s">
        <v>3</v>
      </c>
      <c r="P9" t="s">
        <v>3</v>
      </c>
      <c r="Q9" t="s">
        <v>8</v>
      </c>
      <c r="R9" t="s">
        <v>373</v>
      </c>
      <c r="S9" t="s">
        <v>8</v>
      </c>
      <c r="T9" t="s">
        <v>1267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67</v>
      </c>
      <c r="AF9" t="s">
        <v>1274</v>
      </c>
    </row>
    <row r="10" spans="1:32" x14ac:dyDescent="0.45">
      <c r="A10" t="s">
        <v>135</v>
      </c>
      <c r="B10" t="s">
        <v>1275</v>
      </c>
      <c r="C10" t="s">
        <v>1276</v>
      </c>
      <c r="D10" t="s">
        <v>1277</v>
      </c>
      <c r="E10" t="s">
        <v>1271</v>
      </c>
      <c r="F10" t="s">
        <v>1272</v>
      </c>
      <c r="H10" t="s">
        <v>1278</v>
      </c>
      <c r="J10" t="s">
        <v>8</v>
      </c>
      <c r="K10" t="s">
        <v>3</v>
      </c>
      <c r="L10" t="s">
        <v>3</v>
      </c>
      <c r="M10" t="s">
        <v>373</v>
      </c>
      <c r="N10" t="s">
        <v>3</v>
      </c>
      <c r="O10" t="s">
        <v>3</v>
      </c>
      <c r="P10" t="s">
        <v>3</v>
      </c>
      <c r="Q10" t="s">
        <v>8</v>
      </c>
      <c r="R10" t="s">
        <v>373</v>
      </c>
      <c r="S10" t="s">
        <v>8</v>
      </c>
      <c r="T10" t="s">
        <v>135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67</v>
      </c>
      <c r="AF10" t="s">
        <v>1279</v>
      </c>
    </row>
    <row r="11" spans="1:32" x14ac:dyDescent="0.45">
      <c r="A11" t="s">
        <v>87</v>
      </c>
      <c r="B11" t="s">
        <v>1280</v>
      </c>
      <c r="C11" t="s">
        <v>1281</v>
      </c>
      <c r="D11" t="s">
        <v>1282</v>
      </c>
      <c r="E11" t="s">
        <v>1271</v>
      </c>
      <c r="F11" t="s">
        <v>1272</v>
      </c>
      <c r="H11" t="s">
        <v>1283</v>
      </c>
      <c r="J11" t="s">
        <v>8</v>
      </c>
      <c r="K11" t="s">
        <v>3</v>
      </c>
      <c r="L11" t="s">
        <v>3</v>
      </c>
      <c r="M11" t="s">
        <v>373</v>
      </c>
      <c r="N11" t="s">
        <v>3</v>
      </c>
      <c r="O11" t="s">
        <v>3</v>
      </c>
      <c r="P11" t="s">
        <v>3</v>
      </c>
      <c r="Q11" t="s">
        <v>8</v>
      </c>
      <c r="R11" t="s">
        <v>373</v>
      </c>
      <c r="S11" t="s">
        <v>8</v>
      </c>
      <c r="T11" t="s">
        <v>87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67</v>
      </c>
      <c r="AF11" t="s">
        <v>1284</v>
      </c>
    </row>
    <row r="12" spans="1:32" x14ac:dyDescent="0.45">
      <c r="A12" t="s">
        <v>123</v>
      </c>
      <c r="B12" t="s">
        <v>1285</v>
      </c>
      <c r="C12" t="s">
        <v>1286</v>
      </c>
      <c r="D12" t="s">
        <v>1287</v>
      </c>
      <c r="E12" t="s">
        <v>1288</v>
      </c>
      <c r="F12" t="s">
        <v>1289</v>
      </c>
      <c r="H12" t="s">
        <v>1290</v>
      </c>
      <c r="J12" t="s">
        <v>8</v>
      </c>
      <c r="K12" t="s">
        <v>3</v>
      </c>
      <c r="L12" t="s">
        <v>3</v>
      </c>
      <c r="M12" t="s">
        <v>373</v>
      </c>
      <c r="N12" t="s">
        <v>3</v>
      </c>
      <c r="O12" t="s">
        <v>3</v>
      </c>
      <c r="P12" t="s">
        <v>3</v>
      </c>
      <c r="Q12" t="s">
        <v>8</v>
      </c>
      <c r="R12" t="s">
        <v>373</v>
      </c>
      <c r="S12" t="s">
        <v>8</v>
      </c>
      <c r="T12" t="s">
        <v>123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67</v>
      </c>
      <c r="AF12" t="s">
        <v>1291</v>
      </c>
    </row>
    <row r="13" spans="1:32" x14ac:dyDescent="0.45">
      <c r="A13" t="s">
        <v>133</v>
      </c>
      <c r="B13" t="s">
        <v>1292</v>
      </c>
      <c r="C13" t="s">
        <v>1293</v>
      </c>
      <c r="D13" t="s">
        <v>1294</v>
      </c>
      <c r="E13" t="s">
        <v>1288</v>
      </c>
      <c r="F13" t="s">
        <v>1289</v>
      </c>
      <c r="H13" t="s">
        <v>1295</v>
      </c>
      <c r="J13" t="s">
        <v>8</v>
      </c>
      <c r="K13" t="s">
        <v>3</v>
      </c>
      <c r="L13" t="s">
        <v>3</v>
      </c>
      <c r="M13" t="s">
        <v>373</v>
      </c>
      <c r="N13" t="s">
        <v>3</v>
      </c>
      <c r="O13" t="s">
        <v>3</v>
      </c>
      <c r="P13" t="s">
        <v>3</v>
      </c>
      <c r="Q13" t="s">
        <v>8</v>
      </c>
      <c r="R13" t="s">
        <v>373</v>
      </c>
      <c r="S13" t="s">
        <v>8</v>
      </c>
      <c r="T13" t="s">
        <v>133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67</v>
      </c>
      <c r="AF13" t="s">
        <v>1296</v>
      </c>
    </row>
    <row r="14" spans="1:32" x14ac:dyDescent="0.45">
      <c r="A14" t="s">
        <v>214</v>
      </c>
      <c r="B14" t="s">
        <v>1297</v>
      </c>
      <c r="C14" t="s">
        <v>1298</v>
      </c>
      <c r="D14" t="s">
        <v>1299</v>
      </c>
      <c r="E14" t="s">
        <v>1288</v>
      </c>
      <c r="F14" t="s">
        <v>1289</v>
      </c>
      <c r="H14" t="s">
        <v>1300</v>
      </c>
      <c r="J14" t="s">
        <v>8</v>
      </c>
      <c r="K14" t="s">
        <v>3</v>
      </c>
      <c r="L14" t="s">
        <v>3</v>
      </c>
      <c r="M14" t="s">
        <v>373</v>
      </c>
      <c r="N14" t="s">
        <v>3</v>
      </c>
      <c r="O14" t="s">
        <v>3</v>
      </c>
      <c r="P14" t="s">
        <v>3</v>
      </c>
      <c r="Q14" t="s">
        <v>8</v>
      </c>
      <c r="R14" t="s">
        <v>373</v>
      </c>
      <c r="S14" t="s">
        <v>8</v>
      </c>
      <c r="T14" t="s">
        <v>214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67</v>
      </c>
      <c r="AF14" t="s">
        <v>1301</v>
      </c>
    </row>
    <row r="15" spans="1:32" x14ac:dyDescent="0.45">
      <c r="A15" t="s">
        <v>116</v>
      </c>
      <c r="B15" t="s">
        <v>1302</v>
      </c>
      <c r="C15" t="s">
        <v>1303</v>
      </c>
      <c r="D15" t="s">
        <v>1304</v>
      </c>
      <c r="E15" t="s">
        <v>1305</v>
      </c>
      <c r="F15" t="s">
        <v>1306</v>
      </c>
      <c r="H15" t="s">
        <v>1307</v>
      </c>
      <c r="J15" t="s">
        <v>8</v>
      </c>
      <c r="K15" t="s">
        <v>3</v>
      </c>
      <c r="L15" t="s">
        <v>3</v>
      </c>
      <c r="M15" t="s">
        <v>373</v>
      </c>
      <c r="N15" t="s">
        <v>3</v>
      </c>
      <c r="O15" t="s">
        <v>3</v>
      </c>
      <c r="P15" t="s">
        <v>3</v>
      </c>
      <c r="Q15" t="s">
        <v>8</v>
      </c>
      <c r="R15" t="s">
        <v>373</v>
      </c>
      <c r="S15" t="s">
        <v>8</v>
      </c>
      <c r="T15" t="s">
        <v>116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67</v>
      </c>
      <c r="AF15" t="s">
        <v>1308</v>
      </c>
    </row>
    <row r="16" spans="1:32" x14ac:dyDescent="0.45">
      <c r="A16" t="s">
        <v>1</v>
      </c>
      <c r="B16" t="s">
        <v>1309</v>
      </c>
      <c r="C16" t="s">
        <v>1310</v>
      </c>
      <c r="D16" t="s">
        <v>1311</v>
      </c>
      <c r="E16" t="s">
        <v>1305</v>
      </c>
      <c r="F16" t="s">
        <v>1306</v>
      </c>
      <c r="H16" t="s">
        <v>1312</v>
      </c>
      <c r="J16" t="s">
        <v>8</v>
      </c>
      <c r="K16" t="s">
        <v>3</v>
      </c>
      <c r="L16" t="s">
        <v>3</v>
      </c>
      <c r="M16" t="s">
        <v>373</v>
      </c>
      <c r="N16" t="s">
        <v>3</v>
      </c>
      <c r="O16" t="s">
        <v>3</v>
      </c>
      <c r="P16" t="s">
        <v>3</v>
      </c>
      <c r="Q16" t="s">
        <v>8</v>
      </c>
      <c r="R16" t="s">
        <v>373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67</v>
      </c>
      <c r="AF16" t="s">
        <v>1313</v>
      </c>
    </row>
    <row r="17" spans="1:32" x14ac:dyDescent="0.45">
      <c r="A17" t="s">
        <v>99</v>
      </c>
      <c r="B17" t="s">
        <v>1314</v>
      </c>
      <c r="C17" t="s">
        <v>1315</v>
      </c>
      <c r="D17" t="s">
        <v>1316</v>
      </c>
      <c r="E17" t="s">
        <v>1317</v>
      </c>
      <c r="F17" t="s">
        <v>1318</v>
      </c>
      <c r="H17" t="s">
        <v>1319</v>
      </c>
      <c r="J17" t="s">
        <v>8</v>
      </c>
      <c r="K17" t="s">
        <v>3</v>
      </c>
      <c r="L17" t="s">
        <v>3</v>
      </c>
      <c r="M17" t="s">
        <v>373</v>
      </c>
      <c r="N17" t="s">
        <v>3</v>
      </c>
      <c r="O17" t="s">
        <v>3</v>
      </c>
      <c r="P17" t="s">
        <v>3</v>
      </c>
      <c r="Q17" t="s">
        <v>8</v>
      </c>
      <c r="R17" t="s">
        <v>373</v>
      </c>
      <c r="S17" t="s">
        <v>8</v>
      </c>
      <c r="T17" t="s">
        <v>99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67</v>
      </c>
      <c r="AF17" t="s">
        <v>1320</v>
      </c>
    </row>
    <row r="18" spans="1:32" x14ac:dyDescent="0.45">
      <c r="A18" t="s">
        <v>92</v>
      </c>
      <c r="B18" t="s">
        <v>1321</v>
      </c>
      <c r="C18" t="s">
        <v>1322</v>
      </c>
      <c r="D18" t="s">
        <v>1323</v>
      </c>
      <c r="E18" t="s">
        <v>1317</v>
      </c>
      <c r="F18" t="s">
        <v>1324</v>
      </c>
      <c r="H18" t="s">
        <v>1325</v>
      </c>
      <c r="J18" t="s">
        <v>8</v>
      </c>
      <c r="K18" t="s">
        <v>3</v>
      </c>
      <c r="L18" t="s">
        <v>3</v>
      </c>
      <c r="M18" t="s">
        <v>373</v>
      </c>
      <c r="N18" t="s">
        <v>3</v>
      </c>
      <c r="O18" t="s">
        <v>3</v>
      </c>
      <c r="P18" t="s">
        <v>3</v>
      </c>
      <c r="Q18" t="s">
        <v>8</v>
      </c>
      <c r="R18" t="s">
        <v>373</v>
      </c>
      <c r="S18" t="s">
        <v>8</v>
      </c>
      <c r="T18" t="s">
        <v>92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67</v>
      </c>
      <c r="AF18" t="s">
        <v>1326</v>
      </c>
    </row>
    <row r="19" spans="1:32" x14ac:dyDescent="0.45">
      <c r="A19" t="s">
        <v>109</v>
      </c>
      <c r="B19" t="s">
        <v>1327</v>
      </c>
      <c r="C19" t="s">
        <v>1328</v>
      </c>
      <c r="D19" t="s">
        <v>1329</v>
      </c>
      <c r="E19" t="s">
        <v>1317</v>
      </c>
      <c r="F19" t="s">
        <v>1324</v>
      </c>
      <c r="H19" t="s">
        <v>1330</v>
      </c>
      <c r="J19" t="s">
        <v>8</v>
      </c>
      <c r="K19" t="s">
        <v>3</v>
      </c>
      <c r="L19" t="s">
        <v>3</v>
      </c>
      <c r="M19" t="s">
        <v>373</v>
      </c>
      <c r="N19" t="s">
        <v>3</v>
      </c>
      <c r="O19" t="s">
        <v>3</v>
      </c>
      <c r="P19" t="s">
        <v>3</v>
      </c>
      <c r="Q19" t="s">
        <v>8</v>
      </c>
      <c r="R19" t="s">
        <v>373</v>
      </c>
      <c r="S19" t="s">
        <v>8</v>
      </c>
      <c r="T19" t="s">
        <v>109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67</v>
      </c>
      <c r="AF19" t="s">
        <v>1331</v>
      </c>
    </row>
    <row r="20" spans="1:32" x14ac:dyDescent="0.45">
      <c r="A20" t="s">
        <v>6</v>
      </c>
      <c r="B20" t="s">
        <v>1332</v>
      </c>
      <c r="C20" t="s">
        <v>1333</v>
      </c>
      <c r="D20" t="s">
        <v>1334</v>
      </c>
      <c r="E20" t="s">
        <v>1335</v>
      </c>
      <c r="F20" t="s">
        <v>1336</v>
      </c>
      <c r="H20" t="s">
        <v>1337</v>
      </c>
      <c r="J20" t="s">
        <v>8</v>
      </c>
      <c r="K20" t="s">
        <v>3</v>
      </c>
      <c r="L20" t="s">
        <v>3</v>
      </c>
      <c r="M20" t="s">
        <v>373</v>
      </c>
      <c r="N20" t="s">
        <v>3</v>
      </c>
      <c r="O20" t="s">
        <v>3</v>
      </c>
      <c r="P20" t="s">
        <v>3</v>
      </c>
      <c r="Q20" t="s">
        <v>8</v>
      </c>
      <c r="R20" t="s">
        <v>373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67</v>
      </c>
      <c r="AF20" t="s">
        <v>1338</v>
      </c>
    </row>
    <row r="21" spans="1:32" x14ac:dyDescent="0.45">
      <c r="A21" t="s">
        <v>1339</v>
      </c>
      <c r="B21" t="s">
        <v>1340</v>
      </c>
      <c r="C21" t="s">
        <v>1341</v>
      </c>
      <c r="D21" t="s">
        <v>1342</v>
      </c>
      <c r="E21" t="s">
        <v>1343</v>
      </c>
      <c r="F21" t="s">
        <v>1344</v>
      </c>
      <c r="H21" t="s">
        <v>1345</v>
      </c>
      <c r="J21" t="s">
        <v>8</v>
      </c>
      <c r="K21" t="s">
        <v>3</v>
      </c>
      <c r="L21" t="s">
        <v>3</v>
      </c>
      <c r="M21" t="s">
        <v>373</v>
      </c>
      <c r="N21" t="s">
        <v>3</v>
      </c>
      <c r="O21" t="s">
        <v>3</v>
      </c>
      <c r="P21" t="s">
        <v>3</v>
      </c>
      <c r="Q21" t="s">
        <v>8</v>
      </c>
      <c r="R21" t="s">
        <v>373</v>
      </c>
      <c r="S21" t="s">
        <v>8</v>
      </c>
      <c r="T21" t="s">
        <v>1339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67</v>
      </c>
      <c r="AF21" t="s">
        <v>1346</v>
      </c>
    </row>
    <row r="22" spans="1:32" x14ac:dyDescent="0.45">
      <c r="A22" t="s">
        <v>239</v>
      </c>
      <c r="B22" t="s">
        <v>1347</v>
      </c>
      <c r="C22" t="s">
        <v>1348</v>
      </c>
      <c r="D22" t="s">
        <v>1349</v>
      </c>
      <c r="E22" t="s">
        <v>1343</v>
      </c>
      <c r="F22" t="s">
        <v>1344</v>
      </c>
      <c r="H22" t="s">
        <v>1350</v>
      </c>
      <c r="J22" t="s">
        <v>8</v>
      </c>
      <c r="K22" t="s">
        <v>3</v>
      </c>
      <c r="L22" t="s">
        <v>3</v>
      </c>
      <c r="M22" t="s">
        <v>373</v>
      </c>
      <c r="N22" t="s">
        <v>3</v>
      </c>
      <c r="O22" t="s">
        <v>3</v>
      </c>
      <c r="P22" t="s">
        <v>3</v>
      </c>
      <c r="Q22" t="s">
        <v>8</v>
      </c>
      <c r="R22" t="s">
        <v>373</v>
      </c>
      <c r="S22" t="s">
        <v>8</v>
      </c>
      <c r="T22" t="s">
        <v>239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67</v>
      </c>
      <c r="AF22" t="s">
        <v>1351</v>
      </c>
    </row>
    <row r="23" spans="1:32" x14ac:dyDescent="0.45">
      <c r="A23" t="s">
        <v>242</v>
      </c>
      <c r="B23" t="s">
        <v>1352</v>
      </c>
      <c r="C23" t="s">
        <v>1353</v>
      </c>
      <c r="D23" t="s">
        <v>1354</v>
      </c>
      <c r="E23" t="s">
        <v>1355</v>
      </c>
      <c r="F23" t="s">
        <v>1356</v>
      </c>
      <c r="H23" t="s">
        <v>1357</v>
      </c>
      <c r="J23" t="s">
        <v>8</v>
      </c>
      <c r="K23" t="s">
        <v>3</v>
      </c>
      <c r="L23" t="s">
        <v>3</v>
      </c>
      <c r="M23" t="s">
        <v>373</v>
      </c>
      <c r="N23" t="s">
        <v>3</v>
      </c>
      <c r="O23" t="s">
        <v>3</v>
      </c>
      <c r="P23" t="s">
        <v>3</v>
      </c>
      <c r="Q23" t="s">
        <v>8</v>
      </c>
      <c r="R23" t="s">
        <v>373</v>
      </c>
      <c r="S23" t="s">
        <v>8</v>
      </c>
      <c r="T23" t="s">
        <v>242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72</v>
      </c>
      <c r="AF23" t="s">
        <v>1358</v>
      </c>
    </row>
    <row r="24" spans="1:32" x14ac:dyDescent="0.45">
      <c r="A24" t="s">
        <v>247</v>
      </c>
      <c r="B24" t="s">
        <v>1359</v>
      </c>
      <c r="C24" t="s">
        <v>1360</v>
      </c>
      <c r="D24" t="s">
        <v>1361</v>
      </c>
      <c r="E24" t="s">
        <v>1355</v>
      </c>
      <c r="F24" t="s">
        <v>1356</v>
      </c>
      <c r="H24" t="s">
        <v>1362</v>
      </c>
      <c r="J24" t="s">
        <v>8</v>
      </c>
      <c r="K24" t="s">
        <v>3</v>
      </c>
      <c r="L24" t="s">
        <v>3</v>
      </c>
      <c r="M24" t="s">
        <v>373</v>
      </c>
      <c r="N24" t="s">
        <v>3</v>
      </c>
      <c r="O24" t="s">
        <v>3</v>
      </c>
      <c r="P24" t="s">
        <v>3</v>
      </c>
      <c r="Q24" t="s">
        <v>8</v>
      </c>
      <c r="R24" t="s">
        <v>373</v>
      </c>
      <c r="S24" t="s">
        <v>8</v>
      </c>
      <c r="T24" t="s">
        <v>247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67</v>
      </c>
      <c r="AF24" t="s">
        <v>1363</v>
      </c>
    </row>
    <row r="25" spans="1:32" x14ac:dyDescent="0.45">
      <c r="A25" t="s">
        <v>249</v>
      </c>
      <c r="B25" t="s">
        <v>1364</v>
      </c>
      <c r="C25" t="s">
        <v>1365</v>
      </c>
      <c r="D25" t="s">
        <v>1366</v>
      </c>
      <c r="E25" t="s">
        <v>1367</v>
      </c>
      <c r="F25" t="s">
        <v>1368</v>
      </c>
      <c r="H25" t="s">
        <v>1369</v>
      </c>
      <c r="J25" t="s">
        <v>8</v>
      </c>
      <c r="K25" t="s">
        <v>3</v>
      </c>
      <c r="L25" t="s">
        <v>3</v>
      </c>
      <c r="M25" t="s">
        <v>373</v>
      </c>
      <c r="N25" t="s">
        <v>3</v>
      </c>
      <c r="O25" t="s">
        <v>3</v>
      </c>
      <c r="P25" t="s">
        <v>3</v>
      </c>
      <c r="Q25" t="s">
        <v>8</v>
      </c>
      <c r="R25" t="s">
        <v>373</v>
      </c>
      <c r="S25" t="s">
        <v>8</v>
      </c>
      <c r="T25" t="s">
        <v>249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67</v>
      </c>
      <c r="AF25" t="s">
        <v>1370</v>
      </c>
    </row>
    <row r="26" spans="1:32" x14ac:dyDescent="0.45">
      <c r="A26" t="s">
        <v>253</v>
      </c>
      <c r="B26" t="s">
        <v>1371</v>
      </c>
      <c r="C26" t="s">
        <v>1372</v>
      </c>
      <c r="D26" t="s">
        <v>1373</v>
      </c>
      <c r="E26" t="s">
        <v>1367</v>
      </c>
      <c r="F26" t="s">
        <v>1368</v>
      </c>
      <c r="H26" t="s">
        <v>1374</v>
      </c>
      <c r="J26" t="s">
        <v>8</v>
      </c>
      <c r="K26" t="s">
        <v>3</v>
      </c>
      <c r="L26" t="s">
        <v>3</v>
      </c>
      <c r="M26" t="s">
        <v>373</v>
      </c>
      <c r="N26" t="s">
        <v>3</v>
      </c>
      <c r="O26" t="s">
        <v>3</v>
      </c>
      <c r="P26" t="s">
        <v>3</v>
      </c>
      <c r="Q26" t="s">
        <v>8</v>
      </c>
      <c r="R26" t="s">
        <v>373</v>
      </c>
      <c r="S26" t="s">
        <v>8</v>
      </c>
      <c r="T26" t="s">
        <v>253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67</v>
      </c>
      <c r="AF26" t="s">
        <v>1375</v>
      </c>
    </row>
    <row r="27" spans="1:32" x14ac:dyDescent="0.45">
      <c r="A27" t="s">
        <v>255</v>
      </c>
      <c r="B27" t="s">
        <v>1376</v>
      </c>
      <c r="C27" t="s">
        <v>1377</v>
      </c>
      <c r="D27" t="s">
        <v>1378</v>
      </c>
      <c r="E27" t="s">
        <v>1379</v>
      </c>
      <c r="F27" t="s">
        <v>1380</v>
      </c>
      <c r="H27" t="s">
        <v>1381</v>
      </c>
      <c r="J27" t="s">
        <v>8</v>
      </c>
      <c r="K27" t="s">
        <v>3</v>
      </c>
      <c r="L27" t="s">
        <v>3</v>
      </c>
      <c r="M27" t="s">
        <v>373</v>
      </c>
      <c r="N27" t="s">
        <v>3</v>
      </c>
      <c r="O27" t="s">
        <v>3</v>
      </c>
      <c r="P27" t="s">
        <v>3</v>
      </c>
      <c r="Q27" t="s">
        <v>8</v>
      </c>
      <c r="R27" t="s">
        <v>373</v>
      </c>
      <c r="S27" t="s">
        <v>8</v>
      </c>
      <c r="T27" t="s">
        <v>255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72</v>
      </c>
      <c r="AF27" t="s">
        <v>1382</v>
      </c>
    </row>
    <row r="28" spans="1:32" x14ac:dyDescent="0.45">
      <c r="A28" t="s">
        <v>263</v>
      </c>
      <c r="B28" t="s">
        <v>1383</v>
      </c>
      <c r="C28" t="s">
        <v>1384</v>
      </c>
      <c r="D28" t="s">
        <v>1385</v>
      </c>
      <c r="E28" t="s">
        <v>1386</v>
      </c>
      <c r="F28" t="s">
        <v>1387</v>
      </c>
      <c r="H28" t="s">
        <v>1388</v>
      </c>
      <c r="J28" t="s">
        <v>8</v>
      </c>
      <c r="K28" t="s">
        <v>3</v>
      </c>
      <c r="L28" t="s">
        <v>3</v>
      </c>
      <c r="M28" t="s">
        <v>373</v>
      </c>
      <c r="N28" t="s">
        <v>3</v>
      </c>
      <c r="O28" t="s">
        <v>3</v>
      </c>
      <c r="P28" t="s">
        <v>3</v>
      </c>
      <c r="Q28" t="s">
        <v>8</v>
      </c>
      <c r="R28" t="s">
        <v>373</v>
      </c>
      <c r="S28" t="s">
        <v>8</v>
      </c>
      <c r="T28" t="s">
        <v>263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67</v>
      </c>
      <c r="AF28" t="s">
        <v>1389</v>
      </c>
    </row>
    <row r="29" spans="1:32" x14ac:dyDescent="0.45">
      <c r="A29" t="s">
        <v>268</v>
      </c>
      <c r="B29" t="s">
        <v>1390</v>
      </c>
      <c r="C29" t="s">
        <v>1391</v>
      </c>
      <c r="D29" t="s">
        <v>1392</v>
      </c>
      <c r="E29" t="s">
        <v>1386</v>
      </c>
      <c r="F29" t="s">
        <v>1387</v>
      </c>
      <c r="H29" t="s">
        <v>1393</v>
      </c>
      <c r="J29" t="s">
        <v>8</v>
      </c>
      <c r="K29" t="s">
        <v>3</v>
      </c>
      <c r="L29" t="s">
        <v>3</v>
      </c>
      <c r="M29" t="s">
        <v>373</v>
      </c>
      <c r="N29" t="s">
        <v>3</v>
      </c>
      <c r="O29" t="s">
        <v>3</v>
      </c>
      <c r="P29" t="s">
        <v>3</v>
      </c>
      <c r="Q29" t="s">
        <v>8</v>
      </c>
      <c r="R29" t="s">
        <v>373</v>
      </c>
      <c r="S29" t="s">
        <v>8</v>
      </c>
      <c r="T29" t="s">
        <v>268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67</v>
      </c>
      <c r="AF29" t="s">
        <v>1394</v>
      </c>
    </row>
    <row r="30" spans="1:32" x14ac:dyDescent="0.45">
      <c r="A30" t="s">
        <v>271</v>
      </c>
      <c r="B30" t="s">
        <v>1395</v>
      </c>
      <c r="C30" t="s">
        <v>1396</v>
      </c>
      <c r="D30" t="s">
        <v>1397</v>
      </c>
      <c r="E30" t="s">
        <v>1398</v>
      </c>
      <c r="F30" t="s">
        <v>1399</v>
      </c>
      <c r="H30" t="s">
        <v>1400</v>
      </c>
      <c r="J30" t="s">
        <v>8</v>
      </c>
      <c r="K30" t="s">
        <v>3</v>
      </c>
      <c r="L30" t="s">
        <v>3</v>
      </c>
      <c r="M30" t="s">
        <v>373</v>
      </c>
      <c r="N30" t="s">
        <v>3</v>
      </c>
      <c r="O30" t="s">
        <v>3</v>
      </c>
      <c r="P30" t="s">
        <v>3</v>
      </c>
      <c r="Q30" t="s">
        <v>8</v>
      </c>
      <c r="R30" t="s">
        <v>373</v>
      </c>
      <c r="S30" t="s">
        <v>8</v>
      </c>
      <c r="T30" t="s">
        <v>271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67</v>
      </c>
      <c r="AF30" t="s">
        <v>1401</v>
      </c>
    </row>
    <row r="31" spans="1:32" x14ac:dyDescent="0.45">
      <c r="A31" t="s">
        <v>60</v>
      </c>
      <c r="B31" t="s">
        <v>1402</v>
      </c>
      <c r="C31" t="s">
        <v>1403</v>
      </c>
      <c r="D31" t="s">
        <v>1404</v>
      </c>
      <c r="E31" t="s">
        <v>1405</v>
      </c>
      <c r="F31" t="s">
        <v>1406</v>
      </c>
      <c r="H31" t="s">
        <v>1407</v>
      </c>
      <c r="J31" t="s">
        <v>8</v>
      </c>
      <c r="K31" t="s">
        <v>3</v>
      </c>
      <c r="L31" t="s">
        <v>3</v>
      </c>
      <c r="M31" t="s">
        <v>373</v>
      </c>
      <c r="N31" t="s">
        <v>3</v>
      </c>
      <c r="O31" t="s">
        <v>3</v>
      </c>
      <c r="P31" t="s">
        <v>3</v>
      </c>
      <c r="Q31" t="s">
        <v>8</v>
      </c>
      <c r="R31" t="s">
        <v>373</v>
      </c>
      <c r="S31" t="s">
        <v>8</v>
      </c>
      <c r="T31" t="s">
        <v>60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67</v>
      </c>
      <c r="AF31" t="s">
        <v>1408</v>
      </c>
    </row>
    <row r="32" spans="1:32" x14ac:dyDescent="0.45">
      <c r="A32" t="s">
        <v>281</v>
      </c>
      <c r="B32" t="s">
        <v>1409</v>
      </c>
      <c r="C32" t="s">
        <v>1410</v>
      </c>
      <c r="D32" t="s">
        <v>1411</v>
      </c>
      <c r="E32" t="s">
        <v>1405</v>
      </c>
      <c r="F32" t="s">
        <v>1406</v>
      </c>
      <c r="H32" t="s">
        <v>1412</v>
      </c>
      <c r="J32" t="s">
        <v>8</v>
      </c>
      <c r="K32" t="s">
        <v>3</v>
      </c>
      <c r="L32" t="s">
        <v>3</v>
      </c>
      <c r="M32" t="s">
        <v>373</v>
      </c>
      <c r="N32" t="s">
        <v>3</v>
      </c>
      <c r="O32" t="s">
        <v>3</v>
      </c>
      <c r="P32" t="s">
        <v>3</v>
      </c>
      <c r="Q32" t="s">
        <v>8</v>
      </c>
      <c r="R32" t="s">
        <v>373</v>
      </c>
      <c r="S32" t="s">
        <v>8</v>
      </c>
      <c r="T32" t="s">
        <v>281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67</v>
      </c>
      <c r="AF32" t="s">
        <v>1413</v>
      </c>
    </row>
    <row r="33" spans="1:32" x14ac:dyDescent="0.45">
      <c r="A33" t="s">
        <v>284</v>
      </c>
      <c r="B33" t="s">
        <v>1414</v>
      </c>
      <c r="C33" t="s">
        <v>1415</v>
      </c>
      <c r="D33" t="s">
        <v>1416</v>
      </c>
      <c r="E33" t="s">
        <v>1417</v>
      </c>
      <c r="F33" t="s">
        <v>1418</v>
      </c>
      <c r="H33" t="s">
        <v>1419</v>
      </c>
      <c r="J33" t="s">
        <v>8</v>
      </c>
      <c r="K33" t="s">
        <v>3</v>
      </c>
      <c r="L33" t="s">
        <v>3</v>
      </c>
      <c r="M33" t="s">
        <v>373</v>
      </c>
      <c r="N33" t="s">
        <v>3</v>
      </c>
      <c r="O33" t="s">
        <v>3</v>
      </c>
      <c r="P33" t="s">
        <v>3</v>
      </c>
      <c r="Q33" t="s">
        <v>8</v>
      </c>
      <c r="R33" t="s">
        <v>373</v>
      </c>
      <c r="S33" t="s">
        <v>8</v>
      </c>
      <c r="T33" t="s">
        <v>284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67</v>
      </c>
      <c r="AF33" t="s">
        <v>1420</v>
      </c>
    </row>
    <row r="34" spans="1:32" x14ac:dyDescent="0.45">
      <c r="A34" t="s">
        <v>1421</v>
      </c>
      <c r="B34" t="s">
        <v>1422</v>
      </c>
      <c r="C34" t="s">
        <v>1423</v>
      </c>
      <c r="D34" t="s">
        <v>1424</v>
      </c>
      <c r="E34" t="s">
        <v>1425</v>
      </c>
      <c r="F34" t="s">
        <v>1426</v>
      </c>
      <c r="H34" t="s">
        <v>1427</v>
      </c>
      <c r="J34" t="s">
        <v>8</v>
      </c>
      <c r="K34" t="s">
        <v>3</v>
      </c>
      <c r="L34" t="s">
        <v>3</v>
      </c>
      <c r="M34" t="s">
        <v>373</v>
      </c>
      <c r="N34" t="s">
        <v>3</v>
      </c>
      <c r="O34" t="s">
        <v>3</v>
      </c>
      <c r="P34" t="s">
        <v>3</v>
      </c>
      <c r="Q34" t="s">
        <v>8</v>
      </c>
      <c r="R34" t="s">
        <v>373</v>
      </c>
      <c r="S34" t="s">
        <v>8</v>
      </c>
      <c r="T34" t="s">
        <v>1421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67</v>
      </c>
      <c r="AF34" t="s">
        <v>1428</v>
      </c>
    </row>
    <row r="35" spans="1:32" x14ac:dyDescent="0.45">
      <c r="A35" t="s">
        <v>288</v>
      </c>
      <c r="B35" t="s">
        <v>1429</v>
      </c>
      <c r="C35" t="s">
        <v>1430</v>
      </c>
      <c r="D35" t="s">
        <v>1431</v>
      </c>
      <c r="E35" t="s">
        <v>1425</v>
      </c>
      <c r="F35" t="s">
        <v>1426</v>
      </c>
      <c r="H35" t="s">
        <v>1432</v>
      </c>
      <c r="J35" t="s">
        <v>8</v>
      </c>
      <c r="K35" t="s">
        <v>3</v>
      </c>
      <c r="L35" t="s">
        <v>3</v>
      </c>
      <c r="M35" t="s">
        <v>373</v>
      </c>
      <c r="N35" t="s">
        <v>3</v>
      </c>
      <c r="O35" t="s">
        <v>3</v>
      </c>
      <c r="P35" t="s">
        <v>3</v>
      </c>
      <c r="Q35" t="s">
        <v>8</v>
      </c>
      <c r="R35" t="s">
        <v>373</v>
      </c>
      <c r="S35" t="s">
        <v>8</v>
      </c>
      <c r="T35" t="s">
        <v>288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67</v>
      </c>
      <c r="AF35" t="s">
        <v>1433</v>
      </c>
    </row>
    <row r="36" spans="1:32" x14ac:dyDescent="0.45">
      <c r="A36" t="s">
        <v>291</v>
      </c>
      <c r="B36" t="s">
        <v>1434</v>
      </c>
      <c r="C36" t="s">
        <v>1435</v>
      </c>
      <c r="D36" t="s">
        <v>1436</v>
      </c>
      <c r="E36" t="s">
        <v>1437</v>
      </c>
      <c r="F36" t="s">
        <v>1438</v>
      </c>
      <c r="H36" t="s">
        <v>1439</v>
      </c>
      <c r="J36" t="s">
        <v>8</v>
      </c>
      <c r="K36" t="s">
        <v>3</v>
      </c>
      <c r="L36" t="s">
        <v>3</v>
      </c>
      <c r="M36" t="s">
        <v>373</v>
      </c>
      <c r="N36" t="s">
        <v>3</v>
      </c>
      <c r="O36" t="s">
        <v>3</v>
      </c>
      <c r="P36" t="s">
        <v>3</v>
      </c>
      <c r="Q36" t="s">
        <v>8</v>
      </c>
      <c r="R36" t="s">
        <v>373</v>
      </c>
      <c r="S36" t="s">
        <v>8</v>
      </c>
      <c r="T36" t="s">
        <v>291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67</v>
      </c>
      <c r="AF36" t="s">
        <v>1440</v>
      </c>
    </row>
    <row r="37" spans="1:32" x14ac:dyDescent="0.45">
      <c r="A37" t="s">
        <v>296</v>
      </c>
      <c r="B37" t="s">
        <v>1441</v>
      </c>
      <c r="C37" t="s">
        <v>1442</v>
      </c>
      <c r="D37" t="s">
        <v>1443</v>
      </c>
      <c r="E37" t="s">
        <v>1444</v>
      </c>
      <c r="F37" t="s">
        <v>1445</v>
      </c>
      <c r="H37" t="s">
        <v>1446</v>
      </c>
      <c r="J37" t="s">
        <v>8</v>
      </c>
      <c r="K37" t="s">
        <v>3</v>
      </c>
      <c r="L37" t="s">
        <v>3</v>
      </c>
      <c r="M37" t="s">
        <v>373</v>
      </c>
      <c r="N37" t="s">
        <v>3</v>
      </c>
      <c r="O37" t="s">
        <v>3</v>
      </c>
      <c r="P37" t="s">
        <v>3</v>
      </c>
      <c r="Q37" t="s">
        <v>8</v>
      </c>
      <c r="R37" t="s">
        <v>373</v>
      </c>
      <c r="S37" t="s">
        <v>8</v>
      </c>
      <c r="T37" t="s">
        <v>296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72</v>
      </c>
      <c r="AF37" t="s">
        <v>1447</v>
      </c>
    </row>
    <row r="38" spans="1:32" x14ac:dyDescent="0.45">
      <c r="A38" t="s">
        <v>323</v>
      </c>
      <c r="B38" t="s">
        <v>1448</v>
      </c>
      <c r="C38" t="s">
        <v>1449</v>
      </c>
      <c r="D38" t="s">
        <v>1450</v>
      </c>
      <c r="E38" t="s">
        <v>1451</v>
      </c>
      <c r="F38" t="s">
        <v>1452</v>
      </c>
      <c r="H38" t="s">
        <v>1453</v>
      </c>
      <c r="J38" t="s">
        <v>8</v>
      </c>
      <c r="K38" t="s">
        <v>3</v>
      </c>
      <c r="L38" t="s">
        <v>3</v>
      </c>
      <c r="M38" t="s">
        <v>373</v>
      </c>
      <c r="N38" t="s">
        <v>3</v>
      </c>
      <c r="O38" t="s">
        <v>3</v>
      </c>
      <c r="P38" t="s">
        <v>3</v>
      </c>
      <c r="Q38" t="s">
        <v>8</v>
      </c>
      <c r="R38" t="s">
        <v>373</v>
      </c>
      <c r="S38" t="s">
        <v>8</v>
      </c>
      <c r="T38" t="s">
        <v>323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67</v>
      </c>
      <c r="AF38" t="s">
        <v>1454</v>
      </c>
    </row>
    <row r="39" spans="1:32" x14ac:dyDescent="0.45">
      <c r="A39" t="s">
        <v>328</v>
      </c>
      <c r="B39" t="s">
        <v>1455</v>
      </c>
      <c r="C39" t="s">
        <v>1456</v>
      </c>
      <c r="D39" t="s">
        <v>1457</v>
      </c>
      <c r="E39" t="s">
        <v>1458</v>
      </c>
      <c r="F39" t="s">
        <v>1459</v>
      </c>
      <c r="H39" t="s">
        <v>1460</v>
      </c>
      <c r="J39" t="s">
        <v>8</v>
      </c>
      <c r="K39" t="s">
        <v>3</v>
      </c>
      <c r="L39" t="s">
        <v>3</v>
      </c>
      <c r="M39" t="s">
        <v>373</v>
      </c>
      <c r="N39" t="s">
        <v>3</v>
      </c>
      <c r="O39" t="s">
        <v>3</v>
      </c>
      <c r="P39" t="s">
        <v>3</v>
      </c>
      <c r="Q39" t="s">
        <v>8</v>
      </c>
      <c r="R39" t="s">
        <v>373</v>
      </c>
      <c r="S39" t="s">
        <v>8</v>
      </c>
      <c r="T39" t="s">
        <v>328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67</v>
      </c>
      <c r="AF39" t="s">
        <v>1461</v>
      </c>
    </row>
    <row r="40" spans="1:32" x14ac:dyDescent="0.45">
      <c r="A40" t="s">
        <v>331</v>
      </c>
      <c r="B40" t="s">
        <v>1462</v>
      </c>
      <c r="C40" t="s">
        <v>1463</v>
      </c>
      <c r="D40" t="s">
        <v>1464</v>
      </c>
      <c r="E40" t="s">
        <v>1465</v>
      </c>
      <c r="F40" t="s">
        <v>1466</v>
      </c>
      <c r="H40" t="s">
        <v>1467</v>
      </c>
      <c r="J40" t="s">
        <v>8</v>
      </c>
      <c r="K40" t="s">
        <v>3</v>
      </c>
      <c r="L40" t="s">
        <v>3</v>
      </c>
      <c r="M40" t="s">
        <v>373</v>
      </c>
      <c r="N40" t="s">
        <v>3</v>
      </c>
      <c r="O40" t="s">
        <v>3</v>
      </c>
      <c r="P40" t="s">
        <v>3</v>
      </c>
      <c r="Q40" t="s">
        <v>8</v>
      </c>
      <c r="R40" t="s">
        <v>373</v>
      </c>
      <c r="S40" t="s">
        <v>8</v>
      </c>
      <c r="T40" t="s">
        <v>331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67</v>
      </c>
      <c r="AF40" t="s">
        <v>1468</v>
      </c>
    </row>
    <row r="41" spans="1:32" x14ac:dyDescent="0.45">
      <c r="A41" t="s">
        <v>335</v>
      </c>
      <c r="B41" t="s">
        <v>1469</v>
      </c>
      <c r="C41" t="s">
        <v>1470</v>
      </c>
      <c r="D41" t="s">
        <v>1471</v>
      </c>
      <c r="E41" t="s">
        <v>1472</v>
      </c>
      <c r="F41" t="s">
        <v>1473</v>
      </c>
      <c r="H41" t="s">
        <v>1474</v>
      </c>
      <c r="I41" t="s">
        <v>1475</v>
      </c>
      <c r="J41" t="s">
        <v>8</v>
      </c>
      <c r="K41" t="s">
        <v>3</v>
      </c>
      <c r="L41" t="s">
        <v>3</v>
      </c>
      <c r="M41" t="s">
        <v>373</v>
      </c>
      <c r="N41" t="s">
        <v>3</v>
      </c>
      <c r="O41" t="s">
        <v>3</v>
      </c>
      <c r="P41" t="s">
        <v>3</v>
      </c>
      <c r="Q41" t="s">
        <v>8</v>
      </c>
      <c r="R41" t="s">
        <v>373</v>
      </c>
      <c r="S41" t="s">
        <v>8</v>
      </c>
      <c r="T41" t="s">
        <v>335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67</v>
      </c>
      <c r="AF41" t="s">
        <v>1476</v>
      </c>
    </row>
    <row r="42" spans="1:32" x14ac:dyDescent="0.45">
      <c r="A42" t="s">
        <v>203</v>
      </c>
      <c r="B42" t="s">
        <v>1477</v>
      </c>
      <c r="C42" t="s">
        <v>1478</v>
      </c>
      <c r="D42" t="s">
        <v>1479</v>
      </c>
      <c r="E42" t="s">
        <v>1480</v>
      </c>
      <c r="F42" t="s">
        <v>1481</v>
      </c>
      <c r="H42" t="s">
        <v>1482</v>
      </c>
      <c r="J42" t="s">
        <v>8</v>
      </c>
      <c r="K42" t="s">
        <v>3</v>
      </c>
      <c r="L42" t="s">
        <v>3</v>
      </c>
      <c r="M42" t="s">
        <v>373</v>
      </c>
      <c r="N42" t="s">
        <v>3</v>
      </c>
      <c r="O42" t="s">
        <v>3</v>
      </c>
      <c r="P42" t="s">
        <v>3</v>
      </c>
      <c r="Q42" t="s">
        <v>8</v>
      </c>
      <c r="R42" t="s">
        <v>373</v>
      </c>
      <c r="S42" t="s">
        <v>8</v>
      </c>
      <c r="T42" t="s">
        <v>203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67</v>
      </c>
      <c r="AF42" t="s">
        <v>1483</v>
      </c>
    </row>
    <row r="43" spans="1:32" x14ac:dyDescent="0.45">
      <c r="A43" t="s">
        <v>1484</v>
      </c>
      <c r="B43" t="s">
        <v>1485</v>
      </c>
      <c r="C43" t="s">
        <v>1486</v>
      </c>
      <c r="D43" t="s">
        <v>1487</v>
      </c>
      <c r="E43" t="s">
        <v>1488</v>
      </c>
      <c r="F43" t="s">
        <v>1489</v>
      </c>
      <c r="H43" t="s">
        <v>1490</v>
      </c>
      <c r="J43" t="s">
        <v>8</v>
      </c>
      <c r="K43" t="s">
        <v>3</v>
      </c>
      <c r="L43" t="s">
        <v>3</v>
      </c>
      <c r="M43" t="s">
        <v>373</v>
      </c>
      <c r="N43" t="s">
        <v>3</v>
      </c>
      <c r="O43" t="s">
        <v>3</v>
      </c>
      <c r="P43" t="s">
        <v>3</v>
      </c>
      <c r="Q43" t="s">
        <v>8</v>
      </c>
      <c r="R43" t="s">
        <v>373</v>
      </c>
      <c r="S43" t="s">
        <v>8</v>
      </c>
      <c r="T43" t="s">
        <v>1484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67</v>
      </c>
      <c r="AF43" t="s">
        <v>1491</v>
      </c>
    </row>
    <row r="44" spans="1:32" x14ac:dyDescent="0.45">
      <c r="A44" t="s">
        <v>119</v>
      </c>
      <c r="B44" t="s">
        <v>1492</v>
      </c>
      <c r="C44" t="s">
        <v>1493</v>
      </c>
      <c r="D44" t="s">
        <v>1494</v>
      </c>
      <c r="E44" t="s">
        <v>1495</v>
      </c>
      <c r="F44" t="s">
        <v>1496</v>
      </c>
      <c r="H44" t="s">
        <v>1497</v>
      </c>
      <c r="J44" t="s">
        <v>8</v>
      </c>
      <c r="K44" t="s">
        <v>3</v>
      </c>
      <c r="L44" t="s">
        <v>3</v>
      </c>
      <c r="M44" t="s">
        <v>373</v>
      </c>
      <c r="N44" t="s">
        <v>3</v>
      </c>
      <c r="O44" t="s">
        <v>3</v>
      </c>
      <c r="P44" t="s">
        <v>3</v>
      </c>
      <c r="Q44" t="s">
        <v>8</v>
      </c>
      <c r="R44" t="s">
        <v>373</v>
      </c>
      <c r="S44" t="s">
        <v>8</v>
      </c>
      <c r="T44" t="s">
        <v>119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67</v>
      </c>
      <c r="AF44" t="s">
        <v>1498</v>
      </c>
    </row>
    <row r="45" spans="1:32" x14ac:dyDescent="0.45">
      <c r="A45" t="s">
        <v>1499</v>
      </c>
      <c r="B45" t="s">
        <v>1500</v>
      </c>
      <c r="C45" t="s">
        <v>1501</v>
      </c>
      <c r="D45" t="s">
        <v>1502</v>
      </c>
      <c r="E45" t="s">
        <v>1503</v>
      </c>
      <c r="F45" t="s">
        <v>1504</v>
      </c>
      <c r="H45" t="s">
        <v>1505</v>
      </c>
      <c r="J45" t="s">
        <v>8</v>
      </c>
      <c r="K45" t="s">
        <v>3</v>
      </c>
      <c r="L45" t="s">
        <v>3</v>
      </c>
      <c r="M45" t="s">
        <v>373</v>
      </c>
      <c r="N45" t="s">
        <v>3</v>
      </c>
      <c r="O45" t="s">
        <v>3</v>
      </c>
      <c r="P45" t="s">
        <v>3</v>
      </c>
      <c r="Q45" t="s">
        <v>8</v>
      </c>
      <c r="R45" t="s">
        <v>373</v>
      </c>
      <c r="S45" t="s">
        <v>8</v>
      </c>
      <c r="T45" t="s">
        <v>1499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67</v>
      </c>
      <c r="AF45" t="s">
        <v>1506</v>
      </c>
    </row>
    <row r="46" spans="1:32" x14ac:dyDescent="0.45">
      <c r="A46" t="s">
        <v>1507</v>
      </c>
      <c r="B46" t="s">
        <v>1508</v>
      </c>
      <c r="C46" t="s">
        <v>1509</v>
      </c>
      <c r="D46" t="s">
        <v>1510</v>
      </c>
      <c r="E46" t="s">
        <v>1511</v>
      </c>
      <c r="F46" t="s">
        <v>1512</v>
      </c>
      <c r="H46" t="s">
        <v>1513</v>
      </c>
      <c r="J46" t="s">
        <v>8</v>
      </c>
      <c r="K46" t="s">
        <v>3</v>
      </c>
      <c r="L46" t="s">
        <v>3</v>
      </c>
      <c r="M46" t="s">
        <v>373</v>
      </c>
      <c r="N46" t="s">
        <v>3</v>
      </c>
      <c r="O46" t="s">
        <v>3</v>
      </c>
      <c r="P46" t="s">
        <v>3</v>
      </c>
      <c r="Q46" t="s">
        <v>8</v>
      </c>
      <c r="R46" t="s">
        <v>373</v>
      </c>
      <c r="S46" t="s">
        <v>8</v>
      </c>
      <c r="T46" t="s">
        <v>1507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67</v>
      </c>
      <c r="AF46" t="s">
        <v>1514</v>
      </c>
    </row>
    <row r="47" spans="1:32" x14ac:dyDescent="0.45">
      <c r="A47" t="s">
        <v>7</v>
      </c>
      <c r="B47" t="s">
        <v>1515</v>
      </c>
      <c r="C47" t="s">
        <v>1516</v>
      </c>
      <c r="D47" t="s">
        <v>1517</v>
      </c>
      <c r="E47" t="s">
        <v>1518</v>
      </c>
      <c r="F47" t="s">
        <v>1519</v>
      </c>
      <c r="H47" t="s">
        <v>1520</v>
      </c>
      <c r="J47" t="s">
        <v>8</v>
      </c>
      <c r="K47" t="s">
        <v>3</v>
      </c>
      <c r="L47" t="s">
        <v>3</v>
      </c>
      <c r="M47" t="s">
        <v>373</v>
      </c>
      <c r="N47" t="s">
        <v>3</v>
      </c>
      <c r="O47" t="s">
        <v>3</v>
      </c>
      <c r="P47" t="s">
        <v>3</v>
      </c>
      <c r="Q47" t="s">
        <v>8</v>
      </c>
      <c r="R47" t="s">
        <v>373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67</v>
      </c>
      <c r="AF47" t="s">
        <v>1521</v>
      </c>
    </row>
    <row r="48" spans="1:32" x14ac:dyDescent="0.45">
      <c r="A48" t="s">
        <v>1522</v>
      </c>
      <c r="B48" t="s">
        <v>1523</v>
      </c>
      <c r="C48" t="s">
        <v>1524</v>
      </c>
      <c r="D48" t="s">
        <v>1525</v>
      </c>
      <c r="E48" t="s">
        <v>1526</v>
      </c>
      <c r="F48" t="s">
        <v>1527</v>
      </c>
      <c r="H48" t="s">
        <v>1528</v>
      </c>
      <c r="J48" t="s">
        <v>8</v>
      </c>
      <c r="K48" t="s">
        <v>3</v>
      </c>
      <c r="L48" t="s">
        <v>3</v>
      </c>
      <c r="M48" t="s">
        <v>373</v>
      </c>
      <c r="N48" t="s">
        <v>3</v>
      </c>
      <c r="O48" t="s">
        <v>3</v>
      </c>
      <c r="P48" t="s">
        <v>3</v>
      </c>
      <c r="Q48" t="s">
        <v>8</v>
      </c>
      <c r="R48" t="s">
        <v>373</v>
      </c>
      <c r="S48" t="s">
        <v>8</v>
      </c>
      <c r="T48" t="s">
        <v>1522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67</v>
      </c>
      <c r="AF48" t="s">
        <v>1529</v>
      </c>
    </row>
    <row r="49" spans="1:32" x14ac:dyDescent="0.45">
      <c r="A49" t="s">
        <v>352</v>
      </c>
      <c r="B49" t="s">
        <v>1530</v>
      </c>
      <c r="C49" t="s">
        <v>1531</v>
      </c>
      <c r="D49" t="s">
        <v>1530</v>
      </c>
      <c r="E49" t="s">
        <v>1532</v>
      </c>
      <c r="F49" t="s">
        <v>1533</v>
      </c>
      <c r="G49" t="s">
        <v>1534</v>
      </c>
      <c r="H49" t="s">
        <v>1535</v>
      </c>
      <c r="J49" t="s">
        <v>8</v>
      </c>
      <c r="K49" t="s">
        <v>3</v>
      </c>
      <c r="L49" t="s">
        <v>3</v>
      </c>
      <c r="M49" t="s">
        <v>373</v>
      </c>
      <c r="N49" t="s">
        <v>3</v>
      </c>
      <c r="O49" t="s">
        <v>3</v>
      </c>
      <c r="P49" t="s">
        <v>3</v>
      </c>
      <c r="Q49" t="s">
        <v>8</v>
      </c>
      <c r="R49" t="s">
        <v>373</v>
      </c>
      <c r="S49" t="s">
        <v>8</v>
      </c>
      <c r="T49" t="s">
        <v>352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67</v>
      </c>
      <c r="AF49" t="s">
        <v>1536</v>
      </c>
    </row>
    <row r="50" spans="1:32" x14ac:dyDescent="0.45">
      <c r="A50" t="s">
        <v>356</v>
      </c>
      <c r="B50" t="s">
        <v>1537</v>
      </c>
      <c r="C50" t="s">
        <v>1538</v>
      </c>
      <c r="D50" t="s">
        <v>1537</v>
      </c>
      <c r="E50" t="s">
        <v>1539</v>
      </c>
      <c r="F50" t="s">
        <v>1540</v>
      </c>
      <c r="G50" t="s">
        <v>1541</v>
      </c>
      <c r="J50" t="s">
        <v>8</v>
      </c>
      <c r="K50" t="s">
        <v>3</v>
      </c>
      <c r="L50" t="s">
        <v>3</v>
      </c>
      <c r="M50" t="s">
        <v>373</v>
      </c>
      <c r="N50" t="s">
        <v>3</v>
      </c>
      <c r="O50" t="s">
        <v>3</v>
      </c>
      <c r="P50" t="s">
        <v>3</v>
      </c>
      <c r="Q50" t="s">
        <v>8</v>
      </c>
      <c r="R50" t="s">
        <v>373</v>
      </c>
      <c r="S50" t="s">
        <v>8</v>
      </c>
      <c r="T50" t="s">
        <v>356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62</v>
      </c>
      <c r="AF50" t="s">
        <v>1542</v>
      </c>
    </row>
    <row r="51" spans="1:32" x14ac:dyDescent="0.45">
      <c r="A51" t="s">
        <v>1543</v>
      </c>
      <c r="B51" t="s">
        <v>1530</v>
      </c>
      <c r="C51" t="s">
        <v>1531</v>
      </c>
      <c r="D51" t="s">
        <v>1530</v>
      </c>
      <c r="E51" t="s">
        <v>1532</v>
      </c>
      <c r="F51" t="s">
        <v>1533</v>
      </c>
      <c r="G51" t="s">
        <v>1544</v>
      </c>
      <c r="H51" t="s">
        <v>1535</v>
      </c>
      <c r="J51" t="s">
        <v>8</v>
      </c>
      <c r="K51" t="s">
        <v>3</v>
      </c>
      <c r="L51" t="s">
        <v>3</v>
      </c>
      <c r="M51" t="s">
        <v>373</v>
      </c>
      <c r="N51" t="s">
        <v>3</v>
      </c>
      <c r="O51" t="s">
        <v>3</v>
      </c>
      <c r="P51" t="s">
        <v>3</v>
      </c>
      <c r="Q51" t="s">
        <v>8</v>
      </c>
      <c r="R51" t="s">
        <v>373</v>
      </c>
      <c r="S51" t="s">
        <v>8</v>
      </c>
      <c r="T51" t="s">
        <v>1543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67</v>
      </c>
      <c r="AF51" t="s">
        <v>1545</v>
      </c>
    </row>
    <row r="52" spans="1:32" x14ac:dyDescent="0.45">
      <c r="A52" t="s">
        <v>1546</v>
      </c>
      <c r="B52" t="s">
        <v>1547</v>
      </c>
      <c r="C52" t="s">
        <v>1548</v>
      </c>
      <c r="D52" t="s">
        <v>1549</v>
      </c>
      <c r="E52" t="s">
        <v>1550</v>
      </c>
      <c r="F52" t="s">
        <v>1551</v>
      </c>
      <c r="G52" t="s">
        <v>1552</v>
      </c>
      <c r="H52" t="s">
        <v>1553</v>
      </c>
      <c r="I52" t="s">
        <v>1552</v>
      </c>
      <c r="J52" t="s">
        <v>8</v>
      </c>
      <c r="K52" t="s">
        <v>3</v>
      </c>
      <c r="L52" t="s">
        <v>3</v>
      </c>
      <c r="M52" t="s">
        <v>373</v>
      </c>
      <c r="N52" t="s">
        <v>3</v>
      </c>
      <c r="O52" t="s">
        <v>3</v>
      </c>
      <c r="P52" t="s">
        <v>3</v>
      </c>
      <c r="Q52" t="s">
        <v>67</v>
      </c>
      <c r="R52" t="s">
        <v>373</v>
      </c>
      <c r="S52" t="s">
        <v>8</v>
      </c>
      <c r="T52" t="s">
        <v>1546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62</v>
      </c>
      <c r="AF52" t="s">
        <v>1554</v>
      </c>
    </row>
    <row r="53" spans="1:32" x14ac:dyDescent="0.45">
      <c r="A53" t="s">
        <v>365</v>
      </c>
      <c r="B53" t="s">
        <v>1555</v>
      </c>
      <c r="C53" t="s">
        <v>1556</v>
      </c>
      <c r="D53" t="s">
        <v>1555</v>
      </c>
      <c r="E53" t="s">
        <v>1550</v>
      </c>
      <c r="F53" t="s">
        <v>1551</v>
      </c>
      <c r="G53" t="s">
        <v>1552</v>
      </c>
      <c r="H53" t="s">
        <v>1557</v>
      </c>
      <c r="I53" t="s">
        <v>1552</v>
      </c>
      <c r="J53" t="s">
        <v>8</v>
      </c>
      <c r="K53" t="s">
        <v>3</v>
      </c>
      <c r="L53" t="s">
        <v>3</v>
      </c>
      <c r="M53" t="s">
        <v>373</v>
      </c>
      <c r="N53" t="s">
        <v>3</v>
      </c>
      <c r="O53" t="s">
        <v>3</v>
      </c>
      <c r="P53" t="s">
        <v>3</v>
      </c>
      <c r="Q53" t="s">
        <v>67</v>
      </c>
      <c r="R53" t="s">
        <v>373</v>
      </c>
      <c r="S53" t="s">
        <v>8</v>
      </c>
      <c r="T53" t="s">
        <v>365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62</v>
      </c>
      <c r="AF53" t="s">
        <v>1558</v>
      </c>
    </row>
    <row r="54" spans="1:32" x14ac:dyDescent="0.45">
      <c r="A54" t="s">
        <v>367</v>
      </c>
      <c r="B54" t="s">
        <v>1559</v>
      </c>
      <c r="C54" t="s">
        <v>1560</v>
      </c>
      <c r="D54" t="s">
        <v>1561</v>
      </c>
      <c r="E54" t="s">
        <v>1562</v>
      </c>
      <c r="F54" t="s">
        <v>1563</v>
      </c>
      <c r="H54" t="s">
        <v>1564</v>
      </c>
      <c r="J54" t="s">
        <v>8</v>
      </c>
      <c r="K54" t="s">
        <v>3</v>
      </c>
      <c r="L54" t="s">
        <v>3</v>
      </c>
      <c r="M54" t="s">
        <v>373</v>
      </c>
      <c r="N54" t="s">
        <v>3</v>
      </c>
      <c r="O54" t="s">
        <v>3</v>
      </c>
      <c r="P54" t="s">
        <v>3</v>
      </c>
      <c r="Q54" t="s">
        <v>3</v>
      </c>
      <c r="R54" t="s">
        <v>373</v>
      </c>
      <c r="S54" t="s">
        <v>8</v>
      </c>
      <c r="T54" t="s">
        <v>367</v>
      </c>
      <c r="U54" t="s">
        <v>3</v>
      </c>
      <c r="V54" t="s">
        <v>3</v>
      </c>
      <c r="W54" t="s">
        <v>1024</v>
      </c>
      <c r="AA54" t="s">
        <v>8</v>
      </c>
      <c r="AB54" t="s">
        <v>3</v>
      </c>
      <c r="AC54" t="s">
        <v>3</v>
      </c>
      <c r="AD54" t="s">
        <v>8</v>
      </c>
      <c r="AE54" t="s">
        <v>62</v>
      </c>
      <c r="AF54" t="s">
        <v>1565</v>
      </c>
    </row>
    <row r="55" spans="1:32" x14ac:dyDescent="0.45">
      <c r="A55" t="s">
        <v>371</v>
      </c>
      <c r="B55" t="s">
        <v>1566</v>
      </c>
      <c r="C55" t="s">
        <v>1560</v>
      </c>
      <c r="D55" t="s">
        <v>1566</v>
      </c>
      <c r="E55" t="s">
        <v>1562</v>
      </c>
      <c r="F55" t="s">
        <v>1563</v>
      </c>
      <c r="H55" t="s">
        <v>1564</v>
      </c>
      <c r="J55" t="s">
        <v>8</v>
      </c>
      <c r="K55" t="s">
        <v>3</v>
      </c>
      <c r="L55" t="s">
        <v>3</v>
      </c>
      <c r="M55" t="s">
        <v>373</v>
      </c>
      <c r="N55" t="s">
        <v>3</v>
      </c>
      <c r="O55" t="s">
        <v>3</v>
      </c>
      <c r="P55" t="s">
        <v>3</v>
      </c>
      <c r="Q55" t="s">
        <v>8</v>
      </c>
      <c r="R55" t="s">
        <v>373</v>
      </c>
      <c r="S55" t="s">
        <v>8</v>
      </c>
      <c r="T55" t="s">
        <v>371</v>
      </c>
      <c r="U55" t="s">
        <v>3</v>
      </c>
      <c r="V55" t="s">
        <v>3</v>
      </c>
      <c r="W55" t="s">
        <v>1024</v>
      </c>
      <c r="AA55" t="s">
        <v>8</v>
      </c>
      <c r="AB55" t="s">
        <v>3</v>
      </c>
      <c r="AC55" t="s">
        <v>3</v>
      </c>
      <c r="AD55" t="s">
        <v>8</v>
      </c>
      <c r="AE55" t="s">
        <v>62</v>
      </c>
      <c r="AF55" t="s">
        <v>1567</v>
      </c>
    </row>
    <row r="56" spans="1:32" x14ac:dyDescent="0.45">
      <c r="A56" t="s">
        <v>373</v>
      </c>
      <c r="B56" t="s">
        <v>1568</v>
      </c>
      <c r="C56" t="s">
        <v>1569</v>
      </c>
      <c r="D56" t="s">
        <v>1568</v>
      </c>
      <c r="E56" t="s">
        <v>1550</v>
      </c>
      <c r="F56" t="s">
        <v>1551</v>
      </c>
      <c r="H56" t="s">
        <v>1570</v>
      </c>
      <c r="J56" t="s">
        <v>8</v>
      </c>
      <c r="K56" t="s">
        <v>3</v>
      </c>
      <c r="L56" t="s">
        <v>3</v>
      </c>
      <c r="M56" t="s">
        <v>373</v>
      </c>
      <c r="N56" t="s">
        <v>3</v>
      </c>
      <c r="O56" t="s">
        <v>3</v>
      </c>
      <c r="P56" t="s">
        <v>3</v>
      </c>
      <c r="Q56" t="s">
        <v>67</v>
      </c>
      <c r="R56" t="s">
        <v>373</v>
      </c>
      <c r="S56" t="s">
        <v>8</v>
      </c>
      <c r="T56" t="s">
        <v>373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62</v>
      </c>
      <c r="AF56" t="s">
        <v>1571</v>
      </c>
    </row>
    <row r="57" spans="1:32" x14ac:dyDescent="0.45">
      <c r="A57" t="s">
        <v>54</v>
      </c>
      <c r="B57" t="s">
        <v>1572</v>
      </c>
      <c r="C57" t="s">
        <v>1573</v>
      </c>
      <c r="D57" t="s">
        <v>1572</v>
      </c>
      <c r="E57" t="s">
        <v>1574</v>
      </c>
      <c r="F57" t="s">
        <v>1575</v>
      </c>
      <c r="H57" t="s">
        <v>1576</v>
      </c>
      <c r="I57" t="s">
        <v>1577</v>
      </c>
      <c r="J57" t="s">
        <v>8</v>
      </c>
      <c r="K57" t="s">
        <v>3</v>
      </c>
      <c r="L57" t="s">
        <v>3</v>
      </c>
      <c r="M57" t="s">
        <v>373</v>
      </c>
      <c r="N57" t="s">
        <v>3</v>
      </c>
      <c r="O57" t="s">
        <v>3</v>
      </c>
      <c r="P57" t="s">
        <v>3</v>
      </c>
      <c r="Q57" t="s">
        <v>67</v>
      </c>
      <c r="R57" t="s">
        <v>373</v>
      </c>
      <c r="S57" t="s">
        <v>8</v>
      </c>
      <c r="T57" t="s">
        <v>54</v>
      </c>
      <c r="U57" t="s">
        <v>3</v>
      </c>
      <c r="V57" t="s">
        <v>3</v>
      </c>
      <c r="W57" t="s">
        <v>123</v>
      </c>
      <c r="AA57" t="s">
        <v>8</v>
      </c>
      <c r="AB57" t="s">
        <v>3</v>
      </c>
      <c r="AC57" t="s">
        <v>3</v>
      </c>
      <c r="AD57" t="s">
        <v>8</v>
      </c>
      <c r="AE57" t="s">
        <v>67</v>
      </c>
      <c r="AF57" t="s">
        <v>1578</v>
      </c>
    </row>
    <row r="58" spans="1:32" x14ac:dyDescent="0.45">
      <c r="A58" t="s">
        <v>378</v>
      </c>
      <c r="B58" t="s">
        <v>1579</v>
      </c>
      <c r="C58" t="s">
        <v>1580</v>
      </c>
      <c r="D58" t="s">
        <v>1579</v>
      </c>
      <c r="H58" t="s">
        <v>1576</v>
      </c>
      <c r="I58" t="s">
        <v>1577</v>
      </c>
      <c r="J58" t="s">
        <v>8</v>
      </c>
      <c r="K58" t="s">
        <v>3</v>
      </c>
      <c r="L58" t="s">
        <v>3</v>
      </c>
      <c r="M58" t="s">
        <v>373</v>
      </c>
      <c r="N58" t="s">
        <v>3</v>
      </c>
      <c r="O58" t="s">
        <v>3</v>
      </c>
      <c r="P58" t="s">
        <v>3</v>
      </c>
      <c r="Q58" t="s">
        <v>67</v>
      </c>
      <c r="R58" t="s">
        <v>373</v>
      </c>
      <c r="S58" t="s">
        <v>8</v>
      </c>
      <c r="T58" t="s">
        <v>378</v>
      </c>
      <c r="U58" t="s">
        <v>3</v>
      </c>
      <c r="V58" t="s">
        <v>3</v>
      </c>
      <c r="W58" t="s">
        <v>133</v>
      </c>
      <c r="AA58" t="s">
        <v>8</v>
      </c>
      <c r="AB58" t="s">
        <v>3</v>
      </c>
      <c r="AC58" t="s">
        <v>3</v>
      </c>
      <c r="AD58" t="s">
        <v>8</v>
      </c>
      <c r="AE58" t="s">
        <v>62</v>
      </c>
      <c r="AF58" t="s">
        <v>1581</v>
      </c>
    </row>
    <row r="59" spans="1:32" x14ac:dyDescent="0.45">
      <c r="A59" t="s">
        <v>382</v>
      </c>
      <c r="B59" t="s">
        <v>1582</v>
      </c>
      <c r="C59" t="s">
        <v>1583</v>
      </c>
      <c r="D59" t="s">
        <v>1582</v>
      </c>
      <c r="H59" t="s">
        <v>1576</v>
      </c>
      <c r="I59" t="s">
        <v>1577</v>
      </c>
      <c r="J59" t="s">
        <v>8</v>
      </c>
      <c r="K59" t="s">
        <v>3</v>
      </c>
      <c r="L59" t="s">
        <v>3</v>
      </c>
      <c r="M59" t="s">
        <v>373</v>
      </c>
      <c r="N59" t="s">
        <v>3</v>
      </c>
      <c r="O59" t="s">
        <v>3</v>
      </c>
      <c r="P59" t="s">
        <v>3</v>
      </c>
      <c r="Q59" t="s">
        <v>67</v>
      </c>
      <c r="R59" t="s">
        <v>373</v>
      </c>
      <c r="S59" t="s">
        <v>8</v>
      </c>
      <c r="T59" t="s">
        <v>382</v>
      </c>
      <c r="U59" t="s">
        <v>3</v>
      </c>
      <c r="V59" t="s">
        <v>3</v>
      </c>
      <c r="W59" t="s">
        <v>214</v>
      </c>
      <c r="AA59" t="s">
        <v>8</v>
      </c>
      <c r="AB59" t="s">
        <v>3</v>
      </c>
      <c r="AC59" t="s">
        <v>3</v>
      </c>
      <c r="AD59" t="s">
        <v>8</v>
      </c>
      <c r="AE59" t="s">
        <v>62</v>
      </c>
      <c r="AF59" t="s">
        <v>1584</v>
      </c>
    </row>
    <row r="60" spans="1:32" x14ac:dyDescent="0.45">
      <c r="A60" t="s">
        <v>385</v>
      </c>
      <c r="B60" t="s">
        <v>1585</v>
      </c>
      <c r="C60" t="s">
        <v>1586</v>
      </c>
      <c r="D60" t="s">
        <v>1585</v>
      </c>
      <c r="H60" t="s">
        <v>1576</v>
      </c>
      <c r="I60" t="s">
        <v>1577</v>
      </c>
      <c r="J60" t="s">
        <v>8</v>
      </c>
      <c r="K60" t="s">
        <v>3</v>
      </c>
      <c r="L60" t="s">
        <v>3</v>
      </c>
      <c r="M60" t="s">
        <v>373</v>
      </c>
      <c r="N60" t="s">
        <v>3</v>
      </c>
      <c r="O60" t="s">
        <v>3</v>
      </c>
      <c r="P60" t="s">
        <v>3</v>
      </c>
      <c r="Q60" t="s">
        <v>67</v>
      </c>
      <c r="R60" t="s">
        <v>373</v>
      </c>
      <c r="S60" t="s">
        <v>8</v>
      </c>
      <c r="T60" t="s">
        <v>385</v>
      </c>
      <c r="U60" t="s">
        <v>3</v>
      </c>
      <c r="V60" t="s">
        <v>3</v>
      </c>
      <c r="W60" t="s">
        <v>116</v>
      </c>
      <c r="AA60" t="s">
        <v>8</v>
      </c>
      <c r="AB60" t="s">
        <v>3</v>
      </c>
      <c r="AC60" t="s">
        <v>3</v>
      </c>
      <c r="AD60" t="s">
        <v>8</v>
      </c>
      <c r="AE60" t="s">
        <v>62</v>
      </c>
      <c r="AF60" t="s">
        <v>1587</v>
      </c>
    </row>
    <row r="61" spans="1:32" x14ac:dyDescent="0.45">
      <c r="A61" t="s">
        <v>389</v>
      </c>
      <c r="B61" t="s">
        <v>1588</v>
      </c>
      <c r="C61" t="s">
        <v>1589</v>
      </c>
      <c r="D61" t="s">
        <v>1590</v>
      </c>
      <c r="H61" t="s">
        <v>1576</v>
      </c>
      <c r="I61" t="s">
        <v>1577</v>
      </c>
      <c r="J61" t="s">
        <v>8</v>
      </c>
      <c r="K61" t="s">
        <v>3</v>
      </c>
      <c r="L61" t="s">
        <v>3</v>
      </c>
      <c r="M61" t="s">
        <v>373</v>
      </c>
      <c r="N61" t="s">
        <v>3</v>
      </c>
      <c r="O61" t="s">
        <v>3</v>
      </c>
      <c r="P61" t="s">
        <v>3</v>
      </c>
      <c r="Q61" t="s">
        <v>67</v>
      </c>
      <c r="R61" t="s">
        <v>373</v>
      </c>
      <c r="S61" t="s">
        <v>8</v>
      </c>
      <c r="T61" t="s">
        <v>389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62</v>
      </c>
      <c r="AF61" t="s">
        <v>1591</v>
      </c>
    </row>
    <row r="62" spans="1:32" x14ac:dyDescent="0.45">
      <c r="A62" t="s">
        <v>129</v>
      </c>
      <c r="B62" t="s">
        <v>1592</v>
      </c>
      <c r="C62" t="s">
        <v>1593</v>
      </c>
      <c r="D62" t="s">
        <v>1594</v>
      </c>
      <c r="E62" t="s">
        <v>1574</v>
      </c>
      <c r="F62" t="s">
        <v>1595</v>
      </c>
      <c r="H62" t="s">
        <v>1576</v>
      </c>
      <c r="I62" t="s">
        <v>1577</v>
      </c>
      <c r="J62" t="s">
        <v>8</v>
      </c>
      <c r="K62" t="s">
        <v>3</v>
      </c>
      <c r="L62" t="s">
        <v>3</v>
      </c>
      <c r="M62" t="s">
        <v>373</v>
      </c>
      <c r="N62" t="s">
        <v>3</v>
      </c>
      <c r="O62" t="s">
        <v>3</v>
      </c>
      <c r="P62" t="s">
        <v>3</v>
      </c>
      <c r="Q62" t="s">
        <v>67</v>
      </c>
      <c r="R62" t="s">
        <v>373</v>
      </c>
      <c r="S62" t="s">
        <v>8</v>
      </c>
      <c r="T62" t="s">
        <v>129</v>
      </c>
      <c r="U62" t="s">
        <v>3</v>
      </c>
      <c r="V62" t="s">
        <v>3</v>
      </c>
      <c r="W62" t="s">
        <v>99</v>
      </c>
      <c r="AA62" t="s">
        <v>8</v>
      </c>
      <c r="AB62" t="s">
        <v>3</v>
      </c>
      <c r="AC62" t="s">
        <v>3</v>
      </c>
      <c r="AD62" t="s">
        <v>8</v>
      </c>
      <c r="AE62" t="s">
        <v>62</v>
      </c>
      <c r="AF62" t="s">
        <v>1596</v>
      </c>
    </row>
    <row r="63" spans="1:32" x14ac:dyDescent="0.45">
      <c r="A63" t="s">
        <v>395</v>
      </c>
      <c r="B63" t="s">
        <v>1597</v>
      </c>
      <c r="C63" t="s">
        <v>1598</v>
      </c>
      <c r="D63" t="s">
        <v>1599</v>
      </c>
      <c r="E63" t="s">
        <v>1574</v>
      </c>
      <c r="F63" t="s">
        <v>1595</v>
      </c>
      <c r="H63" t="s">
        <v>1576</v>
      </c>
      <c r="I63" t="s">
        <v>1577</v>
      </c>
      <c r="J63" t="s">
        <v>8</v>
      </c>
      <c r="K63" t="s">
        <v>3</v>
      </c>
      <c r="L63" t="s">
        <v>3</v>
      </c>
      <c r="M63" t="s">
        <v>373</v>
      </c>
      <c r="N63" t="s">
        <v>3</v>
      </c>
      <c r="O63" t="s">
        <v>3</v>
      </c>
      <c r="P63" t="s">
        <v>3</v>
      </c>
      <c r="Q63" t="s">
        <v>67</v>
      </c>
      <c r="R63" t="s">
        <v>373</v>
      </c>
      <c r="S63" t="s">
        <v>8</v>
      </c>
      <c r="T63" t="s">
        <v>395</v>
      </c>
      <c r="U63" t="s">
        <v>3</v>
      </c>
      <c r="V63" t="s">
        <v>3</v>
      </c>
      <c r="W63" t="s">
        <v>123</v>
      </c>
      <c r="Z63" t="s">
        <v>1552</v>
      </c>
      <c r="AA63" t="s">
        <v>8</v>
      </c>
      <c r="AB63" t="s">
        <v>3</v>
      </c>
      <c r="AC63" t="s">
        <v>3</v>
      </c>
      <c r="AD63" t="s">
        <v>8</v>
      </c>
      <c r="AE63" t="s">
        <v>67</v>
      </c>
      <c r="AF63" t="s">
        <v>1600</v>
      </c>
    </row>
    <row r="64" spans="1:32" x14ac:dyDescent="0.45">
      <c r="A64" t="s">
        <v>398</v>
      </c>
      <c r="B64" t="s">
        <v>1601</v>
      </c>
      <c r="C64" t="s">
        <v>1602</v>
      </c>
      <c r="D64" t="s">
        <v>1603</v>
      </c>
      <c r="E64" t="s">
        <v>1574</v>
      </c>
      <c r="F64" t="s">
        <v>1575</v>
      </c>
      <c r="H64" t="s">
        <v>1576</v>
      </c>
      <c r="I64" t="s">
        <v>1577</v>
      </c>
      <c r="J64" t="s">
        <v>8</v>
      </c>
      <c r="K64" t="s">
        <v>3</v>
      </c>
      <c r="L64" t="s">
        <v>3</v>
      </c>
      <c r="M64" t="s">
        <v>373</v>
      </c>
      <c r="N64" t="s">
        <v>3</v>
      </c>
      <c r="O64" t="s">
        <v>3</v>
      </c>
      <c r="P64" t="s">
        <v>3</v>
      </c>
      <c r="Q64" t="s">
        <v>67</v>
      </c>
      <c r="R64" t="s">
        <v>373</v>
      </c>
      <c r="S64" t="s">
        <v>8</v>
      </c>
      <c r="T64" t="s">
        <v>398</v>
      </c>
      <c r="U64" t="s">
        <v>3</v>
      </c>
      <c r="V64" t="s">
        <v>3</v>
      </c>
      <c r="W64" t="s">
        <v>123</v>
      </c>
      <c r="AA64" t="s">
        <v>8</v>
      </c>
      <c r="AB64" t="s">
        <v>3</v>
      </c>
      <c r="AC64" t="s">
        <v>3</v>
      </c>
      <c r="AD64" t="s">
        <v>8</v>
      </c>
      <c r="AE64" t="s">
        <v>62</v>
      </c>
      <c r="AF64" t="s">
        <v>1604</v>
      </c>
    </row>
    <row r="65" spans="1:32" x14ac:dyDescent="0.45">
      <c r="A65" t="s">
        <v>402</v>
      </c>
      <c r="B65" t="s">
        <v>1605</v>
      </c>
      <c r="C65" t="s">
        <v>1606</v>
      </c>
      <c r="D65" t="s">
        <v>1605</v>
      </c>
      <c r="H65" t="s">
        <v>1576</v>
      </c>
      <c r="I65" t="s">
        <v>1577</v>
      </c>
      <c r="J65" t="s">
        <v>8</v>
      </c>
      <c r="K65" t="s">
        <v>3</v>
      </c>
      <c r="L65" t="s">
        <v>3</v>
      </c>
      <c r="M65" t="s">
        <v>373</v>
      </c>
      <c r="N65" t="s">
        <v>3</v>
      </c>
      <c r="O65" t="s">
        <v>3</v>
      </c>
      <c r="P65" t="s">
        <v>3</v>
      </c>
      <c r="Q65" t="s">
        <v>67</v>
      </c>
      <c r="R65" t="s">
        <v>373</v>
      </c>
      <c r="S65" t="s">
        <v>8</v>
      </c>
      <c r="T65" t="s">
        <v>402</v>
      </c>
      <c r="U65" t="s">
        <v>3</v>
      </c>
      <c r="V65" t="s">
        <v>3</v>
      </c>
      <c r="W65" t="s">
        <v>133</v>
      </c>
      <c r="AA65" t="s">
        <v>8</v>
      </c>
      <c r="AB65" t="s">
        <v>3</v>
      </c>
      <c r="AC65" t="s">
        <v>3</v>
      </c>
      <c r="AD65" t="s">
        <v>8</v>
      </c>
      <c r="AE65" t="s">
        <v>62</v>
      </c>
      <c r="AF65" t="s">
        <v>1607</v>
      </c>
    </row>
    <row r="66" spans="1:32" x14ac:dyDescent="0.45">
      <c r="A66" t="s">
        <v>322</v>
      </c>
      <c r="B66" t="s">
        <v>1608</v>
      </c>
      <c r="C66" t="s">
        <v>1609</v>
      </c>
      <c r="D66" t="s">
        <v>1610</v>
      </c>
      <c r="E66" t="s">
        <v>1611</v>
      </c>
      <c r="F66" t="s">
        <v>1612</v>
      </c>
      <c r="H66" t="s">
        <v>1613</v>
      </c>
      <c r="I66" t="s">
        <v>1614</v>
      </c>
      <c r="J66" t="s">
        <v>8</v>
      </c>
      <c r="K66" t="s">
        <v>3</v>
      </c>
      <c r="L66" t="s">
        <v>3</v>
      </c>
      <c r="M66" t="s">
        <v>373</v>
      </c>
      <c r="N66" t="s">
        <v>3</v>
      </c>
      <c r="O66" t="s">
        <v>3</v>
      </c>
      <c r="P66" t="s">
        <v>3</v>
      </c>
      <c r="Q66" t="s">
        <v>67</v>
      </c>
      <c r="R66" t="s">
        <v>373</v>
      </c>
      <c r="S66" t="s">
        <v>8</v>
      </c>
      <c r="T66" t="s">
        <v>322</v>
      </c>
      <c r="U66" t="s">
        <v>3</v>
      </c>
      <c r="V66" t="s">
        <v>3</v>
      </c>
      <c r="W66" t="s">
        <v>291</v>
      </c>
      <c r="AA66" t="s">
        <v>8</v>
      </c>
      <c r="AB66" t="s">
        <v>3</v>
      </c>
      <c r="AC66" t="s">
        <v>3</v>
      </c>
      <c r="AD66" t="s">
        <v>8</v>
      </c>
      <c r="AE66" t="s">
        <v>67</v>
      </c>
      <c r="AF66" t="s">
        <v>1615</v>
      </c>
    </row>
    <row r="67" spans="1:32" x14ac:dyDescent="0.45">
      <c r="A67" t="s">
        <v>584</v>
      </c>
      <c r="B67" t="s">
        <v>1616</v>
      </c>
      <c r="C67" t="s">
        <v>1617</v>
      </c>
      <c r="D67" t="s">
        <v>1616</v>
      </c>
      <c r="H67" t="s">
        <v>1613</v>
      </c>
      <c r="I67" t="s">
        <v>1614</v>
      </c>
      <c r="J67" t="s">
        <v>8</v>
      </c>
      <c r="K67" t="s">
        <v>3</v>
      </c>
      <c r="L67" t="s">
        <v>3</v>
      </c>
      <c r="M67" t="s">
        <v>373</v>
      </c>
      <c r="N67" t="s">
        <v>3</v>
      </c>
      <c r="O67" t="s">
        <v>3</v>
      </c>
      <c r="P67" t="s">
        <v>3</v>
      </c>
      <c r="Q67" t="s">
        <v>67</v>
      </c>
      <c r="R67" t="s">
        <v>373</v>
      </c>
      <c r="S67" t="s">
        <v>8</v>
      </c>
      <c r="T67" t="s">
        <v>584</v>
      </c>
      <c r="U67" t="s">
        <v>3</v>
      </c>
      <c r="V67" t="s">
        <v>3</v>
      </c>
      <c r="W67" t="s">
        <v>1618</v>
      </c>
      <c r="AA67" t="s">
        <v>8</v>
      </c>
      <c r="AB67" t="s">
        <v>3</v>
      </c>
      <c r="AC67" t="s">
        <v>3</v>
      </c>
      <c r="AD67" t="s">
        <v>8</v>
      </c>
      <c r="AE67" t="s">
        <v>62</v>
      </c>
      <c r="AF67" t="s">
        <v>1619</v>
      </c>
    </row>
    <row r="68" spans="1:32" x14ac:dyDescent="0.45">
      <c r="A68" t="s">
        <v>588</v>
      </c>
      <c r="B68" t="s">
        <v>1620</v>
      </c>
      <c r="C68" t="s">
        <v>1621</v>
      </c>
      <c r="D68" t="s">
        <v>1620</v>
      </c>
      <c r="H68" t="s">
        <v>1613</v>
      </c>
      <c r="I68" t="s">
        <v>1614</v>
      </c>
      <c r="J68" t="s">
        <v>8</v>
      </c>
      <c r="K68" t="s">
        <v>3</v>
      </c>
      <c r="L68" t="s">
        <v>3</v>
      </c>
      <c r="M68" t="s">
        <v>373</v>
      </c>
      <c r="N68" t="s">
        <v>3</v>
      </c>
      <c r="O68" t="s">
        <v>3</v>
      </c>
      <c r="P68" t="s">
        <v>3</v>
      </c>
      <c r="Q68" t="s">
        <v>67</v>
      </c>
      <c r="R68" t="s">
        <v>373</v>
      </c>
      <c r="S68" t="s">
        <v>8</v>
      </c>
      <c r="T68" t="s">
        <v>588</v>
      </c>
      <c r="U68" t="s">
        <v>3</v>
      </c>
      <c r="V68" t="s">
        <v>3</v>
      </c>
      <c r="W68" t="s">
        <v>1618</v>
      </c>
      <c r="AA68" t="s">
        <v>8</v>
      </c>
      <c r="AB68" t="s">
        <v>3</v>
      </c>
      <c r="AC68" t="s">
        <v>3</v>
      </c>
      <c r="AD68" t="s">
        <v>8</v>
      </c>
      <c r="AE68" t="s">
        <v>62</v>
      </c>
      <c r="AF68" t="s">
        <v>1622</v>
      </c>
    </row>
    <row r="69" spans="1:32" x14ac:dyDescent="0.45">
      <c r="A69" t="s">
        <v>68</v>
      </c>
      <c r="B69" t="s">
        <v>15</v>
      </c>
      <c r="C69" t="s">
        <v>1623</v>
      </c>
      <c r="D69" t="s">
        <v>15</v>
      </c>
      <c r="H69" t="s">
        <v>1613</v>
      </c>
      <c r="I69" t="s">
        <v>1614</v>
      </c>
      <c r="J69" t="s">
        <v>8</v>
      </c>
      <c r="K69" t="s">
        <v>3</v>
      </c>
      <c r="L69" t="s">
        <v>3</v>
      </c>
      <c r="M69" t="s">
        <v>373</v>
      </c>
      <c r="N69" t="s">
        <v>3</v>
      </c>
      <c r="O69" t="s">
        <v>3</v>
      </c>
      <c r="P69" t="s">
        <v>3</v>
      </c>
      <c r="Q69" t="s">
        <v>67</v>
      </c>
      <c r="R69" t="s">
        <v>373</v>
      </c>
      <c r="S69" t="s">
        <v>8</v>
      </c>
      <c r="T69" t="s">
        <v>68</v>
      </c>
      <c r="U69" t="s">
        <v>3</v>
      </c>
      <c r="V69" t="s">
        <v>3</v>
      </c>
      <c r="W69" t="s">
        <v>1618</v>
      </c>
      <c r="AA69" t="s">
        <v>8</v>
      </c>
      <c r="AB69" t="s">
        <v>3</v>
      </c>
      <c r="AC69" t="s">
        <v>3</v>
      </c>
      <c r="AD69" t="s">
        <v>8</v>
      </c>
      <c r="AE69" t="s">
        <v>62</v>
      </c>
      <c r="AF69" t="s">
        <v>1624</v>
      </c>
    </row>
    <row r="70" spans="1:32" x14ac:dyDescent="0.45">
      <c r="A70" t="s">
        <v>594</v>
      </c>
      <c r="B70" t="s">
        <v>1625</v>
      </c>
      <c r="C70" t="s">
        <v>1626</v>
      </c>
      <c r="D70" t="s">
        <v>1625</v>
      </c>
      <c r="H70" t="s">
        <v>1613</v>
      </c>
      <c r="I70" t="s">
        <v>1614</v>
      </c>
      <c r="J70" t="s">
        <v>8</v>
      </c>
      <c r="K70" t="s">
        <v>3</v>
      </c>
      <c r="L70" t="s">
        <v>3</v>
      </c>
      <c r="M70" t="s">
        <v>373</v>
      </c>
      <c r="N70" t="s">
        <v>3</v>
      </c>
      <c r="O70" t="s">
        <v>3</v>
      </c>
      <c r="P70" t="s">
        <v>3</v>
      </c>
      <c r="Q70" t="s">
        <v>67</v>
      </c>
      <c r="R70" t="s">
        <v>373</v>
      </c>
      <c r="S70" t="s">
        <v>8</v>
      </c>
      <c r="T70" t="s">
        <v>594</v>
      </c>
      <c r="U70" t="s">
        <v>3</v>
      </c>
      <c r="V70" t="s">
        <v>3</v>
      </c>
      <c r="W70" t="s">
        <v>1618</v>
      </c>
      <c r="AA70" t="s">
        <v>8</v>
      </c>
      <c r="AB70" t="s">
        <v>3</v>
      </c>
      <c r="AC70" t="s">
        <v>3</v>
      </c>
      <c r="AD70" t="s">
        <v>8</v>
      </c>
      <c r="AE70" t="s">
        <v>72</v>
      </c>
      <c r="AF70" t="s">
        <v>1627</v>
      </c>
    </row>
    <row r="71" spans="1:32" x14ac:dyDescent="0.45">
      <c r="A71" t="s">
        <v>597</v>
      </c>
      <c r="B71" t="s">
        <v>1628</v>
      </c>
      <c r="C71" t="s">
        <v>1629</v>
      </c>
      <c r="D71" t="s">
        <v>1628</v>
      </c>
      <c r="E71" t="s">
        <v>1611</v>
      </c>
      <c r="F71" t="s">
        <v>1612</v>
      </c>
      <c r="H71" t="s">
        <v>1613</v>
      </c>
      <c r="I71" t="s">
        <v>1614</v>
      </c>
      <c r="J71" t="s">
        <v>8</v>
      </c>
      <c r="K71" t="s">
        <v>3</v>
      </c>
      <c r="L71" t="s">
        <v>3</v>
      </c>
      <c r="M71" t="s">
        <v>373</v>
      </c>
      <c r="N71" t="s">
        <v>3</v>
      </c>
      <c r="O71" t="s">
        <v>3</v>
      </c>
      <c r="P71" t="s">
        <v>3</v>
      </c>
      <c r="Q71" t="s">
        <v>67</v>
      </c>
      <c r="R71" t="s">
        <v>373</v>
      </c>
      <c r="S71" t="s">
        <v>8</v>
      </c>
      <c r="T71" t="s">
        <v>597</v>
      </c>
      <c r="U71" t="s">
        <v>3</v>
      </c>
      <c r="V71" t="s">
        <v>3</v>
      </c>
      <c r="W71" t="s">
        <v>291</v>
      </c>
      <c r="AA71" t="s">
        <v>8</v>
      </c>
      <c r="AB71" t="s">
        <v>3</v>
      </c>
      <c r="AC71" t="s">
        <v>3</v>
      </c>
      <c r="AD71" t="s">
        <v>8</v>
      </c>
      <c r="AE71" t="s">
        <v>67</v>
      </c>
      <c r="AF71" t="s">
        <v>1630</v>
      </c>
    </row>
    <row r="72" spans="1:32" x14ac:dyDescent="0.45">
      <c r="A72" t="s">
        <v>65</v>
      </c>
      <c r="B72" t="s">
        <v>1631</v>
      </c>
      <c r="C72" t="s">
        <v>1632</v>
      </c>
      <c r="D72" t="s">
        <v>1633</v>
      </c>
      <c r="E72" t="s">
        <v>1611</v>
      </c>
      <c r="F72" t="s">
        <v>1612</v>
      </c>
      <c r="H72" t="s">
        <v>1613</v>
      </c>
      <c r="I72" t="s">
        <v>1614</v>
      </c>
      <c r="J72" t="s">
        <v>8</v>
      </c>
      <c r="K72" t="s">
        <v>3</v>
      </c>
      <c r="L72" t="s">
        <v>3</v>
      </c>
      <c r="M72" t="s">
        <v>373</v>
      </c>
      <c r="N72" t="s">
        <v>3</v>
      </c>
      <c r="O72" t="s">
        <v>3</v>
      </c>
      <c r="P72" t="s">
        <v>3</v>
      </c>
      <c r="Q72" t="s">
        <v>67</v>
      </c>
      <c r="R72" t="s">
        <v>373</v>
      </c>
      <c r="S72" t="s">
        <v>8</v>
      </c>
      <c r="T72" t="s">
        <v>65</v>
      </c>
      <c r="U72" t="s">
        <v>3</v>
      </c>
      <c r="V72" t="s">
        <v>3</v>
      </c>
      <c r="W72" t="s">
        <v>291</v>
      </c>
      <c r="X72" t="s">
        <v>1634</v>
      </c>
      <c r="Y72" t="s">
        <v>1635</v>
      </c>
      <c r="AA72" t="s">
        <v>8</v>
      </c>
      <c r="AB72" t="s">
        <v>3</v>
      </c>
      <c r="AC72" t="s">
        <v>3</v>
      </c>
      <c r="AD72" t="s">
        <v>8</v>
      </c>
      <c r="AE72" t="s">
        <v>67</v>
      </c>
      <c r="AF72" t="s">
        <v>1636</v>
      </c>
    </row>
    <row r="73" spans="1:32" x14ac:dyDescent="0.45">
      <c r="A73" t="s">
        <v>66</v>
      </c>
      <c r="B73" t="s">
        <v>1637</v>
      </c>
      <c r="C73" t="s">
        <v>1638</v>
      </c>
      <c r="D73" t="s">
        <v>1639</v>
      </c>
      <c r="E73" t="s">
        <v>1611</v>
      </c>
      <c r="F73" t="s">
        <v>1612</v>
      </c>
      <c r="H73" t="s">
        <v>1613</v>
      </c>
      <c r="I73" t="s">
        <v>1614</v>
      </c>
      <c r="J73" t="s">
        <v>8</v>
      </c>
      <c r="K73" t="s">
        <v>3</v>
      </c>
      <c r="L73" t="s">
        <v>3</v>
      </c>
      <c r="M73" t="s">
        <v>373</v>
      </c>
      <c r="N73" t="s">
        <v>3</v>
      </c>
      <c r="O73" t="s">
        <v>3</v>
      </c>
      <c r="P73" t="s">
        <v>3</v>
      </c>
      <c r="Q73" t="s">
        <v>67</v>
      </c>
      <c r="R73" t="s">
        <v>373</v>
      </c>
      <c r="S73" t="s">
        <v>8</v>
      </c>
      <c r="T73" t="s">
        <v>66</v>
      </c>
      <c r="U73" t="s">
        <v>3</v>
      </c>
      <c r="V73" t="s">
        <v>3</v>
      </c>
      <c r="W73" t="s">
        <v>291</v>
      </c>
      <c r="AA73" t="s">
        <v>8</v>
      </c>
      <c r="AB73" t="s">
        <v>3</v>
      </c>
      <c r="AC73" t="s">
        <v>3</v>
      </c>
      <c r="AD73" t="s">
        <v>8</v>
      </c>
      <c r="AE73" t="s">
        <v>67</v>
      </c>
      <c r="AF73" t="s">
        <v>1640</v>
      </c>
    </row>
    <row r="74" spans="1:32" x14ac:dyDescent="0.45">
      <c r="A74" t="s">
        <v>1641</v>
      </c>
      <c r="B74" t="s">
        <v>1642</v>
      </c>
      <c r="C74" t="s">
        <v>1643</v>
      </c>
      <c r="D74" t="s">
        <v>1642</v>
      </c>
      <c r="E74" t="s">
        <v>1644</v>
      </c>
      <c r="F74" t="s">
        <v>1645</v>
      </c>
      <c r="H74" t="s">
        <v>1646</v>
      </c>
      <c r="I74" t="s">
        <v>1647</v>
      </c>
      <c r="J74" t="s">
        <v>8</v>
      </c>
      <c r="K74" t="s">
        <v>3</v>
      </c>
      <c r="L74" t="s">
        <v>3</v>
      </c>
      <c r="M74" t="s">
        <v>373</v>
      </c>
      <c r="N74" t="s">
        <v>3</v>
      </c>
      <c r="O74" t="s">
        <v>3</v>
      </c>
      <c r="P74" t="s">
        <v>3</v>
      </c>
      <c r="Q74" t="s">
        <v>67</v>
      </c>
      <c r="R74" t="s">
        <v>373</v>
      </c>
      <c r="S74" t="s">
        <v>8</v>
      </c>
      <c r="T74" t="s">
        <v>1641</v>
      </c>
      <c r="U74" t="s">
        <v>3</v>
      </c>
      <c r="V74" t="s">
        <v>3</v>
      </c>
      <c r="W74" t="s">
        <v>263</v>
      </c>
      <c r="AA74" t="s">
        <v>8</v>
      </c>
      <c r="AB74" t="s">
        <v>3</v>
      </c>
      <c r="AC74" t="s">
        <v>3</v>
      </c>
      <c r="AD74" t="s">
        <v>8</v>
      </c>
      <c r="AE74" t="s">
        <v>62</v>
      </c>
      <c r="AF74" t="s">
        <v>1648</v>
      </c>
    </row>
    <row r="75" spans="1:32" x14ac:dyDescent="0.45">
      <c r="A75" t="s">
        <v>765</v>
      </c>
      <c r="B75" t="s">
        <v>1649</v>
      </c>
      <c r="C75" t="s">
        <v>1643</v>
      </c>
      <c r="D75" t="s">
        <v>1649</v>
      </c>
      <c r="E75" t="s">
        <v>1644</v>
      </c>
      <c r="F75" t="s">
        <v>1645</v>
      </c>
      <c r="H75" t="s">
        <v>1646</v>
      </c>
      <c r="I75" t="s">
        <v>1647</v>
      </c>
      <c r="J75" t="s">
        <v>8</v>
      </c>
      <c r="K75" t="s">
        <v>3</v>
      </c>
      <c r="L75" t="s">
        <v>3</v>
      </c>
      <c r="M75" t="s">
        <v>373</v>
      </c>
      <c r="N75" t="s">
        <v>3</v>
      </c>
      <c r="O75" t="s">
        <v>3</v>
      </c>
      <c r="P75" t="s">
        <v>3</v>
      </c>
      <c r="Q75" t="s">
        <v>67</v>
      </c>
      <c r="R75" t="s">
        <v>373</v>
      </c>
      <c r="S75" t="s">
        <v>8</v>
      </c>
      <c r="T75" t="s">
        <v>765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62</v>
      </c>
      <c r="AF75" t="s">
        <v>1650</v>
      </c>
    </row>
    <row r="76" spans="1:32" x14ac:dyDescent="0.45">
      <c r="A76" t="s">
        <v>768</v>
      </c>
      <c r="B76" t="s">
        <v>1651</v>
      </c>
      <c r="C76" t="s">
        <v>1652</v>
      </c>
      <c r="D76" t="s">
        <v>1651</v>
      </c>
      <c r="H76" t="s">
        <v>1646</v>
      </c>
      <c r="I76" t="s">
        <v>1647</v>
      </c>
      <c r="J76" t="s">
        <v>8</v>
      </c>
      <c r="K76" t="s">
        <v>3</v>
      </c>
      <c r="L76" t="s">
        <v>3</v>
      </c>
      <c r="M76" t="s">
        <v>373</v>
      </c>
      <c r="N76" t="s">
        <v>3</v>
      </c>
      <c r="O76" t="s">
        <v>3</v>
      </c>
      <c r="P76" t="s">
        <v>3</v>
      </c>
      <c r="Q76" t="s">
        <v>67</v>
      </c>
      <c r="R76" t="s">
        <v>373</v>
      </c>
      <c r="S76" t="s">
        <v>8</v>
      </c>
      <c r="T76" t="s">
        <v>768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62</v>
      </c>
      <c r="AF76" t="s">
        <v>1653</v>
      </c>
    </row>
    <row r="77" spans="1:32" x14ac:dyDescent="0.45">
      <c r="A77" t="s">
        <v>771</v>
      </c>
      <c r="B77" t="s">
        <v>1654</v>
      </c>
      <c r="C77" t="s">
        <v>1655</v>
      </c>
      <c r="D77" t="s">
        <v>1654</v>
      </c>
      <c r="H77" t="s">
        <v>1646</v>
      </c>
      <c r="I77" t="s">
        <v>1647</v>
      </c>
      <c r="J77" t="s">
        <v>8</v>
      </c>
      <c r="K77" t="s">
        <v>3</v>
      </c>
      <c r="L77" t="s">
        <v>3</v>
      </c>
      <c r="M77" t="s">
        <v>373</v>
      </c>
      <c r="N77" t="s">
        <v>3</v>
      </c>
      <c r="O77" t="s">
        <v>3</v>
      </c>
      <c r="P77" t="s">
        <v>3</v>
      </c>
      <c r="Q77" t="s">
        <v>67</v>
      </c>
      <c r="R77" t="s">
        <v>373</v>
      </c>
      <c r="S77" t="s">
        <v>8</v>
      </c>
      <c r="T77" t="s">
        <v>771</v>
      </c>
      <c r="U77" t="s">
        <v>3</v>
      </c>
      <c r="V77" t="s">
        <v>3</v>
      </c>
      <c r="W77" t="s">
        <v>275</v>
      </c>
      <c r="AA77" t="s">
        <v>3</v>
      </c>
      <c r="AB77" t="s">
        <v>3</v>
      </c>
      <c r="AC77" t="s">
        <v>3</v>
      </c>
      <c r="AD77" t="s">
        <v>8</v>
      </c>
      <c r="AE77" t="s">
        <v>62</v>
      </c>
      <c r="AF77" t="s">
        <v>1656</v>
      </c>
    </row>
    <row r="78" spans="1:32" x14ac:dyDescent="0.45">
      <c r="A78" t="s">
        <v>777</v>
      </c>
      <c r="B78" t="s">
        <v>1657</v>
      </c>
      <c r="C78" t="s">
        <v>1658</v>
      </c>
      <c r="D78" t="s">
        <v>1659</v>
      </c>
      <c r="H78" t="s">
        <v>1646</v>
      </c>
      <c r="I78" t="s">
        <v>1647</v>
      </c>
      <c r="J78" t="s">
        <v>8</v>
      </c>
      <c r="K78" t="s">
        <v>3</v>
      </c>
      <c r="L78" t="s">
        <v>3</v>
      </c>
      <c r="M78" t="s">
        <v>373</v>
      </c>
      <c r="N78" t="s">
        <v>3</v>
      </c>
      <c r="O78" t="s">
        <v>3</v>
      </c>
      <c r="P78" t="s">
        <v>3</v>
      </c>
      <c r="Q78" t="s">
        <v>67</v>
      </c>
      <c r="R78" t="s">
        <v>373</v>
      </c>
      <c r="S78" t="s">
        <v>8</v>
      </c>
      <c r="T78" t="s">
        <v>771</v>
      </c>
      <c r="U78" t="s">
        <v>3</v>
      </c>
      <c r="V78" t="s">
        <v>3</v>
      </c>
      <c r="W78" t="s">
        <v>1660</v>
      </c>
      <c r="AA78" t="s">
        <v>3</v>
      </c>
      <c r="AB78" t="s">
        <v>3</v>
      </c>
      <c r="AC78" t="s">
        <v>3</v>
      </c>
      <c r="AD78" t="s">
        <v>8</v>
      </c>
      <c r="AE78" t="s">
        <v>72</v>
      </c>
      <c r="AF78" t="s">
        <v>1661</v>
      </c>
    </row>
    <row r="79" spans="1:32" x14ac:dyDescent="0.45">
      <c r="A79" t="s">
        <v>1662</v>
      </c>
      <c r="B79" t="s">
        <v>1663</v>
      </c>
      <c r="C79" t="s">
        <v>1664</v>
      </c>
      <c r="D79" t="s">
        <v>1665</v>
      </c>
      <c r="E79" t="s">
        <v>1666</v>
      </c>
      <c r="F79" t="s">
        <v>1667</v>
      </c>
      <c r="H79" t="s">
        <v>1668</v>
      </c>
      <c r="I79" t="s">
        <v>1669</v>
      </c>
      <c r="J79" t="s">
        <v>8</v>
      </c>
      <c r="K79" t="s">
        <v>3</v>
      </c>
      <c r="L79" t="s">
        <v>3</v>
      </c>
      <c r="M79" t="s">
        <v>373</v>
      </c>
      <c r="N79" t="s">
        <v>3</v>
      </c>
      <c r="O79" t="s">
        <v>3</v>
      </c>
      <c r="P79" t="s">
        <v>3</v>
      </c>
      <c r="Q79" t="s">
        <v>67</v>
      </c>
      <c r="R79" t="s">
        <v>373</v>
      </c>
      <c r="S79" t="s">
        <v>8</v>
      </c>
      <c r="T79" t="s">
        <v>1662</v>
      </c>
      <c r="U79" t="s">
        <v>3</v>
      </c>
      <c r="V79" t="s">
        <v>3</v>
      </c>
      <c r="W79" t="s">
        <v>1670</v>
      </c>
      <c r="AA79" t="s">
        <v>8</v>
      </c>
      <c r="AB79" t="s">
        <v>3</v>
      </c>
      <c r="AC79" t="s">
        <v>3</v>
      </c>
      <c r="AD79" t="s">
        <v>8</v>
      </c>
      <c r="AE79" t="s">
        <v>67</v>
      </c>
      <c r="AF79" t="s">
        <v>1671</v>
      </c>
    </row>
    <row r="80" spans="1:32" x14ac:dyDescent="0.45">
      <c r="A80" t="s">
        <v>1672</v>
      </c>
      <c r="B80" t="s">
        <v>1673</v>
      </c>
      <c r="C80" t="s">
        <v>1674</v>
      </c>
      <c r="D80" t="s">
        <v>1673</v>
      </c>
      <c r="H80" t="s">
        <v>1668</v>
      </c>
      <c r="I80" t="s">
        <v>1669</v>
      </c>
      <c r="J80" t="s">
        <v>8</v>
      </c>
      <c r="K80" t="s">
        <v>3</v>
      </c>
      <c r="L80" t="s">
        <v>3</v>
      </c>
      <c r="M80" t="s">
        <v>373</v>
      </c>
      <c r="N80" t="s">
        <v>3</v>
      </c>
      <c r="O80" t="s">
        <v>3</v>
      </c>
      <c r="P80" t="s">
        <v>3</v>
      </c>
      <c r="Q80" t="s">
        <v>67</v>
      </c>
      <c r="R80" t="s">
        <v>373</v>
      </c>
      <c r="S80" t="s">
        <v>8</v>
      </c>
      <c r="T80" t="s">
        <v>1672</v>
      </c>
      <c r="U80" t="s">
        <v>3</v>
      </c>
      <c r="V80" t="s">
        <v>3</v>
      </c>
      <c r="W80" t="s">
        <v>203</v>
      </c>
      <c r="AA80" t="s">
        <v>8</v>
      </c>
      <c r="AB80" t="s">
        <v>3</v>
      </c>
      <c r="AC80" t="s">
        <v>3</v>
      </c>
      <c r="AD80" t="s">
        <v>8</v>
      </c>
      <c r="AE80" t="s">
        <v>62</v>
      </c>
      <c r="AF80" t="s">
        <v>1675</v>
      </c>
    </row>
    <row r="81" spans="1:32" x14ac:dyDescent="0.45">
      <c r="A81" t="s">
        <v>1676</v>
      </c>
      <c r="B81" t="s">
        <v>1677</v>
      </c>
      <c r="C81" t="s">
        <v>1678</v>
      </c>
      <c r="D81" t="s">
        <v>1677</v>
      </c>
      <c r="H81" t="s">
        <v>1668</v>
      </c>
      <c r="I81" t="s">
        <v>1669</v>
      </c>
      <c r="J81" t="s">
        <v>8</v>
      </c>
      <c r="K81" t="s">
        <v>3</v>
      </c>
      <c r="L81" t="s">
        <v>3</v>
      </c>
      <c r="M81" t="s">
        <v>373</v>
      </c>
      <c r="N81" t="s">
        <v>3</v>
      </c>
      <c r="O81" t="s">
        <v>3</v>
      </c>
      <c r="P81" t="s">
        <v>3</v>
      </c>
      <c r="Q81" t="s">
        <v>67</v>
      </c>
      <c r="R81" t="s">
        <v>373</v>
      </c>
      <c r="S81" t="s">
        <v>8</v>
      </c>
      <c r="T81" t="s">
        <v>1676</v>
      </c>
      <c r="U81" t="s">
        <v>3</v>
      </c>
      <c r="V81" t="s">
        <v>3</v>
      </c>
      <c r="W81" t="s">
        <v>203</v>
      </c>
      <c r="AA81" t="s">
        <v>8</v>
      </c>
      <c r="AB81" t="s">
        <v>3</v>
      </c>
      <c r="AC81" t="s">
        <v>3</v>
      </c>
      <c r="AD81" t="s">
        <v>8</v>
      </c>
      <c r="AE81" t="s">
        <v>62</v>
      </c>
      <c r="AF81" t="s">
        <v>1679</v>
      </c>
    </row>
    <row r="82" spans="1:32" x14ac:dyDescent="0.45">
      <c r="A82" t="s">
        <v>811</v>
      </c>
      <c r="B82" t="s">
        <v>1680</v>
      </c>
      <c r="C82" t="s">
        <v>1681</v>
      </c>
      <c r="D82" t="s">
        <v>1680</v>
      </c>
      <c r="E82" t="s">
        <v>1666</v>
      </c>
      <c r="F82" t="s">
        <v>1682</v>
      </c>
      <c r="H82" t="s">
        <v>1668</v>
      </c>
      <c r="I82" t="s">
        <v>1669</v>
      </c>
      <c r="J82" t="s">
        <v>8</v>
      </c>
      <c r="K82" t="s">
        <v>3</v>
      </c>
      <c r="L82" t="s">
        <v>3</v>
      </c>
      <c r="M82" t="s">
        <v>373</v>
      </c>
      <c r="N82" t="s">
        <v>3</v>
      </c>
      <c r="O82" t="s">
        <v>3</v>
      </c>
      <c r="P82" t="s">
        <v>3</v>
      </c>
      <c r="Q82" t="s">
        <v>67</v>
      </c>
      <c r="R82" t="s">
        <v>373</v>
      </c>
      <c r="S82" t="s">
        <v>8</v>
      </c>
      <c r="T82" t="s">
        <v>811</v>
      </c>
      <c r="U82" t="s">
        <v>3</v>
      </c>
      <c r="V82" t="s">
        <v>3</v>
      </c>
      <c r="W82" t="s">
        <v>1670</v>
      </c>
      <c r="AA82" t="s">
        <v>8</v>
      </c>
      <c r="AB82" t="s">
        <v>3</v>
      </c>
      <c r="AC82" t="s">
        <v>3</v>
      </c>
      <c r="AD82" t="s">
        <v>8</v>
      </c>
      <c r="AE82" t="s">
        <v>67</v>
      </c>
      <c r="AF82" t="s">
        <v>1683</v>
      </c>
    </row>
    <row r="83" spans="1:32" x14ac:dyDescent="0.45">
      <c r="A83" t="s">
        <v>1684</v>
      </c>
      <c r="B83" t="s">
        <v>1685</v>
      </c>
      <c r="C83" t="s">
        <v>1686</v>
      </c>
      <c r="D83" t="s">
        <v>1687</v>
      </c>
      <c r="H83" t="s">
        <v>1668</v>
      </c>
      <c r="I83" t="s">
        <v>1669</v>
      </c>
      <c r="J83" t="s">
        <v>8</v>
      </c>
      <c r="K83" t="s">
        <v>3</v>
      </c>
      <c r="L83" t="s">
        <v>3</v>
      </c>
      <c r="M83" t="s">
        <v>373</v>
      </c>
      <c r="N83" t="s">
        <v>3</v>
      </c>
      <c r="O83" t="s">
        <v>3</v>
      </c>
      <c r="P83" t="s">
        <v>3</v>
      </c>
      <c r="Q83" t="s">
        <v>67</v>
      </c>
      <c r="R83" t="s">
        <v>373</v>
      </c>
      <c r="S83" t="s">
        <v>8</v>
      </c>
      <c r="T83" t="s">
        <v>1684</v>
      </c>
      <c r="U83" t="s">
        <v>3</v>
      </c>
      <c r="V83" t="s">
        <v>3</v>
      </c>
      <c r="W83" t="s">
        <v>203</v>
      </c>
      <c r="AA83" t="s">
        <v>8</v>
      </c>
      <c r="AB83" t="s">
        <v>3</v>
      </c>
      <c r="AC83" t="s">
        <v>3</v>
      </c>
      <c r="AD83" t="s">
        <v>8</v>
      </c>
      <c r="AE83" t="s">
        <v>67</v>
      </c>
      <c r="AF83" t="s">
        <v>1688</v>
      </c>
    </row>
    <row r="84" spans="1:32" x14ac:dyDescent="0.45">
      <c r="A84" t="s">
        <v>70</v>
      </c>
      <c r="B84" t="s">
        <v>1689</v>
      </c>
      <c r="C84" t="s">
        <v>1690</v>
      </c>
      <c r="D84" t="s">
        <v>1691</v>
      </c>
      <c r="E84" t="s">
        <v>1666</v>
      </c>
      <c r="F84" t="s">
        <v>1667</v>
      </c>
      <c r="H84" t="s">
        <v>1668</v>
      </c>
      <c r="I84" t="s">
        <v>1669</v>
      </c>
      <c r="J84" t="s">
        <v>8</v>
      </c>
      <c r="K84" t="s">
        <v>3</v>
      </c>
      <c r="L84" t="s">
        <v>3</v>
      </c>
      <c r="M84" t="s">
        <v>373</v>
      </c>
      <c r="N84" t="s">
        <v>3</v>
      </c>
      <c r="O84" t="s">
        <v>3</v>
      </c>
      <c r="P84" t="s">
        <v>3</v>
      </c>
      <c r="Q84" t="s">
        <v>67</v>
      </c>
      <c r="R84" t="s">
        <v>373</v>
      </c>
      <c r="S84" t="s">
        <v>8</v>
      </c>
      <c r="T84" t="s">
        <v>70</v>
      </c>
      <c r="U84" t="s">
        <v>3</v>
      </c>
      <c r="V84" t="s">
        <v>3</v>
      </c>
      <c r="W84" t="s">
        <v>1670</v>
      </c>
      <c r="X84" t="s">
        <v>1634</v>
      </c>
      <c r="Y84" t="s">
        <v>1635</v>
      </c>
      <c r="AA84" t="s">
        <v>8</v>
      </c>
      <c r="AB84" t="s">
        <v>3</v>
      </c>
      <c r="AC84" t="s">
        <v>3</v>
      </c>
      <c r="AD84" t="s">
        <v>8</v>
      </c>
      <c r="AE84" t="s">
        <v>67</v>
      </c>
      <c r="AF84" t="s">
        <v>1692</v>
      </c>
    </row>
    <row r="85" spans="1:32" x14ac:dyDescent="0.45">
      <c r="A85" t="s">
        <v>1693</v>
      </c>
      <c r="B85" t="s">
        <v>1694</v>
      </c>
      <c r="C85" t="s">
        <v>1695</v>
      </c>
      <c r="D85" t="s">
        <v>1696</v>
      </c>
      <c r="E85" t="s">
        <v>1666</v>
      </c>
      <c r="F85" t="s">
        <v>1667</v>
      </c>
      <c r="H85" t="s">
        <v>1668</v>
      </c>
      <c r="I85" t="s">
        <v>1669</v>
      </c>
      <c r="J85" t="s">
        <v>8</v>
      </c>
      <c r="K85" t="s">
        <v>3</v>
      </c>
      <c r="L85" t="s">
        <v>3</v>
      </c>
      <c r="M85" t="s">
        <v>373</v>
      </c>
      <c r="N85" t="s">
        <v>3</v>
      </c>
      <c r="O85" t="s">
        <v>3</v>
      </c>
      <c r="P85" t="s">
        <v>3</v>
      </c>
      <c r="Q85" t="s">
        <v>67</v>
      </c>
      <c r="R85" t="s">
        <v>373</v>
      </c>
      <c r="S85" t="s">
        <v>8</v>
      </c>
      <c r="T85" t="s">
        <v>1693</v>
      </c>
      <c r="U85" t="s">
        <v>3</v>
      </c>
      <c r="V85" t="s">
        <v>3</v>
      </c>
      <c r="W85" t="s">
        <v>1670</v>
      </c>
      <c r="AA85" t="s">
        <v>8</v>
      </c>
      <c r="AB85" t="s">
        <v>3</v>
      </c>
      <c r="AC85" t="s">
        <v>3</v>
      </c>
      <c r="AD85" t="s">
        <v>8</v>
      </c>
      <c r="AE85" t="s">
        <v>67</v>
      </c>
      <c r="AF85" t="s">
        <v>1697</v>
      </c>
    </row>
    <row r="86" spans="1:32" x14ac:dyDescent="0.45">
      <c r="A86" t="s">
        <v>1024</v>
      </c>
      <c r="B86" t="s">
        <v>1698</v>
      </c>
      <c r="C86" t="s">
        <v>1699</v>
      </c>
      <c r="D86" t="s">
        <v>1700</v>
      </c>
      <c r="E86" t="s">
        <v>1701</v>
      </c>
      <c r="F86" t="s">
        <v>1702</v>
      </c>
      <c r="H86" t="s">
        <v>1703</v>
      </c>
      <c r="I86" t="s">
        <v>1704</v>
      </c>
      <c r="J86" t="s">
        <v>8</v>
      </c>
      <c r="K86" t="s">
        <v>3</v>
      </c>
      <c r="L86" t="s">
        <v>3</v>
      </c>
      <c r="M86" t="s">
        <v>373</v>
      </c>
      <c r="N86" t="s">
        <v>3</v>
      </c>
      <c r="O86" t="s">
        <v>3</v>
      </c>
      <c r="P86" t="s">
        <v>3</v>
      </c>
      <c r="Q86" t="s">
        <v>67</v>
      </c>
      <c r="R86" t="s">
        <v>373</v>
      </c>
      <c r="S86" t="s">
        <v>8</v>
      </c>
      <c r="T86" t="s">
        <v>1024</v>
      </c>
      <c r="U86" t="s">
        <v>3</v>
      </c>
      <c r="V86" t="s">
        <v>3</v>
      </c>
      <c r="W86" t="s">
        <v>538</v>
      </c>
      <c r="AA86" t="s">
        <v>8</v>
      </c>
      <c r="AB86" t="s">
        <v>3</v>
      </c>
      <c r="AC86" t="s">
        <v>3</v>
      </c>
      <c r="AD86" t="s">
        <v>8</v>
      </c>
      <c r="AE86" t="s">
        <v>67</v>
      </c>
      <c r="AF86" t="s">
        <v>1705</v>
      </c>
    </row>
    <row r="87" spans="1:32" x14ac:dyDescent="0.45">
      <c r="A87" t="s">
        <v>1027</v>
      </c>
      <c r="B87" t="s">
        <v>1706</v>
      </c>
      <c r="C87" t="s">
        <v>1707</v>
      </c>
      <c r="D87" t="s">
        <v>1706</v>
      </c>
      <c r="H87" t="s">
        <v>1703</v>
      </c>
      <c r="I87" t="s">
        <v>1704</v>
      </c>
      <c r="J87" t="s">
        <v>8</v>
      </c>
      <c r="K87" t="s">
        <v>3</v>
      </c>
      <c r="L87" t="s">
        <v>3</v>
      </c>
      <c r="M87" t="s">
        <v>373</v>
      </c>
      <c r="N87" t="s">
        <v>3</v>
      </c>
      <c r="O87" t="s">
        <v>3</v>
      </c>
      <c r="P87" t="s">
        <v>3</v>
      </c>
      <c r="Q87" t="s">
        <v>67</v>
      </c>
      <c r="R87" t="s">
        <v>373</v>
      </c>
      <c r="S87" t="s">
        <v>8</v>
      </c>
      <c r="T87" t="s">
        <v>1027</v>
      </c>
      <c r="U87" t="s">
        <v>3</v>
      </c>
      <c r="V87" t="s">
        <v>3</v>
      </c>
      <c r="W87" t="s">
        <v>148</v>
      </c>
      <c r="AA87" t="s">
        <v>8</v>
      </c>
      <c r="AB87" t="s">
        <v>3</v>
      </c>
      <c r="AC87" t="s">
        <v>3</v>
      </c>
      <c r="AD87" t="s">
        <v>8</v>
      </c>
      <c r="AE87" t="s">
        <v>62</v>
      </c>
      <c r="AF87" t="s">
        <v>1708</v>
      </c>
    </row>
    <row r="88" spans="1:32" x14ac:dyDescent="0.45">
      <c r="A88" t="s">
        <v>1030</v>
      </c>
      <c r="B88" t="s">
        <v>1709</v>
      </c>
      <c r="C88" t="s">
        <v>1710</v>
      </c>
      <c r="D88" t="s">
        <v>1709</v>
      </c>
      <c r="H88" t="s">
        <v>1703</v>
      </c>
      <c r="I88" t="s">
        <v>1704</v>
      </c>
      <c r="J88" t="s">
        <v>8</v>
      </c>
      <c r="K88" t="s">
        <v>3</v>
      </c>
      <c r="L88" t="s">
        <v>3</v>
      </c>
      <c r="M88" t="s">
        <v>373</v>
      </c>
      <c r="N88" t="s">
        <v>3</v>
      </c>
      <c r="O88" t="s">
        <v>3</v>
      </c>
      <c r="P88" t="s">
        <v>3</v>
      </c>
      <c r="Q88" t="s">
        <v>67</v>
      </c>
      <c r="R88" t="s">
        <v>373</v>
      </c>
      <c r="S88" t="s">
        <v>8</v>
      </c>
      <c r="T88" t="s">
        <v>1030</v>
      </c>
      <c r="U88" t="s">
        <v>3</v>
      </c>
      <c r="V88" t="s">
        <v>3</v>
      </c>
      <c r="W88" t="s">
        <v>148</v>
      </c>
      <c r="AA88" t="s">
        <v>8</v>
      </c>
      <c r="AB88" t="s">
        <v>3</v>
      </c>
      <c r="AC88" t="s">
        <v>3</v>
      </c>
      <c r="AD88" t="s">
        <v>8</v>
      </c>
      <c r="AE88" t="s">
        <v>62</v>
      </c>
      <c r="AF88" t="s">
        <v>1711</v>
      </c>
    </row>
    <row r="89" spans="1:32" x14ac:dyDescent="0.45">
      <c r="A89" t="s">
        <v>494</v>
      </c>
      <c r="B89" t="s">
        <v>1712</v>
      </c>
      <c r="C89" t="s">
        <v>1713</v>
      </c>
      <c r="D89" t="s">
        <v>1712</v>
      </c>
      <c r="H89" t="s">
        <v>1703</v>
      </c>
      <c r="I89" t="s">
        <v>1704</v>
      </c>
      <c r="J89" t="s">
        <v>8</v>
      </c>
      <c r="K89" t="s">
        <v>3</v>
      </c>
      <c r="L89" t="s">
        <v>3</v>
      </c>
      <c r="M89" t="s">
        <v>373</v>
      </c>
      <c r="N89" t="s">
        <v>3</v>
      </c>
      <c r="O89" t="s">
        <v>3</v>
      </c>
      <c r="P89" t="s">
        <v>3</v>
      </c>
      <c r="Q89" t="s">
        <v>67</v>
      </c>
      <c r="R89" t="s">
        <v>373</v>
      </c>
      <c r="S89" t="s">
        <v>8</v>
      </c>
      <c r="T89" t="s">
        <v>494</v>
      </c>
      <c r="U89" t="s">
        <v>3</v>
      </c>
      <c r="V89" t="s">
        <v>3</v>
      </c>
      <c r="W89" t="s">
        <v>148</v>
      </c>
      <c r="AA89" t="s">
        <v>8</v>
      </c>
      <c r="AB89" t="s">
        <v>3</v>
      </c>
      <c r="AC89" t="s">
        <v>3</v>
      </c>
      <c r="AD89" t="s">
        <v>8</v>
      </c>
      <c r="AE89" t="s">
        <v>67</v>
      </c>
      <c r="AF89" t="s">
        <v>1714</v>
      </c>
    </row>
    <row r="90" spans="1:32" x14ac:dyDescent="0.45">
      <c r="A90" t="s">
        <v>1033</v>
      </c>
      <c r="B90" t="s">
        <v>1715</v>
      </c>
      <c r="C90" t="s">
        <v>1716</v>
      </c>
      <c r="D90" t="s">
        <v>1717</v>
      </c>
      <c r="H90" t="s">
        <v>1703</v>
      </c>
      <c r="I90" t="s">
        <v>1704</v>
      </c>
      <c r="J90" t="s">
        <v>8</v>
      </c>
      <c r="K90" t="s">
        <v>3</v>
      </c>
      <c r="L90" t="s">
        <v>3</v>
      </c>
      <c r="M90" t="s">
        <v>373</v>
      </c>
      <c r="N90" t="s">
        <v>3</v>
      </c>
      <c r="O90" t="s">
        <v>3</v>
      </c>
      <c r="P90" t="s">
        <v>3</v>
      </c>
      <c r="Q90" t="s">
        <v>67</v>
      </c>
      <c r="R90" t="s">
        <v>373</v>
      </c>
      <c r="S90" t="s">
        <v>8</v>
      </c>
      <c r="T90" t="s">
        <v>1033</v>
      </c>
      <c r="U90" t="s">
        <v>3</v>
      </c>
      <c r="V90" t="s">
        <v>3</v>
      </c>
      <c r="W90" t="s">
        <v>148</v>
      </c>
      <c r="AA90" t="s">
        <v>8</v>
      </c>
      <c r="AB90" t="s">
        <v>3</v>
      </c>
      <c r="AC90" t="s">
        <v>3</v>
      </c>
      <c r="AD90" t="s">
        <v>8</v>
      </c>
      <c r="AE90" t="s">
        <v>67</v>
      </c>
      <c r="AF90" t="s">
        <v>1718</v>
      </c>
    </row>
    <row r="91" spans="1:32" x14ac:dyDescent="0.45">
      <c r="A91" t="s">
        <v>1036</v>
      </c>
      <c r="B91" t="s">
        <v>1719</v>
      </c>
      <c r="C91" t="s">
        <v>1720</v>
      </c>
      <c r="D91" t="s">
        <v>1719</v>
      </c>
      <c r="E91" t="s">
        <v>1701</v>
      </c>
      <c r="F91" t="s">
        <v>1702</v>
      </c>
      <c r="H91" t="s">
        <v>1703</v>
      </c>
      <c r="I91" t="s">
        <v>1704</v>
      </c>
      <c r="J91" t="s">
        <v>8</v>
      </c>
      <c r="K91" t="s">
        <v>3</v>
      </c>
      <c r="L91" t="s">
        <v>3</v>
      </c>
      <c r="M91" t="s">
        <v>373</v>
      </c>
      <c r="N91" t="s">
        <v>3</v>
      </c>
      <c r="O91" t="s">
        <v>3</v>
      </c>
      <c r="P91" t="s">
        <v>3</v>
      </c>
      <c r="Q91" t="s">
        <v>67</v>
      </c>
      <c r="R91" t="s">
        <v>373</v>
      </c>
      <c r="S91" t="s">
        <v>8</v>
      </c>
      <c r="T91" t="s">
        <v>1036</v>
      </c>
      <c r="U91" t="s">
        <v>3</v>
      </c>
      <c r="V91" t="s">
        <v>3</v>
      </c>
      <c r="W91" t="s">
        <v>538</v>
      </c>
      <c r="AA91" t="s">
        <v>8</v>
      </c>
      <c r="AB91" t="s">
        <v>3</v>
      </c>
      <c r="AC91" t="s">
        <v>3</v>
      </c>
      <c r="AD91" t="s">
        <v>8</v>
      </c>
      <c r="AE91" t="s">
        <v>67</v>
      </c>
      <c r="AF91" t="s">
        <v>1721</v>
      </c>
    </row>
    <row r="92" spans="1:32" x14ac:dyDescent="0.45">
      <c r="A92" t="s">
        <v>1039</v>
      </c>
      <c r="B92" t="s">
        <v>1722</v>
      </c>
      <c r="C92" t="s">
        <v>1723</v>
      </c>
      <c r="D92" t="s">
        <v>1724</v>
      </c>
      <c r="E92" t="s">
        <v>1701</v>
      </c>
      <c r="F92" t="s">
        <v>1702</v>
      </c>
      <c r="H92" t="s">
        <v>1703</v>
      </c>
      <c r="I92" t="s">
        <v>1704</v>
      </c>
      <c r="J92" t="s">
        <v>8</v>
      </c>
      <c r="K92" t="s">
        <v>3</v>
      </c>
      <c r="L92" t="s">
        <v>3</v>
      </c>
      <c r="M92" t="s">
        <v>373</v>
      </c>
      <c r="N92" t="s">
        <v>3</v>
      </c>
      <c r="O92" t="s">
        <v>3</v>
      </c>
      <c r="P92" t="s">
        <v>3</v>
      </c>
      <c r="Q92" t="s">
        <v>67</v>
      </c>
      <c r="R92" t="s">
        <v>373</v>
      </c>
      <c r="S92" t="s">
        <v>8</v>
      </c>
      <c r="T92" t="s">
        <v>1039</v>
      </c>
      <c r="U92" t="s">
        <v>3</v>
      </c>
      <c r="V92" t="s">
        <v>3</v>
      </c>
      <c r="W92" t="s">
        <v>538</v>
      </c>
      <c r="X92" t="s">
        <v>1634</v>
      </c>
      <c r="Y92" t="s">
        <v>1635</v>
      </c>
      <c r="Z92" t="s">
        <v>1552</v>
      </c>
      <c r="AA92" t="s">
        <v>8</v>
      </c>
      <c r="AB92" t="s">
        <v>3</v>
      </c>
      <c r="AC92" t="s">
        <v>3</v>
      </c>
      <c r="AD92" t="s">
        <v>8</v>
      </c>
      <c r="AE92" t="s">
        <v>67</v>
      </c>
      <c r="AF92" t="s">
        <v>1725</v>
      </c>
    </row>
    <row r="93" spans="1:32" x14ac:dyDescent="0.45">
      <c r="A93" t="s">
        <v>1042</v>
      </c>
      <c r="B93" t="s">
        <v>1726</v>
      </c>
      <c r="C93" t="s">
        <v>1727</v>
      </c>
      <c r="D93" t="s">
        <v>1728</v>
      </c>
      <c r="E93" t="s">
        <v>1701</v>
      </c>
      <c r="F93" t="s">
        <v>1702</v>
      </c>
      <c r="H93" t="s">
        <v>1703</v>
      </c>
      <c r="I93" t="s">
        <v>1704</v>
      </c>
      <c r="J93" t="s">
        <v>8</v>
      </c>
      <c r="K93" t="s">
        <v>3</v>
      </c>
      <c r="L93" t="s">
        <v>3</v>
      </c>
      <c r="M93" t="s">
        <v>373</v>
      </c>
      <c r="N93" t="s">
        <v>3</v>
      </c>
      <c r="O93" t="s">
        <v>3</v>
      </c>
      <c r="P93" t="s">
        <v>3</v>
      </c>
      <c r="Q93" t="s">
        <v>67</v>
      </c>
      <c r="R93" t="s">
        <v>373</v>
      </c>
      <c r="S93" t="s">
        <v>8</v>
      </c>
      <c r="T93" t="s">
        <v>1042</v>
      </c>
      <c r="U93" t="s">
        <v>3</v>
      </c>
      <c r="V93" t="s">
        <v>3</v>
      </c>
      <c r="W93" t="s">
        <v>538</v>
      </c>
      <c r="AA93" t="s">
        <v>8</v>
      </c>
      <c r="AB93" t="s">
        <v>3</v>
      </c>
      <c r="AC93" t="s">
        <v>3</v>
      </c>
      <c r="AD93" t="s">
        <v>8</v>
      </c>
      <c r="AE93" t="s">
        <v>67</v>
      </c>
      <c r="AF93" t="s">
        <v>1729</v>
      </c>
    </row>
    <row r="94" spans="1:32" x14ac:dyDescent="0.45">
      <c r="A94" t="s">
        <v>1730</v>
      </c>
      <c r="B94" t="s">
        <v>1731</v>
      </c>
      <c r="C94" t="s">
        <v>1732</v>
      </c>
      <c r="D94" t="s">
        <v>1733</v>
      </c>
      <c r="E94" t="s">
        <v>1734</v>
      </c>
      <c r="F94" t="s">
        <v>1735</v>
      </c>
      <c r="H94" t="s">
        <v>1736</v>
      </c>
      <c r="I94" t="s">
        <v>1737</v>
      </c>
      <c r="J94" t="s">
        <v>8</v>
      </c>
      <c r="K94" t="s">
        <v>3</v>
      </c>
      <c r="L94" t="s">
        <v>3</v>
      </c>
      <c r="M94" t="s">
        <v>373</v>
      </c>
      <c r="N94" t="s">
        <v>3</v>
      </c>
      <c r="O94" t="s">
        <v>3</v>
      </c>
      <c r="P94" t="s">
        <v>3</v>
      </c>
      <c r="Q94" t="s">
        <v>67</v>
      </c>
      <c r="R94" t="s">
        <v>373</v>
      </c>
      <c r="S94" t="s">
        <v>8</v>
      </c>
      <c r="T94" t="s">
        <v>1730</v>
      </c>
      <c r="U94" t="s">
        <v>3</v>
      </c>
      <c r="V94" t="s">
        <v>3</v>
      </c>
      <c r="W94" t="s">
        <v>1738</v>
      </c>
      <c r="AA94" t="s">
        <v>8</v>
      </c>
      <c r="AB94" t="s">
        <v>3</v>
      </c>
      <c r="AC94" t="s">
        <v>3</v>
      </c>
      <c r="AD94" t="s">
        <v>8</v>
      </c>
      <c r="AE94" t="s">
        <v>67</v>
      </c>
      <c r="AF94" t="s">
        <v>1739</v>
      </c>
    </row>
    <row r="95" spans="1:32" x14ac:dyDescent="0.45">
      <c r="A95" t="s">
        <v>1740</v>
      </c>
      <c r="B95" t="s">
        <v>1741</v>
      </c>
      <c r="C95" t="s">
        <v>1742</v>
      </c>
      <c r="D95" t="s">
        <v>1741</v>
      </c>
      <c r="H95" t="s">
        <v>1736</v>
      </c>
      <c r="I95" t="s">
        <v>1737</v>
      </c>
      <c r="J95" t="s">
        <v>8</v>
      </c>
      <c r="K95" t="s">
        <v>3</v>
      </c>
      <c r="L95" t="s">
        <v>3</v>
      </c>
      <c r="M95" t="s">
        <v>373</v>
      </c>
      <c r="N95" t="s">
        <v>3</v>
      </c>
      <c r="O95" t="s">
        <v>3</v>
      </c>
      <c r="P95" t="s">
        <v>3</v>
      </c>
      <c r="Q95" t="s">
        <v>67</v>
      </c>
      <c r="R95" t="s">
        <v>373</v>
      </c>
      <c r="S95" t="s">
        <v>8</v>
      </c>
      <c r="T95" t="s">
        <v>1740</v>
      </c>
      <c r="U95" t="s">
        <v>3</v>
      </c>
      <c r="V95" t="s">
        <v>3</v>
      </c>
      <c r="W95" t="s">
        <v>1743</v>
      </c>
      <c r="AA95" t="s">
        <v>8</v>
      </c>
      <c r="AB95" t="s">
        <v>3</v>
      </c>
      <c r="AC95" t="s">
        <v>3</v>
      </c>
      <c r="AD95" t="s">
        <v>8</v>
      </c>
      <c r="AE95" t="s">
        <v>62</v>
      </c>
      <c r="AF95" t="s">
        <v>1744</v>
      </c>
    </row>
    <row r="96" spans="1:32" x14ac:dyDescent="0.45">
      <c r="A96" t="s">
        <v>1004</v>
      </c>
      <c r="B96" t="s">
        <v>1745</v>
      </c>
      <c r="C96" t="s">
        <v>1746</v>
      </c>
      <c r="D96" t="s">
        <v>1745</v>
      </c>
      <c r="H96" t="s">
        <v>1736</v>
      </c>
      <c r="I96" t="s">
        <v>1737</v>
      </c>
      <c r="J96" t="s">
        <v>8</v>
      </c>
      <c r="K96" t="s">
        <v>3</v>
      </c>
      <c r="L96" t="s">
        <v>3</v>
      </c>
      <c r="M96" t="s">
        <v>373</v>
      </c>
      <c r="N96" t="s">
        <v>3</v>
      </c>
      <c r="O96" t="s">
        <v>3</v>
      </c>
      <c r="P96" t="s">
        <v>3</v>
      </c>
      <c r="Q96" t="s">
        <v>67</v>
      </c>
      <c r="R96" t="s">
        <v>373</v>
      </c>
      <c r="S96" t="s">
        <v>8</v>
      </c>
      <c r="T96" t="s">
        <v>1004</v>
      </c>
      <c r="U96" t="s">
        <v>3</v>
      </c>
      <c r="V96" t="s">
        <v>3</v>
      </c>
      <c r="W96" t="s">
        <v>1743</v>
      </c>
      <c r="AA96" t="s">
        <v>8</v>
      </c>
      <c r="AB96" t="s">
        <v>3</v>
      </c>
      <c r="AC96" t="s">
        <v>3</v>
      </c>
      <c r="AD96" t="s">
        <v>8</v>
      </c>
      <c r="AE96" t="s">
        <v>62</v>
      </c>
      <c r="AF96" t="s">
        <v>1747</v>
      </c>
    </row>
    <row r="97" spans="1:32" x14ac:dyDescent="0.45">
      <c r="A97" t="s">
        <v>915</v>
      </c>
      <c r="B97" t="s">
        <v>1748</v>
      </c>
      <c r="C97" t="s">
        <v>1749</v>
      </c>
      <c r="D97" t="s">
        <v>1750</v>
      </c>
      <c r="J97" t="s">
        <v>8</v>
      </c>
      <c r="K97" t="s">
        <v>3</v>
      </c>
      <c r="L97" t="s">
        <v>3</v>
      </c>
      <c r="M97" t="s">
        <v>373</v>
      </c>
      <c r="N97" t="s">
        <v>3</v>
      </c>
      <c r="O97" t="s">
        <v>3</v>
      </c>
      <c r="P97" t="s">
        <v>3</v>
      </c>
      <c r="Q97" t="s">
        <v>67</v>
      </c>
      <c r="R97" t="s">
        <v>373</v>
      </c>
      <c r="S97" t="s">
        <v>8</v>
      </c>
      <c r="T97" t="s">
        <v>915</v>
      </c>
      <c r="U97" t="s">
        <v>3</v>
      </c>
      <c r="V97" t="s">
        <v>3</v>
      </c>
      <c r="W97" t="s">
        <v>1738</v>
      </c>
      <c r="AA97" t="s">
        <v>8</v>
      </c>
      <c r="AB97" t="s">
        <v>3</v>
      </c>
      <c r="AC97" t="s">
        <v>3</v>
      </c>
      <c r="AD97" t="s">
        <v>8</v>
      </c>
      <c r="AE97" t="s">
        <v>67</v>
      </c>
      <c r="AF97" t="s">
        <v>1751</v>
      </c>
    </row>
    <row r="98" spans="1:32" x14ac:dyDescent="0.45">
      <c r="A98" t="s">
        <v>461</v>
      </c>
      <c r="B98" t="s">
        <v>1752</v>
      </c>
      <c r="C98" t="s">
        <v>1753</v>
      </c>
      <c r="D98" t="s">
        <v>1754</v>
      </c>
      <c r="J98" t="s">
        <v>8</v>
      </c>
      <c r="K98" t="s">
        <v>3</v>
      </c>
      <c r="L98" t="s">
        <v>3</v>
      </c>
      <c r="M98" t="s">
        <v>373</v>
      </c>
      <c r="N98" t="s">
        <v>3</v>
      </c>
      <c r="O98" t="s">
        <v>3</v>
      </c>
      <c r="P98" t="s">
        <v>3</v>
      </c>
      <c r="Q98" t="s">
        <v>67</v>
      </c>
      <c r="R98" t="s">
        <v>373</v>
      </c>
      <c r="S98" t="s">
        <v>8</v>
      </c>
      <c r="T98" t="s">
        <v>461</v>
      </c>
      <c r="U98" t="s">
        <v>3</v>
      </c>
      <c r="V98" t="s">
        <v>3</v>
      </c>
      <c r="W98" t="s">
        <v>1738</v>
      </c>
      <c r="AA98" t="s">
        <v>8</v>
      </c>
      <c r="AB98" t="s">
        <v>3</v>
      </c>
      <c r="AC98" t="s">
        <v>3</v>
      </c>
      <c r="AD98" t="s">
        <v>8</v>
      </c>
      <c r="AE98" t="s">
        <v>67</v>
      </c>
      <c r="AF98" t="s">
        <v>1755</v>
      </c>
    </row>
    <row r="99" spans="1:32" x14ac:dyDescent="0.45">
      <c r="A99" t="s">
        <v>1169</v>
      </c>
      <c r="B99" t="s">
        <v>1756</v>
      </c>
      <c r="C99" t="s">
        <v>1757</v>
      </c>
      <c r="D99" t="s">
        <v>1756</v>
      </c>
      <c r="E99" t="s">
        <v>1734</v>
      </c>
      <c r="F99" t="s">
        <v>1735</v>
      </c>
      <c r="H99" t="s">
        <v>1736</v>
      </c>
      <c r="I99" t="s">
        <v>1737</v>
      </c>
      <c r="J99" t="s">
        <v>8</v>
      </c>
      <c r="K99" t="s">
        <v>3</v>
      </c>
      <c r="L99" t="s">
        <v>3</v>
      </c>
      <c r="M99" t="s">
        <v>373</v>
      </c>
      <c r="N99" t="s">
        <v>3</v>
      </c>
      <c r="O99" t="s">
        <v>3</v>
      </c>
      <c r="P99" t="s">
        <v>3</v>
      </c>
      <c r="Q99" t="s">
        <v>67</v>
      </c>
      <c r="R99" t="s">
        <v>373</v>
      </c>
      <c r="S99" t="s">
        <v>8</v>
      </c>
      <c r="T99" t="s">
        <v>1169</v>
      </c>
      <c r="U99" t="s">
        <v>3</v>
      </c>
      <c r="V99" t="s">
        <v>3</v>
      </c>
      <c r="W99" t="s">
        <v>1738</v>
      </c>
      <c r="AA99" t="s">
        <v>8</v>
      </c>
      <c r="AB99" t="s">
        <v>3</v>
      </c>
      <c r="AC99" t="s">
        <v>3</v>
      </c>
      <c r="AD99" t="s">
        <v>8</v>
      </c>
      <c r="AE99" t="s">
        <v>67</v>
      </c>
      <c r="AF99" t="s">
        <v>1758</v>
      </c>
    </row>
    <row r="100" spans="1:32" x14ac:dyDescent="0.45">
      <c r="A100" t="s">
        <v>73</v>
      </c>
      <c r="B100" t="s">
        <v>1759</v>
      </c>
      <c r="C100" t="s">
        <v>1760</v>
      </c>
      <c r="D100" t="s">
        <v>1761</v>
      </c>
      <c r="E100" t="s">
        <v>1734</v>
      </c>
      <c r="F100" t="s">
        <v>1735</v>
      </c>
      <c r="H100" t="s">
        <v>1736</v>
      </c>
      <c r="I100" t="s">
        <v>1737</v>
      </c>
      <c r="J100" t="s">
        <v>8</v>
      </c>
      <c r="K100" t="s">
        <v>3</v>
      </c>
      <c r="L100" t="s">
        <v>3</v>
      </c>
      <c r="M100" t="s">
        <v>373</v>
      </c>
      <c r="N100" t="s">
        <v>3</v>
      </c>
      <c r="O100" t="s">
        <v>3</v>
      </c>
      <c r="P100" t="s">
        <v>3</v>
      </c>
      <c r="Q100" t="s">
        <v>67</v>
      </c>
      <c r="R100" t="s">
        <v>373</v>
      </c>
      <c r="S100" t="s">
        <v>8</v>
      </c>
      <c r="T100" t="s">
        <v>73</v>
      </c>
      <c r="U100" t="s">
        <v>3</v>
      </c>
      <c r="V100" t="s">
        <v>3</v>
      </c>
      <c r="W100" t="s">
        <v>1738</v>
      </c>
      <c r="X100" t="s">
        <v>1634</v>
      </c>
      <c r="Y100" t="s">
        <v>1635</v>
      </c>
      <c r="Z100" t="s">
        <v>1552</v>
      </c>
      <c r="AA100" t="s">
        <v>8</v>
      </c>
      <c r="AB100" t="s">
        <v>3</v>
      </c>
      <c r="AC100" t="s">
        <v>3</v>
      </c>
      <c r="AD100" t="s">
        <v>8</v>
      </c>
      <c r="AE100" t="s">
        <v>67</v>
      </c>
      <c r="AF100" t="s">
        <v>1762</v>
      </c>
    </row>
    <row r="101" spans="1:32" x14ac:dyDescent="0.45">
      <c r="A101" t="s">
        <v>1173</v>
      </c>
      <c r="B101" t="s">
        <v>1763</v>
      </c>
      <c r="C101" t="s">
        <v>1764</v>
      </c>
      <c r="D101" t="s">
        <v>1765</v>
      </c>
      <c r="E101" t="s">
        <v>1734</v>
      </c>
      <c r="F101" t="s">
        <v>1735</v>
      </c>
      <c r="H101" t="s">
        <v>1736</v>
      </c>
      <c r="I101" t="s">
        <v>1737</v>
      </c>
      <c r="J101" t="s">
        <v>8</v>
      </c>
      <c r="K101" t="s">
        <v>3</v>
      </c>
      <c r="L101" t="s">
        <v>3</v>
      </c>
      <c r="M101" t="s">
        <v>373</v>
      </c>
      <c r="N101" t="s">
        <v>3</v>
      </c>
      <c r="O101" t="s">
        <v>3</v>
      </c>
      <c r="P101" t="s">
        <v>3</v>
      </c>
      <c r="Q101" t="s">
        <v>67</v>
      </c>
      <c r="R101" t="s">
        <v>373</v>
      </c>
      <c r="S101" t="s">
        <v>8</v>
      </c>
      <c r="T101" t="s">
        <v>1173</v>
      </c>
      <c r="U101" t="s">
        <v>3</v>
      </c>
      <c r="V101" t="s">
        <v>3</v>
      </c>
      <c r="W101" t="s">
        <v>1738</v>
      </c>
      <c r="AA101" t="s">
        <v>8</v>
      </c>
      <c r="AB101" t="s">
        <v>3</v>
      </c>
      <c r="AC101" t="s">
        <v>3</v>
      </c>
      <c r="AD101" t="s">
        <v>8</v>
      </c>
      <c r="AE101" t="s">
        <v>67</v>
      </c>
      <c r="AF101" t="s">
        <v>1766</v>
      </c>
    </row>
    <row r="102" spans="1:32" x14ac:dyDescent="0.45">
      <c r="A102" t="s">
        <v>1767</v>
      </c>
      <c r="B102" t="s">
        <v>1768</v>
      </c>
      <c r="C102" t="s">
        <v>1769</v>
      </c>
      <c r="D102" t="s">
        <v>1770</v>
      </c>
      <c r="E102" t="s">
        <v>1771</v>
      </c>
      <c r="F102" t="s">
        <v>1772</v>
      </c>
      <c r="H102" t="s">
        <v>1773</v>
      </c>
      <c r="I102" t="s">
        <v>1774</v>
      </c>
      <c r="J102" t="s">
        <v>8</v>
      </c>
      <c r="K102" t="s">
        <v>3</v>
      </c>
      <c r="L102" t="s">
        <v>3</v>
      </c>
      <c r="M102" t="s">
        <v>373</v>
      </c>
      <c r="N102" t="s">
        <v>3</v>
      </c>
      <c r="O102" t="s">
        <v>3</v>
      </c>
      <c r="P102" t="s">
        <v>3</v>
      </c>
      <c r="Q102" t="s">
        <v>67</v>
      </c>
      <c r="R102" t="s">
        <v>373</v>
      </c>
      <c r="S102" t="s">
        <v>8</v>
      </c>
      <c r="T102" t="s">
        <v>1767</v>
      </c>
      <c r="U102" t="s">
        <v>3</v>
      </c>
      <c r="V102" t="s">
        <v>3</v>
      </c>
      <c r="W102" t="s">
        <v>56</v>
      </c>
      <c r="AA102" t="s">
        <v>8</v>
      </c>
      <c r="AB102" t="s">
        <v>3</v>
      </c>
      <c r="AC102" t="s">
        <v>3</v>
      </c>
      <c r="AD102" t="s">
        <v>8</v>
      </c>
      <c r="AE102" t="s">
        <v>67</v>
      </c>
      <c r="AF102" t="s">
        <v>1775</v>
      </c>
    </row>
    <row r="103" spans="1:32" x14ac:dyDescent="0.45">
      <c r="A103" t="s">
        <v>1776</v>
      </c>
      <c r="B103" t="s">
        <v>1777</v>
      </c>
      <c r="C103" t="s">
        <v>1778</v>
      </c>
      <c r="D103" t="s">
        <v>1779</v>
      </c>
      <c r="H103" t="s">
        <v>1773</v>
      </c>
      <c r="I103" t="s">
        <v>1774</v>
      </c>
      <c r="J103" t="s">
        <v>8</v>
      </c>
      <c r="K103" t="s">
        <v>3</v>
      </c>
      <c r="L103" t="s">
        <v>3</v>
      </c>
      <c r="M103" t="s">
        <v>373</v>
      </c>
      <c r="N103" t="s">
        <v>3</v>
      </c>
      <c r="O103" t="s">
        <v>3</v>
      </c>
      <c r="P103" t="s">
        <v>3</v>
      </c>
      <c r="Q103" t="s">
        <v>67</v>
      </c>
      <c r="R103" t="s">
        <v>373</v>
      </c>
      <c r="S103" t="s">
        <v>8</v>
      </c>
      <c r="T103" t="s">
        <v>1776</v>
      </c>
      <c r="U103" t="s">
        <v>3</v>
      </c>
      <c r="V103" t="s">
        <v>3</v>
      </c>
      <c r="W103" t="s">
        <v>147</v>
      </c>
      <c r="AA103" t="s">
        <v>8</v>
      </c>
      <c r="AB103" t="s">
        <v>3</v>
      </c>
      <c r="AC103" t="s">
        <v>3</v>
      </c>
      <c r="AD103" t="s">
        <v>8</v>
      </c>
      <c r="AE103" t="s">
        <v>62</v>
      </c>
      <c r="AF103" t="s">
        <v>1780</v>
      </c>
    </row>
    <row r="104" spans="1:32" x14ac:dyDescent="0.45">
      <c r="A104" t="s">
        <v>1781</v>
      </c>
      <c r="B104" t="s">
        <v>1782</v>
      </c>
      <c r="C104" t="s">
        <v>1783</v>
      </c>
      <c r="D104" t="s">
        <v>1784</v>
      </c>
      <c r="H104" t="s">
        <v>1773</v>
      </c>
      <c r="I104" t="s">
        <v>1774</v>
      </c>
      <c r="J104" t="s">
        <v>8</v>
      </c>
      <c r="K104" t="s">
        <v>3</v>
      </c>
      <c r="L104" t="s">
        <v>3</v>
      </c>
      <c r="M104" t="s">
        <v>373</v>
      </c>
      <c r="N104" t="s">
        <v>3</v>
      </c>
      <c r="O104" t="s">
        <v>3</v>
      </c>
      <c r="P104" t="s">
        <v>3</v>
      </c>
      <c r="Q104" t="s">
        <v>67</v>
      </c>
      <c r="R104" t="s">
        <v>373</v>
      </c>
      <c r="S104" t="s">
        <v>8</v>
      </c>
      <c r="T104" t="s">
        <v>1781</v>
      </c>
      <c r="U104" t="s">
        <v>3</v>
      </c>
      <c r="V104" t="s">
        <v>3</v>
      </c>
      <c r="W104" t="s">
        <v>437</v>
      </c>
      <c r="AA104" t="s">
        <v>8</v>
      </c>
      <c r="AB104" t="s">
        <v>3</v>
      </c>
      <c r="AC104" t="s">
        <v>3</v>
      </c>
      <c r="AD104" t="s">
        <v>8</v>
      </c>
      <c r="AE104" t="s">
        <v>67</v>
      </c>
      <c r="AF104" t="s">
        <v>1785</v>
      </c>
    </row>
    <row r="105" spans="1:32" x14ac:dyDescent="0.45">
      <c r="A105" t="s">
        <v>1786</v>
      </c>
      <c r="B105" t="s">
        <v>1787</v>
      </c>
      <c r="C105" t="s">
        <v>1788</v>
      </c>
      <c r="D105" t="s">
        <v>1789</v>
      </c>
      <c r="H105" t="s">
        <v>1773</v>
      </c>
      <c r="I105" t="s">
        <v>1774</v>
      </c>
      <c r="J105" t="s">
        <v>8</v>
      </c>
      <c r="K105" t="s">
        <v>3</v>
      </c>
      <c r="L105" t="s">
        <v>3</v>
      </c>
      <c r="M105" t="s">
        <v>373</v>
      </c>
      <c r="N105" t="s">
        <v>3</v>
      </c>
      <c r="O105" t="s">
        <v>3</v>
      </c>
      <c r="P105" t="s">
        <v>3</v>
      </c>
      <c r="Q105" t="s">
        <v>67</v>
      </c>
      <c r="R105" t="s">
        <v>373</v>
      </c>
      <c r="S105" t="s">
        <v>8</v>
      </c>
      <c r="T105" t="s">
        <v>1786</v>
      </c>
      <c r="U105" t="s">
        <v>3</v>
      </c>
      <c r="V105" t="s">
        <v>3</v>
      </c>
      <c r="W105" t="s">
        <v>440</v>
      </c>
      <c r="AA105" t="s">
        <v>8</v>
      </c>
      <c r="AB105" t="s">
        <v>3</v>
      </c>
      <c r="AC105" t="s">
        <v>3</v>
      </c>
      <c r="AD105" t="s">
        <v>8</v>
      </c>
      <c r="AE105" t="s">
        <v>67</v>
      </c>
      <c r="AF105" t="s">
        <v>1790</v>
      </c>
    </row>
    <row r="106" spans="1:32" x14ac:dyDescent="0.45">
      <c r="A106" t="s">
        <v>1791</v>
      </c>
      <c r="B106" t="s">
        <v>1792</v>
      </c>
      <c r="C106" t="s">
        <v>1793</v>
      </c>
      <c r="D106" t="s">
        <v>1794</v>
      </c>
      <c r="H106" t="s">
        <v>1773</v>
      </c>
      <c r="I106" t="s">
        <v>1774</v>
      </c>
      <c r="J106" t="s">
        <v>8</v>
      </c>
      <c r="K106" t="s">
        <v>3</v>
      </c>
      <c r="L106" t="s">
        <v>3</v>
      </c>
      <c r="M106" t="s">
        <v>373</v>
      </c>
      <c r="N106" t="s">
        <v>3</v>
      </c>
      <c r="O106" t="s">
        <v>3</v>
      </c>
      <c r="P106" t="s">
        <v>3</v>
      </c>
      <c r="Q106" t="s">
        <v>67</v>
      </c>
      <c r="R106" t="s">
        <v>373</v>
      </c>
      <c r="S106" t="s">
        <v>8</v>
      </c>
      <c r="T106" t="s">
        <v>1791</v>
      </c>
      <c r="U106" t="s">
        <v>3</v>
      </c>
      <c r="V106" t="s">
        <v>3</v>
      </c>
      <c r="W106" t="s">
        <v>147</v>
      </c>
      <c r="AA106" t="s">
        <v>8</v>
      </c>
      <c r="AB106" t="s">
        <v>3</v>
      </c>
      <c r="AC106" t="s">
        <v>3</v>
      </c>
      <c r="AD106" t="s">
        <v>8</v>
      </c>
      <c r="AE106" t="s">
        <v>62</v>
      </c>
      <c r="AF106" t="s">
        <v>1795</v>
      </c>
    </row>
    <row r="107" spans="1:32" x14ac:dyDescent="0.45">
      <c r="A107" t="s">
        <v>1796</v>
      </c>
      <c r="B107" t="s">
        <v>1797</v>
      </c>
      <c r="C107" t="s">
        <v>1798</v>
      </c>
      <c r="D107" t="s">
        <v>1799</v>
      </c>
      <c r="E107" t="s">
        <v>1771</v>
      </c>
      <c r="F107" t="s">
        <v>1772</v>
      </c>
      <c r="H107" t="s">
        <v>1773</v>
      </c>
      <c r="I107" t="s">
        <v>1774</v>
      </c>
      <c r="J107" t="s">
        <v>8</v>
      </c>
      <c r="K107" t="s">
        <v>3</v>
      </c>
      <c r="L107" t="s">
        <v>3</v>
      </c>
      <c r="M107" t="s">
        <v>373</v>
      </c>
      <c r="N107" t="s">
        <v>3</v>
      </c>
      <c r="O107" t="s">
        <v>3</v>
      </c>
      <c r="P107" t="s">
        <v>3</v>
      </c>
      <c r="Q107" t="s">
        <v>67</v>
      </c>
      <c r="R107" t="s">
        <v>373</v>
      </c>
      <c r="S107" t="s">
        <v>8</v>
      </c>
      <c r="T107" t="s">
        <v>1796</v>
      </c>
      <c r="U107" t="s">
        <v>3</v>
      </c>
      <c r="V107" t="s">
        <v>3</v>
      </c>
      <c r="W107" t="s">
        <v>56</v>
      </c>
      <c r="AA107" t="s">
        <v>8</v>
      </c>
      <c r="AB107" t="s">
        <v>3</v>
      </c>
      <c r="AC107" t="s">
        <v>3</v>
      </c>
      <c r="AD107" t="s">
        <v>8</v>
      </c>
      <c r="AE107" t="s">
        <v>62</v>
      </c>
      <c r="AF107" t="s">
        <v>1800</v>
      </c>
    </row>
    <row r="108" spans="1:32" x14ac:dyDescent="0.45">
      <c r="A108" t="s">
        <v>75</v>
      </c>
      <c r="B108" t="s">
        <v>1801</v>
      </c>
      <c r="C108" t="s">
        <v>1802</v>
      </c>
      <c r="D108" t="s">
        <v>1803</v>
      </c>
      <c r="E108" t="s">
        <v>1771</v>
      </c>
      <c r="F108" t="s">
        <v>1772</v>
      </c>
      <c r="H108" t="s">
        <v>1773</v>
      </c>
      <c r="I108" t="s">
        <v>1774</v>
      </c>
      <c r="J108" t="s">
        <v>8</v>
      </c>
      <c r="K108" t="s">
        <v>3</v>
      </c>
      <c r="L108" t="s">
        <v>3</v>
      </c>
      <c r="M108" t="s">
        <v>373</v>
      </c>
      <c r="N108" t="s">
        <v>3</v>
      </c>
      <c r="O108" t="s">
        <v>3</v>
      </c>
      <c r="P108" t="s">
        <v>3</v>
      </c>
      <c r="Q108" t="s">
        <v>67</v>
      </c>
      <c r="R108" t="s">
        <v>373</v>
      </c>
      <c r="S108" t="s">
        <v>8</v>
      </c>
      <c r="T108" t="s">
        <v>75</v>
      </c>
      <c r="U108" t="s">
        <v>3</v>
      </c>
      <c r="V108" t="s">
        <v>3</v>
      </c>
      <c r="W108" t="s">
        <v>56</v>
      </c>
      <c r="X108" t="s">
        <v>1634</v>
      </c>
      <c r="Y108" t="s">
        <v>1635</v>
      </c>
      <c r="Z108" t="s">
        <v>1552</v>
      </c>
      <c r="AA108" t="s">
        <v>8</v>
      </c>
      <c r="AB108" t="s">
        <v>3</v>
      </c>
      <c r="AC108" t="s">
        <v>3</v>
      </c>
      <c r="AD108" t="s">
        <v>8</v>
      </c>
      <c r="AE108" t="s">
        <v>67</v>
      </c>
      <c r="AF108" t="s">
        <v>1804</v>
      </c>
    </row>
    <row r="109" spans="1:32" x14ac:dyDescent="0.45">
      <c r="A109" t="s">
        <v>1805</v>
      </c>
      <c r="B109" t="s">
        <v>1806</v>
      </c>
      <c r="C109" t="s">
        <v>1807</v>
      </c>
      <c r="D109" t="s">
        <v>1808</v>
      </c>
      <c r="E109" t="s">
        <v>1771</v>
      </c>
      <c r="F109" t="s">
        <v>1772</v>
      </c>
      <c r="H109" t="s">
        <v>1773</v>
      </c>
      <c r="I109" t="s">
        <v>1774</v>
      </c>
      <c r="J109" t="s">
        <v>8</v>
      </c>
      <c r="K109" t="s">
        <v>3</v>
      </c>
      <c r="L109" t="s">
        <v>3</v>
      </c>
      <c r="M109" t="s">
        <v>373</v>
      </c>
      <c r="N109" t="s">
        <v>3</v>
      </c>
      <c r="O109" t="s">
        <v>3</v>
      </c>
      <c r="P109" t="s">
        <v>3</v>
      </c>
      <c r="Q109" t="s">
        <v>67</v>
      </c>
      <c r="R109" t="s">
        <v>373</v>
      </c>
      <c r="S109" t="s">
        <v>8</v>
      </c>
      <c r="T109" t="s">
        <v>1805</v>
      </c>
      <c r="U109" t="s">
        <v>3</v>
      </c>
      <c r="V109" t="s">
        <v>3</v>
      </c>
      <c r="W109" t="s">
        <v>56</v>
      </c>
      <c r="AA109" t="s">
        <v>8</v>
      </c>
      <c r="AB109" t="s">
        <v>3</v>
      </c>
      <c r="AC109" t="s">
        <v>3</v>
      </c>
      <c r="AD109" t="s">
        <v>8</v>
      </c>
      <c r="AE109" t="s">
        <v>67</v>
      </c>
      <c r="AF109" t="s">
        <v>1809</v>
      </c>
    </row>
    <row r="110" spans="1:32" x14ac:dyDescent="0.45">
      <c r="A110" t="s">
        <v>1810</v>
      </c>
      <c r="B110" t="s">
        <v>1811</v>
      </c>
      <c r="C110" t="s">
        <v>1812</v>
      </c>
      <c r="D110" t="s">
        <v>1813</v>
      </c>
      <c r="H110" t="s">
        <v>1773</v>
      </c>
      <c r="I110" t="s">
        <v>1774</v>
      </c>
      <c r="J110" t="s">
        <v>8</v>
      </c>
      <c r="K110" t="s">
        <v>3</v>
      </c>
      <c r="L110" t="s">
        <v>3</v>
      </c>
      <c r="M110" t="s">
        <v>373</v>
      </c>
      <c r="N110" t="s">
        <v>3</v>
      </c>
      <c r="O110" t="s">
        <v>3</v>
      </c>
      <c r="P110" t="s">
        <v>3</v>
      </c>
      <c r="Q110" t="s">
        <v>67</v>
      </c>
      <c r="R110" t="s">
        <v>373</v>
      </c>
      <c r="S110" t="s">
        <v>8</v>
      </c>
      <c r="T110" t="s">
        <v>1810</v>
      </c>
      <c r="U110" t="s">
        <v>3</v>
      </c>
      <c r="V110" t="s">
        <v>3</v>
      </c>
      <c r="W110" t="s">
        <v>147</v>
      </c>
      <c r="AA110" t="s">
        <v>8</v>
      </c>
      <c r="AB110" t="s">
        <v>3</v>
      </c>
      <c r="AC110" t="s">
        <v>3</v>
      </c>
      <c r="AD110" t="s">
        <v>8</v>
      </c>
      <c r="AE110" t="s">
        <v>62</v>
      </c>
      <c r="AF110" t="s">
        <v>1814</v>
      </c>
    </row>
    <row r="111" spans="1:32" x14ac:dyDescent="0.45">
      <c r="A111" t="s">
        <v>125</v>
      </c>
      <c r="B111" t="s">
        <v>1815</v>
      </c>
      <c r="C111" t="s">
        <v>1816</v>
      </c>
      <c r="D111" t="s">
        <v>1817</v>
      </c>
      <c r="E111" t="s">
        <v>1818</v>
      </c>
      <c r="F111" t="s">
        <v>1819</v>
      </c>
      <c r="H111" t="s">
        <v>1820</v>
      </c>
      <c r="I111" t="s">
        <v>1821</v>
      </c>
      <c r="J111" t="s">
        <v>8</v>
      </c>
      <c r="K111" t="s">
        <v>3</v>
      </c>
      <c r="L111" t="s">
        <v>3</v>
      </c>
      <c r="M111" t="s">
        <v>373</v>
      </c>
      <c r="N111" t="s">
        <v>3</v>
      </c>
      <c r="O111" t="s">
        <v>3</v>
      </c>
      <c r="P111" t="s">
        <v>3</v>
      </c>
      <c r="Q111" t="s">
        <v>8</v>
      </c>
      <c r="R111" t="s">
        <v>373</v>
      </c>
      <c r="S111" t="s">
        <v>8</v>
      </c>
      <c r="T111" t="s">
        <v>125</v>
      </c>
      <c r="U111" t="s">
        <v>3</v>
      </c>
      <c r="V111" t="s">
        <v>3</v>
      </c>
      <c r="W111" t="s">
        <v>1822</v>
      </c>
      <c r="X111" t="s">
        <v>1634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67</v>
      </c>
      <c r="AF111" t="s">
        <v>1823</v>
      </c>
    </row>
    <row r="112" spans="1:32" x14ac:dyDescent="0.45">
      <c r="A112" t="s">
        <v>127</v>
      </c>
      <c r="B112" t="s">
        <v>38</v>
      </c>
      <c r="C112" t="s">
        <v>1824</v>
      </c>
      <c r="D112" t="s">
        <v>38</v>
      </c>
      <c r="E112" t="s">
        <v>1818</v>
      </c>
      <c r="F112" t="s">
        <v>1819</v>
      </c>
      <c r="H112" t="s">
        <v>1820</v>
      </c>
      <c r="I112" t="s">
        <v>1821</v>
      </c>
      <c r="J112" t="s">
        <v>8</v>
      </c>
      <c r="K112" t="s">
        <v>3</v>
      </c>
      <c r="L112" t="s">
        <v>3</v>
      </c>
      <c r="M112" t="s">
        <v>373</v>
      </c>
      <c r="N112" t="s">
        <v>3</v>
      </c>
      <c r="O112" t="s">
        <v>3</v>
      </c>
      <c r="P112" t="s">
        <v>3</v>
      </c>
      <c r="Q112" t="s">
        <v>8</v>
      </c>
      <c r="R112" t="s">
        <v>373</v>
      </c>
      <c r="S112" t="s">
        <v>8</v>
      </c>
      <c r="T112" t="s">
        <v>127</v>
      </c>
      <c r="U112" t="s">
        <v>3</v>
      </c>
      <c r="V112" t="s">
        <v>3</v>
      </c>
      <c r="W112" t="s">
        <v>1822</v>
      </c>
      <c r="AA112" t="s">
        <v>8</v>
      </c>
      <c r="AB112" t="s">
        <v>8</v>
      </c>
      <c r="AC112" t="s">
        <v>3</v>
      </c>
      <c r="AD112" t="s">
        <v>8</v>
      </c>
      <c r="AE112" t="s">
        <v>62</v>
      </c>
      <c r="AF112" t="s">
        <v>1825</v>
      </c>
    </row>
    <row r="113" spans="1:32" x14ac:dyDescent="0.45">
      <c r="A113" t="s">
        <v>128</v>
      </c>
      <c r="B113" t="s">
        <v>1815</v>
      </c>
      <c r="C113" t="s">
        <v>1816</v>
      </c>
      <c r="D113" t="s">
        <v>1826</v>
      </c>
      <c r="E113" t="s">
        <v>1818</v>
      </c>
      <c r="F113" t="s">
        <v>1819</v>
      </c>
      <c r="H113" t="s">
        <v>1820</v>
      </c>
      <c r="I113" t="s">
        <v>1821</v>
      </c>
      <c r="J113" t="s">
        <v>8</v>
      </c>
      <c r="K113" t="s">
        <v>3</v>
      </c>
      <c r="L113" t="s">
        <v>3</v>
      </c>
      <c r="M113" t="s">
        <v>373</v>
      </c>
      <c r="N113" t="s">
        <v>3</v>
      </c>
      <c r="O113" t="s">
        <v>3</v>
      </c>
      <c r="P113" t="s">
        <v>3</v>
      </c>
      <c r="Q113" t="s">
        <v>8</v>
      </c>
      <c r="R113" t="s">
        <v>373</v>
      </c>
      <c r="S113" t="s">
        <v>8</v>
      </c>
      <c r="T113" t="s">
        <v>128</v>
      </c>
      <c r="U113" t="s">
        <v>3</v>
      </c>
      <c r="V113" t="s">
        <v>3</v>
      </c>
      <c r="W113" t="s">
        <v>1822</v>
      </c>
      <c r="X113" t="s">
        <v>560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67</v>
      </c>
      <c r="AF113" t="s">
        <v>1827</v>
      </c>
    </row>
    <row r="114" spans="1:32" x14ac:dyDescent="0.45">
      <c r="A114" t="s">
        <v>1828</v>
      </c>
      <c r="B114" t="s">
        <v>1815</v>
      </c>
      <c r="C114" t="s">
        <v>1829</v>
      </c>
      <c r="D114" t="s">
        <v>1830</v>
      </c>
      <c r="E114" t="s">
        <v>1818</v>
      </c>
      <c r="F114" t="s">
        <v>1819</v>
      </c>
      <c r="H114" t="s">
        <v>1820</v>
      </c>
      <c r="I114" t="s">
        <v>1821</v>
      </c>
      <c r="J114" t="s">
        <v>8</v>
      </c>
      <c r="K114" t="s">
        <v>3</v>
      </c>
      <c r="L114" t="s">
        <v>3</v>
      </c>
      <c r="M114" t="s">
        <v>373</v>
      </c>
      <c r="N114" t="s">
        <v>3</v>
      </c>
      <c r="O114" t="s">
        <v>3</v>
      </c>
      <c r="P114" t="s">
        <v>3</v>
      </c>
      <c r="Q114" t="s">
        <v>8</v>
      </c>
      <c r="R114" t="s">
        <v>373</v>
      </c>
      <c r="S114" t="s">
        <v>8</v>
      </c>
      <c r="T114" t="s">
        <v>1828</v>
      </c>
      <c r="U114" t="s">
        <v>3</v>
      </c>
      <c r="V114" t="s">
        <v>3</v>
      </c>
      <c r="W114" t="s">
        <v>1822</v>
      </c>
      <c r="AA114" t="s">
        <v>8</v>
      </c>
      <c r="AB114" t="s">
        <v>3</v>
      </c>
      <c r="AC114" t="s">
        <v>3</v>
      </c>
      <c r="AD114" t="s">
        <v>8</v>
      </c>
      <c r="AE114" t="s">
        <v>67</v>
      </c>
      <c r="AF114" t="s">
        <v>1831</v>
      </c>
    </row>
    <row r="115" spans="1:32" x14ac:dyDescent="0.45">
      <c r="A115" t="s">
        <v>1832</v>
      </c>
      <c r="B115" t="s">
        <v>1833</v>
      </c>
      <c r="C115" t="s">
        <v>1834</v>
      </c>
      <c r="D115" t="s">
        <v>1835</v>
      </c>
      <c r="E115" t="s">
        <v>1343</v>
      </c>
      <c r="F115" t="s">
        <v>1836</v>
      </c>
      <c r="H115" t="s">
        <v>1837</v>
      </c>
      <c r="I115" t="s">
        <v>1838</v>
      </c>
      <c r="J115" t="s">
        <v>8</v>
      </c>
      <c r="K115" t="s">
        <v>3</v>
      </c>
      <c r="L115" t="s">
        <v>3</v>
      </c>
      <c r="M115" t="s">
        <v>373</v>
      </c>
      <c r="N115" t="s">
        <v>3</v>
      </c>
      <c r="O115" t="s">
        <v>3</v>
      </c>
      <c r="P115" t="s">
        <v>3</v>
      </c>
      <c r="Q115" t="s">
        <v>8</v>
      </c>
      <c r="R115" t="s">
        <v>373</v>
      </c>
      <c r="S115" t="s">
        <v>8</v>
      </c>
      <c r="T115" t="s">
        <v>1832</v>
      </c>
      <c r="U115" t="s">
        <v>3</v>
      </c>
      <c r="V115" t="s">
        <v>3</v>
      </c>
      <c r="W115" t="s">
        <v>1839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1840</v>
      </c>
    </row>
    <row r="116" spans="1:32" x14ac:dyDescent="0.45">
      <c r="A116" t="s">
        <v>1841</v>
      </c>
      <c r="B116" t="s">
        <v>1842</v>
      </c>
      <c r="C116" t="s">
        <v>1834</v>
      </c>
      <c r="D116" t="s">
        <v>1842</v>
      </c>
      <c r="H116" t="s">
        <v>1837</v>
      </c>
      <c r="I116" t="s">
        <v>1838</v>
      </c>
      <c r="J116" t="s">
        <v>8</v>
      </c>
      <c r="K116" t="s">
        <v>3</v>
      </c>
      <c r="L116" t="s">
        <v>3</v>
      </c>
      <c r="M116" t="s">
        <v>373</v>
      </c>
      <c r="N116" t="s">
        <v>3</v>
      </c>
      <c r="O116" t="s">
        <v>3</v>
      </c>
      <c r="P116" t="s">
        <v>3</v>
      </c>
      <c r="Q116" t="s">
        <v>8</v>
      </c>
      <c r="R116" t="s">
        <v>373</v>
      </c>
      <c r="S116" t="s">
        <v>8</v>
      </c>
      <c r="T116" t="s">
        <v>1841</v>
      </c>
      <c r="U116" t="s">
        <v>3</v>
      </c>
      <c r="V116" t="s">
        <v>3</v>
      </c>
      <c r="W116" t="s">
        <v>1843</v>
      </c>
      <c r="AA116" t="s">
        <v>8</v>
      </c>
      <c r="AB116" t="s">
        <v>8</v>
      </c>
      <c r="AC116" t="s">
        <v>3</v>
      </c>
      <c r="AD116" t="s">
        <v>8</v>
      </c>
      <c r="AE116" t="s">
        <v>67</v>
      </c>
      <c r="AF116" t="s">
        <v>1844</v>
      </c>
    </row>
    <row r="117" spans="1:32" x14ac:dyDescent="0.45">
      <c r="A117" t="s">
        <v>1845</v>
      </c>
      <c r="B117" t="s">
        <v>1846</v>
      </c>
      <c r="C117" t="s">
        <v>1834</v>
      </c>
      <c r="D117" t="s">
        <v>1847</v>
      </c>
      <c r="H117" t="s">
        <v>1837</v>
      </c>
      <c r="I117" t="s">
        <v>1838</v>
      </c>
      <c r="J117" t="s">
        <v>8</v>
      </c>
      <c r="K117" t="s">
        <v>3</v>
      </c>
      <c r="L117" t="s">
        <v>3</v>
      </c>
      <c r="M117" t="s">
        <v>373</v>
      </c>
      <c r="N117" t="s">
        <v>3</v>
      </c>
      <c r="O117" t="s">
        <v>3</v>
      </c>
      <c r="P117" t="s">
        <v>3</v>
      </c>
      <c r="Q117" t="s">
        <v>8</v>
      </c>
      <c r="R117" t="s">
        <v>373</v>
      </c>
      <c r="S117" t="s">
        <v>8</v>
      </c>
      <c r="T117" t="s">
        <v>1845</v>
      </c>
      <c r="U117" t="s">
        <v>3</v>
      </c>
      <c r="V117" t="s">
        <v>3</v>
      </c>
      <c r="W117" t="s">
        <v>1848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1849</v>
      </c>
    </row>
    <row r="118" spans="1:32" x14ac:dyDescent="0.45">
      <c r="A118" t="s">
        <v>1850</v>
      </c>
      <c r="B118" t="s">
        <v>1851</v>
      </c>
      <c r="C118" t="s">
        <v>1852</v>
      </c>
      <c r="D118" t="s">
        <v>1853</v>
      </c>
      <c r="E118" t="s">
        <v>1343</v>
      </c>
      <c r="F118" t="s">
        <v>1836</v>
      </c>
      <c r="H118" t="s">
        <v>1837</v>
      </c>
      <c r="I118" t="s">
        <v>1838</v>
      </c>
      <c r="J118" t="s">
        <v>8</v>
      </c>
      <c r="K118" t="s">
        <v>3</v>
      </c>
      <c r="L118" t="s">
        <v>3</v>
      </c>
      <c r="M118" t="s">
        <v>373</v>
      </c>
      <c r="N118" t="s">
        <v>3</v>
      </c>
      <c r="O118" t="s">
        <v>3</v>
      </c>
      <c r="P118" t="s">
        <v>3</v>
      </c>
      <c r="Q118" t="s">
        <v>8</v>
      </c>
      <c r="R118" t="s">
        <v>373</v>
      </c>
      <c r="S118" t="s">
        <v>8</v>
      </c>
      <c r="T118" t="s">
        <v>1850</v>
      </c>
      <c r="U118" t="s">
        <v>3</v>
      </c>
      <c r="V118" t="s">
        <v>3</v>
      </c>
      <c r="W118" t="s">
        <v>1839</v>
      </c>
      <c r="AA118" t="s">
        <v>8</v>
      </c>
      <c r="AB118" t="s">
        <v>8</v>
      </c>
      <c r="AC118" t="s">
        <v>3</v>
      </c>
      <c r="AD118" t="s">
        <v>8</v>
      </c>
      <c r="AE118" t="s">
        <v>97</v>
      </c>
      <c r="AF118" t="s">
        <v>1854</v>
      </c>
    </row>
    <row r="119" spans="1:32" x14ac:dyDescent="0.45">
      <c r="A119" t="s">
        <v>1855</v>
      </c>
      <c r="B119" t="s">
        <v>1856</v>
      </c>
      <c r="C119" t="s">
        <v>1857</v>
      </c>
      <c r="D119" t="s">
        <v>1858</v>
      </c>
      <c r="E119" t="s">
        <v>1859</v>
      </c>
      <c r="F119" t="s">
        <v>1860</v>
      </c>
      <c r="H119" t="s">
        <v>1861</v>
      </c>
      <c r="I119" t="s">
        <v>1862</v>
      </c>
      <c r="J119" t="s">
        <v>8</v>
      </c>
      <c r="K119" t="s">
        <v>3</v>
      </c>
      <c r="L119" t="s">
        <v>3</v>
      </c>
      <c r="M119" t="s">
        <v>373</v>
      </c>
      <c r="N119" t="s">
        <v>3</v>
      </c>
      <c r="O119" t="s">
        <v>3</v>
      </c>
      <c r="P119" t="s">
        <v>3</v>
      </c>
      <c r="Q119" t="s">
        <v>8</v>
      </c>
      <c r="R119" t="s">
        <v>373</v>
      </c>
      <c r="S119" t="s">
        <v>8</v>
      </c>
      <c r="T119" t="s">
        <v>1855</v>
      </c>
      <c r="U119" t="s">
        <v>3</v>
      </c>
      <c r="V119" t="s">
        <v>3</v>
      </c>
      <c r="W119" t="s">
        <v>1863</v>
      </c>
      <c r="AA119" t="s">
        <v>3</v>
      </c>
      <c r="AB119" t="s">
        <v>8</v>
      </c>
      <c r="AC119" t="s">
        <v>3</v>
      </c>
      <c r="AD119" t="s">
        <v>8</v>
      </c>
      <c r="AE119" t="s">
        <v>67</v>
      </c>
      <c r="AF119" t="s">
        <v>1864</v>
      </c>
    </row>
    <row r="120" spans="1:32" x14ac:dyDescent="0.45">
      <c r="A120" t="s">
        <v>1865</v>
      </c>
      <c r="B120" t="s">
        <v>1866</v>
      </c>
      <c r="C120" t="s">
        <v>1867</v>
      </c>
      <c r="D120" t="s">
        <v>1866</v>
      </c>
      <c r="H120" t="s">
        <v>1861</v>
      </c>
      <c r="I120" t="s">
        <v>1862</v>
      </c>
      <c r="J120" t="s">
        <v>8</v>
      </c>
      <c r="K120" t="s">
        <v>3</v>
      </c>
      <c r="L120" t="s">
        <v>3</v>
      </c>
      <c r="M120" t="s">
        <v>373</v>
      </c>
      <c r="N120" t="s">
        <v>3</v>
      </c>
      <c r="O120" t="s">
        <v>3</v>
      </c>
      <c r="P120" t="s">
        <v>3</v>
      </c>
      <c r="Q120" t="s">
        <v>8</v>
      </c>
      <c r="R120" t="s">
        <v>373</v>
      </c>
      <c r="S120" t="s">
        <v>8</v>
      </c>
      <c r="T120" t="s">
        <v>1865</v>
      </c>
      <c r="U120" t="s">
        <v>3</v>
      </c>
      <c r="V120" t="s">
        <v>3</v>
      </c>
      <c r="W120" t="s">
        <v>1868</v>
      </c>
      <c r="AA120" t="s">
        <v>8</v>
      </c>
      <c r="AB120" t="s">
        <v>8</v>
      </c>
      <c r="AC120" t="s">
        <v>3</v>
      </c>
      <c r="AD120" t="s">
        <v>8</v>
      </c>
      <c r="AE120" t="s">
        <v>67</v>
      </c>
      <c r="AF120" t="s">
        <v>1869</v>
      </c>
    </row>
    <row r="121" spans="1:32" x14ac:dyDescent="0.45">
      <c r="A121" t="s">
        <v>1870</v>
      </c>
      <c r="B121" t="s">
        <v>1871</v>
      </c>
      <c r="C121" t="s">
        <v>1857</v>
      </c>
      <c r="D121" t="s">
        <v>1872</v>
      </c>
      <c r="H121" t="s">
        <v>1861</v>
      </c>
      <c r="I121" t="s">
        <v>1862</v>
      </c>
      <c r="J121" t="s">
        <v>8</v>
      </c>
      <c r="K121" t="s">
        <v>3</v>
      </c>
      <c r="L121" t="s">
        <v>3</v>
      </c>
      <c r="M121" t="s">
        <v>373</v>
      </c>
      <c r="N121" t="s">
        <v>3</v>
      </c>
      <c r="O121" t="s">
        <v>3</v>
      </c>
      <c r="P121" t="s">
        <v>3</v>
      </c>
      <c r="Q121" t="s">
        <v>8</v>
      </c>
      <c r="R121" t="s">
        <v>373</v>
      </c>
      <c r="S121" t="s">
        <v>8</v>
      </c>
      <c r="T121" t="s">
        <v>1870</v>
      </c>
      <c r="U121" t="s">
        <v>3</v>
      </c>
      <c r="V121" t="s">
        <v>3</v>
      </c>
      <c r="W121" t="s">
        <v>1873</v>
      </c>
      <c r="AA121" t="s">
        <v>3</v>
      </c>
      <c r="AB121" t="s">
        <v>8</v>
      </c>
      <c r="AC121" t="s">
        <v>3</v>
      </c>
      <c r="AD121" t="s">
        <v>8</v>
      </c>
      <c r="AE121" t="s">
        <v>69</v>
      </c>
      <c r="AF121" t="s">
        <v>1874</v>
      </c>
    </row>
    <row r="122" spans="1:32" x14ac:dyDescent="0.45">
      <c r="A122" t="s">
        <v>1875</v>
      </c>
      <c r="B122" t="s">
        <v>1876</v>
      </c>
      <c r="C122" t="s">
        <v>1867</v>
      </c>
      <c r="D122" t="s">
        <v>1876</v>
      </c>
      <c r="H122" t="s">
        <v>1861</v>
      </c>
      <c r="I122" t="s">
        <v>1862</v>
      </c>
      <c r="J122" t="s">
        <v>8</v>
      </c>
      <c r="K122" t="s">
        <v>3</v>
      </c>
      <c r="L122" t="s">
        <v>3</v>
      </c>
      <c r="M122" t="s">
        <v>373</v>
      </c>
      <c r="N122" t="s">
        <v>3</v>
      </c>
      <c r="O122" t="s">
        <v>3</v>
      </c>
      <c r="P122" t="s">
        <v>3</v>
      </c>
      <c r="Q122" t="s">
        <v>8</v>
      </c>
      <c r="R122" t="s">
        <v>373</v>
      </c>
      <c r="S122" t="s">
        <v>8</v>
      </c>
      <c r="T122" t="s">
        <v>1875</v>
      </c>
      <c r="U122" t="s">
        <v>3</v>
      </c>
      <c r="V122" t="s">
        <v>3</v>
      </c>
      <c r="W122" t="s">
        <v>1868</v>
      </c>
      <c r="AA122" t="s">
        <v>3</v>
      </c>
      <c r="AB122" t="s">
        <v>8</v>
      </c>
      <c r="AC122" t="s">
        <v>3</v>
      </c>
      <c r="AD122" t="s">
        <v>8</v>
      </c>
      <c r="AE122" t="s">
        <v>67</v>
      </c>
      <c r="AF122" t="s">
        <v>1877</v>
      </c>
    </row>
    <row r="123" spans="1:32" x14ac:dyDescent="0.45">
      <c r="A123" t="s">
        <v>1878</v>
      </c>
      <c r="B123" t="s">
        <v>1879</v>
      </c>
      <c r="C123" t="s">
        <v>1880</v>
      </c>
      <c r="D123" t="s">
        <v>1881</v>
      </c>
      <c r="E123" t="s">
        <v>1859</v>
      </c>
      <c r="F123" t="s">
        <v>1860</v>
      </c>
      <c r="H123" t="s">
        <v>1861</v>
      </c>
      <c r="I123" t="s">
        <v>1862</v>
      </c>
      <c r="J123" t="s">
        <v>8</v>
      </c>
      <c r="K123" t="s">
        <v>3</v>
      </c>
      <c r="L123" t="s">
        <v>3</v>
      </c>
      <c r="M123" t="s">
        <v>373</v>
      </c>
      <c r="N123" t="s">
        <v>3</v>
      </c>
      <c r="O123" t="s">
        <v>3</v>
      </c>
      <c r="P123" t="s">
        <v>3</v>
      </c>
      <c r="Q123" t="s">
        <v>8</v>
      </c>
      <c r="R123" t="s">
        <v>373</v>
      </c>
      <c r="S123" t="s">
        <v>8</v>
      </c>
      <c r="T123" t="s">
        <v>1878</v>
      </c>
      <c r="U123" t="s">
        <v>3</v>
      </c>
      <c r="V123" t="s">
        <v>3</v>
      </c>
      <c r="W123" t="s">
        <v>1863</v>
      </c>
      <c r="AA123" t="s">
        <v>8</v>
      </c>
      <c r="AB123" t="s">
        <v>8</v>
      </c>
      <c r="AC123" t="s">
        <v>3</v>
      </c>
      <c r="AD123" t="s">
        <v>8</v>
      </c>
      <c r="AE123" t="s">
        <v>97</v>
      </c>
      <c r="AF123" t="s">
        <v>1882</v>
      </c>
    </row>
    <row r="124" spans="1:32" x14ac:dyDescent="0.45">
      <c r="A124" t="s">
        <v>1883</v>
      </c>
      <c r="B124" t="s">
        <v>1884</v>
      </c>
      <c r="C124" t="s">
        <v>1885</v>
      </c>
      <c r="D124" t="s">
        <v>1886</v>
      </c>
      <c r="E124" t="s">
        <v>1887</v>
      </c>
      <c r="F124" t="s">
        <v>1888</v>
      </c>
      <c r="H124" t="s">
        <v>1889</v>
      </c>
      <c r="I124" t="s">
        <v>1890</v>
      </c>
      <c r="J124" t="s">
        <v>8</v>
      </c>
      <c r="K124" t="s">
        <v>3</v>
      </c>
      <c r="L124" t="s">
        <v>3</v>
      </c>
      <c r="M124" t="s">
        <v>373</v>
      </c>
      <c r="N124" t="s">
        <v>3</v>
      </c>
      <c r="O124" t="s">
        <v>3</v>
      </c>
      <c r="P124" t="s">
        <v>3</v>
      </c>
      <c r="Q124" t="s">
        <v>8</v>
      </c>
      <c r="R124" t="s">
        <v>373</v>
      </c>
      <c r="S124" t="s">
        <v>8</v>
      </c>
      <c r="T124" t="s">
        <v>1883</v>
      </c>
      <c r="U124" t="s">
        <v>3</v>
      </c>
      <c r="V124" t="s">
        <v>3</v>
      </c>
      <c r="W124" t="s">
        <v>1891</v>
      </c>
      <c r="AA124" t="s">
        <v>3</v>
      </c>
      <c r="AB124" t="s">
        <v>8</v>
      </c>
      <c r="AC124" t="s">
        <v>3</v>
      </c>
      <c r="AD124" t="s">
        <v>8</v>
      </c>
      <c r="AE124" t="s">
        <v>67</v>
      </c>
      <c r="AF124" t="s">
        <v>1892</v>
      </c>
    </row>
    <row r="125" spans="1:32" x14ac:dyDescent="0.45">
      <c r="A125" t="s">
        <v>1893</v>
      </c>
      <c r="B125" t="s">
        <v>1894</v>
      </c>
      <c r="C125" t="s">
        <v>1885</v>
      </c>
      <c r="D125" t="s">
        <v>1894</v>
      </c>
      <c r="H125" t="s">
        <v>1889</v>
      </c>
      <c r="I125" t="s">
        <v>1890</v>
      </c>
      <c r="J125" t="s">
        <v>8</v>
      </c>
      <c r="K125" t="s">
        <v>3</v>
      </c>
      <c r="L125" t="s">
        <v>3</v>
      </c>
      <c r="M125" t="s">
        <v>373</v>
      </c>
      <c r="N125" t="s">
        <v>3</v>
      </c>
      <c r="O125" t="s">
        <v>3</v>
      </c>
      <c r="P125" t="s">
        <v>3</v>
      </c>
      <c r="Q125" t="s">
        <v>8</v>
      </c>
      <c r="R125" t="s">
        <v>373</v>
      </c>
      <c r="S125" t="s">
        <v>8</v>
      </c>
      <c r="T125" t="s">
        <v>1893</v>
      </c>
      <c r="U125" t="s">
        <v>3</v>
      </c>
      <c r="V125" t="s">
        <v>3</v>
      </c>
      <c r="W125" t="s">
        <v>1891</v>
      </c>
      <c r="AA125" t="s">
        <v>8</v>
      </c>
      <c r="AB125" t="s">
        <v>8</v>
      </c>
      <c r="AC125" t="s">
        <v>3</v>
      </c>
      <c r="AD125" t="s">
        <v>8</v>
      </c>
      <c r="AE125" t="s">
        <v>67</v>
      </c>
      <c r="AF125" t="s">
        <v>1895</v>
      </c>
    </row>
    <row r="126" spans="1:32" x14ac:dyDescent="0.45">
      <c r="A126" t="s">
        <v>1896</v>
      </c>
      <c r="B126" t="s">
        <v>1897</v>
      </c>
      <c r="C126" t="s">
        <v>1885</v>
      </c>
      <c r="D126" t="s">
        <v>1898</v>
      </c>
      <c r="H126" t="s">
        <v>1889</v>
      </c>
      <c r="I126" t="s">
        <v>1890</v>
      </c>
      <c r="J126" t="s">
        <v>8</v>
      </c>
      <c r="K126" t="s">
        <v>3</v>
      </c>
      <c r="L126" t="s">
        <v>3</v>
      </c>
      <c r="M126" t="s">
        <v>373</v>
      </c>
      <c r="N126" t="s">
        <v>3</v>
      </c>
      <c r="O126" t="s">
        <v>3</v>
      </c>
      <c r="P126" t="s">
        <v>3</v>
      </c>
      <c r="Q126" t="s">
        <v>8</v>
      </c>
      <c r="R126" t="s">
        <v>373</v>
      </c>
      <c r="S126" t="s">
        <v>8</v>
      </c>
      <c r="T126" t="s">
        <v>1896</v>
      </c>
      <c r="U126" t="s">
        <v>3</v>
      </c>
      <c r="V126" t="s">
        <v>3</v>
      </c>
      <c r="W126" t="s">
        <v>1899</v>
      </c>
      <c r="AA126" t="s">
        <v>3</v>
      </c>
      <c r="AB126" t="s">
        <v>8</v>
      </c>
      <c r="AC126" t="s">
        <v>3</v>
      </c>
      <c r="AD126" t="s">
        <v>8</v>
      </c>
      <c r="AE126" t="s">
        <v>97</v>
      </c>
      <c r="AF126" t="s">
        <v>1900</v>
      </c>
    </row>
    <row r="127" spans="1:32" x14ac:dyDescent="0.45">
      <c r="A127" t="s">
        <v>1901</v>
      </c>
      <c r="B127" t="s">
        <v>1902</v>
      </c>
      <c r="C127" t="s">
        <v>1903</v>
      </c>
      <c r="D127" t="s">
        <v>1904</v>
      </c>
      <c r="E127" t="s">
        <v>1887</v>
      </c>
      <c r="F127" t="s">
        <v>1888</v>
      </c>
      <c r="H127" t="s">
        <v>1889</v>
      </c>
      <c r="I127" t="s">
        <v>1890</v>
      </c>
      <c r="J127" t="s">
        <v>8</v>
      </c>
      <c r="K127" t="s">
        <v>3</v>
      </c>
      <c r="L127" t="s">
        <v>3</v>
      </c>
      <c r="M127" t="s">
        <v>373</v>
      </c>
      <c r="N127" t="s">
        <v>3</v>
      </c>
      <c r="O127" t="s">
        <v>3</v>
      </c>
      <c r="P127" t="s">
        <v>3</v>
      </c>
      <c r="Q127" t="s">
        <v>8</v>
      </c>
      <c r="R127" t="s">
        <v>373</v>
      </c>
      <c r="S127" t="s">
        <v>8</v>
      </c>
      <c r="T127" t="s">
        <v>1901</v>
      </c>
      <c r="U127" t="s">
        <v>3</v>
      </c>
      <c r="V127" t="s">
        <v>3</v>
      </c>
      <c r="W127" t="s">
        <v>1891</v>
      </c>
      <c r="AA127" t="s">
        <v>8</v>
      </c>
      <c r="AB127" t="s">
        <v>8</v>
      </c>
      <c r="AC127" t="s">
        <v>3</v>
      </c>
      <c r="AD127" t="s">
        <v>8</v>
      </c>
      <c r="AE127" t="s">
        <v>97</v>
      </c>
      <c r="AF127" t="s">
        <v>1905</v>
      </c>
    </row>
    <row r="128" spans="1:32" x14ac:dyDescent="0.45">
      <c r="A128" t="s">
        <v>1906</v>
      </c>
      <c r="B128" t="s">
        <v>1907</v>
      </c>
      <c r="C128" t="s">
        <v>1908</v>
      </c>
      <c r="D128" t="s">
        <v>1907</v>
      </c>
      <c r="E128" t="s">
        <v>1488</v>
      </c>
      <c r="F128" t="s">
        <v>1909</v>
      </c>
      <c r="H128" t="s">
        <v>1910</v>
      </c>
      <c r="I128" t="s">
        <v>1911</v>
      </c>
      <c r="J128" t="s">
        <v>8</v>
      </c>
      <c r="K128" t="s">
        <v>3</v>
      </c>
      <c r="L128" t="s">
        <v>3</v>
      </c>
      <c r="M128" t="s">
        <v>373</v>
      </c>
      <c r="N128" t="s">
        <v>3</v>
      </c>
      <c r="O128" t="s">
        <v>3</v>
      </c>
      <c r="P128" t="s">
        <v>3</v>
      </c>
      <c r="Q128" t="s">
        <v>8</v>
      </c>
      <c r="R128" t="s">
        <v>373</v>
      </c>
      <c r="S128" t="s">
        <v>8</v>
      </c>
      <c r="T128" t="s">
        <v>1906</v>
      </c>
      <c r="U128" t="s">
        <v>3</v>
      </c>
      <c r="V128" t="s">
        <v>3</v>
      </c>
      <c r="W128" t="s">
        <v>1912</v>
      </c>
      <c r="AA128" t="s">
        <v>3</v>
      </c>
      <c r="AB128" t="s">
        <v>8</v>
      </c>
      <c r="AC128" t="s">
        <v>3</v>
      </c>
      <c r="AD128" t="s">
        <v>8</v>
      </c>
      <c r="AE128" t="s">
        <v>97</v>
      </c>
      <c r="AF128" t="s">
        <v>1913</v>
      </c>
    </row>
    <row r="129" spans="1:32" x14ac:dyDescent="0.45">
      <c r="A129" t="s">
        <v>1914</v>
      </c>
      <c r="B129" t="s">
        <v>1915</v>
      </c>
      <c r="C129" t="s">
        <v>1908</v>
      </c>
      <c r="D129" t="s">
        <v>1915</v>
      </c>
      <c r="H129" t="s">
        <v>1910</v>
      </c>
      <c r="I129" t="s">
        <v>1911</v>
      </c>
      <c r="J129" t="s">
        <v>8</v>
      </c>
      <c r="K129" t="s">
        <v>3</v>
      </c>
      <c r="L129" t="s">
        <v>3</v>
      </c>
      <c r="M129" t="s">
        <v>373</v>
      </c>
      <c r="N129" t="s">
        <v>3</v>
      </c>
      <c r="O129" t="s">
        <v>3</v>
      </c>
      <c r="P129" t="s">
        <v>3</v>
      </c>
      <c r="Q129" t="s">
        <v>8</v>
      </c>
      <c r="R129" t="s">
        <v>373</v>
      </c>
      <c r="S129" t="s">
        <v>8</v>
      </c>
      <c r="T129" t="s">
        <v>1914</v>
      </c>
      <c r="U129" t="s">
        <v>3</v>
      </c>
      <c r="V129" t="s">
        <v>3</v>
      </c>
      <c r="W129" t="s">
        <v>1916</v>
      </c>
      <c r="AA129" t="s">
        <v>3</v>
      </c>
      <c r="AB129" t="s">
        <v>8</v>
      </c>
      <c r="AC129" t="s">
        <v>3</v>
      </c>
      <c r="AD129" t="s">
        <v>8</v>
      </c>
      <c r="AE129" t="s">
        <v>67</v>
      </c>
      <c r="AF129" t="s">
        <v>1917</v>
      </c>
    </row>
    <row r="130" spans="1:32" x14ac:dyDescent="0.45">
      <c r="A130" t="s">
        <v>1918</v>
      </c>
      <c r="B130" t="s">
        <v>1919</v>
      </c>
      <c r="C130" t="s">
        <v>1908</v>
      </c>
      <c r="D130" t="s">
        <v>1919</v>
      </c>
      <c r="H130" t="s">
        <v>1910</v>
      </c>
      <c r="I130" t="s">
        <v>1911</v>
      </c>
      <c r="J130" t="s">
        <v>8</v>
      </c>
      <c r="K130" t="s">
        <v>3</v>
      </c>
      <c r="L130" t="s">
        <v>3</v>
      </c>
      <c r="M130" t="s">
        <v>373</v>
      </c>
      <c r="N130" t="s">
        <v>3</v>
      </c>
      <c r="O130" t="s">
        <v>3</v>
      </c>
      <c r="P130" t="s">
        <v>3</v>
      </c>
      <c r="Q130" t="s">
        <v>8</v>
      </c>
      <c r="R130" t="s">
        <v>373</v>
      </c>
      <c r="S130" t="s">
        <v>8</v>
      </c>
      <c r="T130" t="s">
        <v>1918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97</v>
      </c>
      <c r="AF130" t="s">
        <v>1920</v>
      </c>
    </row>
    <row r="131" spans="1:32" x14ac:dyDescent="0.45">
      <c r="A131" t="s">
        <v>1921</v>
      </c>
      <c r="B131" t="s">
        <v>1922</v>
      </c>
      <c r="C131" t="s">
        <v>1923</v>
      </c>
      <c r="D131" t="s">
        <v>1922</v>
      </c>
      <c r="E131" t="s">
        <v>1495</v>
      </c>
      <c r="F131" t="s">
        <v>1924</v>
      </c>
      <c r="H131" t="s">
        <v>1925</v>
      </c>
      <c r="I131" t="s">
        <v>1926</v>
      </c>
      <c r="J131" t="s">
        <v>8</v>
      </c>
      <c r="K131" t="s">
        <v>3</v>
      </c>
      <c r="L131" t="s">
        <v>3</v>
      </c>
      <c r="M131" t="s">
        <v>373</v>
      </c>
      <c r="N131" t="s">
        <v>3</v>
      </c>
      <c r="O131" t="s">
        <v>3</v>
      </c>
      <c r="P131" t="s">
        <v>3</v>
      </c>
      <c r="Q131" t="s">
        <v>8</v>
      </c>
      <c r="R131" t="s">
        <v>373</v>
      </c>
      <c r="S131" t="s">
        <v>8</v>
      </c>
      <c r="T131" t="s">
        <v>1921</v>
      </c>
      <c r="U131" t="s">
        <v>3</v>
      </c>
      <c r="V131" t="s">
        <v>3</v>
      </c>
      <c r="W131" t="s">
        <v>1927</v>
      </c>
      <c r="AA131" t="s">
        <v>3</v>
      </c>
      <c r="AB131" t="s">
        <v>8</v>
      </c>
      <c r="AC131" t="s">
        <v>3</v>
      </c>
      <c r="AD131" t="s">
        <v>8</v>
      </c>
      <c r="AE131" t="s">
        <v>62</v>
      </c>
      <c r="AF131" t="s">
        <v>1928</v>
      </c>
    </row>
    <row r="132" spans="1:32" x14ac:dyDescent="0.45">
      <c r="A132" t="s">
        <v>1929</v>
      </c>
      <c r="B132" t="s">
        <v>1930</v>
      </c>
      <c r="C132" t="s">
        <v>1923</v>
      </c>
      <c r="D132" t="s">
        <v>1930</v>
      </c>
      <c r="H132" t="s">
        <v>1925</v>
      </c>
      <c r="I132" t="s">
        <v>1926</v>
      </c>
      <c r="J132" t="s">
        <v>8</v>
      </c>
      <c r="K132" t="s">
        <v>3</v>
      </c>
      <c r="L132" t="s">
        <v>3</v>
      </c>
      <c r="M132" t="s">
        <v>373</v>
      </c>
      <c r="N132" t="s">
        <v>3</v>
      </c>
      <c r="O132" t="s">
        <v>3</v>
      </c>
      <c r="P132" t="s">
        <v>3</v>
      </c>
      <c r="Q132" t="s">
        <v>8</v>
      </c>
      <c r="R132" t="s">
        <v>373</v>
      </c>
      <c r="S132" t="s">
        <v>8</v>
      </c>
      <c r="T132" t="s">
        <v>1929</v>
      </c>
      <c r="U132" t="s">
        <v>3</v>
      </c>
      <c r="V132" t="s">
        <v>3</v>
      </c>
      <c r="W132" t="s">
        <v>1931</v>
      </c>
      <c r="AA132" t="s">
        <v>3</v>
      </c>
      <c r="AB132" t="s">
        <v>8</v>
      </c>
      <c r="AC132" t="s">
        <v>3</v>
      </c>
      <c r="AD132" t="s">
        <v>8</v>
      </c>
      <c r="AE132" t="s">
        <v>67</v>
      </c>
      <c r="AF132" t="s">
        <v>1932</v>
      </c>
    </row>
    <row r="133" spans="1:32" x14ac:dyDescent="0.45">
      <c r="A133" t="s">
        <v>1933</v>
      </c>
      <c r="B133" t="s">
        <v>1934</v>
      </c>
      <c r="C133" t="s">
        <v>1923</v>
      </c>
      <c r="D133" t="s">
        <v>1934</v>
      </c>
      <c r="H133" t="s">
        <v>1925</v>
      </c>
      <c r="I133" t="s">
        <v>1926</v>
      </c>
      <c r="J133" t="s">
        <v>8</v>
      </c>
      <c r="K133" t="s">
        <v>3</v>
      </c>
      <c r="L133" t="s">
        <v>3</v>
      </c>
      <c r="M133" t="s">
        <v>373</v>
      </c>
      <c r="N133" t="s">
        <v>3</v>
      </c>
      <c r="O133" t="s">
        <v>3</v>
      </c>
      <c r="P133" t="s">
        <v>3</v>
      </c>
      <c r="Q133" t="s">
        <v>8</v>
      </c>
      <c r="R133" t="s">
        <v>373</v>
      </c>
      <c r="S133" t="s">
        <v>8</v>
      </c>
      <c r="T133" t="s">
        <v>1933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97</v>
      </c>
      <c r="AF133" t="s">
        <v>1935</v>
      </c>
    </row>
    <row r="134" spans="1:32" x14ac:dyDescent="0.45">
      <c r="A134" t="s">
        <v>1936</v>
      </c>
      <c r="B134" t="s">
        <v>1937</v>
      </c>
      <c r="C134" t="s">
        <v>1938</v>
      </c>
      <c r="D134" t="s">
        <v>1937</v>
      </c>
      <c r="E134" t="s">
        <v>1480</v>
      </c>
      <c r="F134" t="s">
        <v>1939</v>
      </c>
      <c r="H134" t="s">
        <v>1940</v>
      </c>
      <c r="I134" t="s">
        <v>1941</v>
      </c>
      <c r="J134" t="s">
        <v>8</v>
      </c>
      <c r="K134" t="s">
        <v>3</v>
      </c>
      <c r="L134" t="s">
        <v>3</v>
      </c>
      <c r="M134" t="s">
        <v>373</v>
      </c>
      <c r="N134" t="s">
        <v>3</v>
      </c>
      <c r="O134" t="s">
        <v>3</v>
      </c>
      <c r="P134" t="s">
        <v>3</v>
      </c>
      <c r="Q134" t="s">
        <v>8</v>
      </c>
      <c r="R134" t="s">
        <v>373</v>
      </c>
      <c r="S134" t="s">
        <v>8</v>
      </c>
      <c r="T134" t="s">
        <v>1936</v>
      </c>
      <c r="U134" t="s">
        <v>3</v>
      </c>
      <c r="V134" t="s">
        <v>3</v>
      </c>
      <c r="W134" t="s">
        <v>1942</v>
      </c>
      <c r="AA134" t="s">
        <v>3</v>
      </c>
      <c r="AB134" t="s">
        <v>8</v>
      </c>
      <c r="AC134" t="s">
        <v>3</v>
      </c>
      <c r="AD134" t="s">
        <v>8</v>
      </c>
      <c r="AE134" t="s">
        <v>97</v>
      </c>
      <c r="AF134" t="s">
        <v>1943</v>
      </c>
    </row>
    <row r="135" spans="1:32" x14ac:dyDescent="0.45">
      <c r="A135" t="s">
        <v>1944</v>
      </c>
      <c r="B135" t="s">
        <v>1945</v>
      </c>
      <c r="C135" t="s">
        <v>1938</v>
      </c>
      <c r="D135" t="s">
        <v>1945</v>
      </c>
      <c r="H135" t="s">
        <v>1940</v>
      </c>
      <c r="I135" t="s">
        <v>1941</v>
      </c>
      <c r="J135" t="s">
        <v>8</v>
      </c>
      <c r="K135" t="s">
        <v>3</v>
      </c>
      <c r="L135" t="s">
        <v>3</v>
      </c>
      <c r="M135" t="s">
        <v>373</v>
      </c>
      <c r="N135" t="s">
        <v>3</v>
      </c>
      <c r="O135" t="s">
        <v>3</v>
      </c>
      <c r="P135" t="s">
        <v>3</v>
      </c>
      <c r="Q135" t="s">
        <v>8</v>
      </c>
      <c r="R135" t="s">
        <v>373</v>
      </c>
      <c r="S135" t="s">
        <v>8</v>
      </c>
      <c r="T135" t="s">
        <v>1944</v>
      </c>
      <c r="U135" t="s">
        <v>3</v>
      </c>
      <c r="V135" t="s">
        <v>3</v>
      </c>
      <c r="W135" t="s">
        <v>1946</v>
      </c>
      <c r="AA135" t="s">
        <v>3</v>
      </c>
      <c r="AB135" t="s">
        <v>8</v>
      </c>
      <c r="AC135" t="s">
        <v>3</v>
      </c>
      <c r="AD135" t="s">
        <v>8</v>
      </c>
      <c r="AE135" t="s">
        <v>67</v>
      </c>
      <c r="AF135" t="s">
        <v>1947</v>
      </c>
    </row>
    <row r="136" spans="1:32" x14ac:dyDescent="0.45">
      <c r="A136" t="s">
        <v>1948</v>
      </c>
      <c r="B136" t="s">
        <v>1949</v>
      </c>
      <c r="C136" t="s">
        <v>1938</v>
      </c>
      <c r="D136" t="s">
        <v>1949</v>
      </c>
      <c r="H136" t="s">
        <v>1940</v>
      </c>
      <c r="I136" t="s">
        <v>1941</v>
      </c>
      <c r="J136" t="s">
        <v>8</v>
      </c>
      <c r="K136" t="s">
        <v>3</v>
      </c>
      <c r="L136" t="s">
        <v>3</v>
      </c>
      <c r="M136" t="s">
        <v>373</v>
      </c>
      <c r="N136" t="s">
        <v>3</v>
      </c>
      <c r="O136" t="s">
        <v>3</v>
      </c>
      <c r="P136" t="s">
        <v>3</v>
      </c>
      <c r="Q136" t="s">
        <v>8</v>
      </c>
      <c r="R136" t="s">
        <v>373</v>
      </c>
      <c r="S136" t="s">
        <v>8</v>
      </c>
      <c r="T136" t="s">
        <v>1948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97</v>
      </c>
      <c r="AF136" t="s">
        <v>1950</v>
      </c>
    </row>
    <row r="137" spans="1:32" x14ac:dyDescent="0.45">
      <c r="A137" t="s">
        <v>1951</v>
      </c>
      <c r="B137" t="s">
        <v>1952</v>
      </c>
      <c r="C137" t="s">
        <v>1953</v>
      </c>
      <c r="D137" t="s">
        <v>1954</v>
      </c>
      <c r="E137" t="s">
        <v>1955</v>
      </c>
      <c r="F137" t="s">
        <v>1956</v>
      </c>
      <c r="H137" t="s">
        <v>1957</v>
      </c>
      <c r="I137" t="s">
        <v>1958</v>
      </c>
      <c r="J137" t="s">
        <v>8</v>
      </c>
      <c r="K137" t="s">
        <v>3</v>
      </c>
      <c r="L137" t="s">
        <v>3</v>
      </c>
      <c r="M137" t="s">
        <v>373</v>
      </c>
      <c r="N137" t="s">
        <v>3</v>
      </c>
      <c r="O137" t="s">
        <v>3</v>
      </c>
      <c r="P137" t="s">
        <v>3</v>
      </c>
      <c r="Q137" t="s">
        <v>8</v>
      </c>
      <c r="R137" t="s">
        <v>373</v>
      </c>
      <c r="S137" t="s">
        <v>8</v>
      </c>
      <c r="T137" t="s">
        <v>1951</v>
      </c>
      <c r="U137" t="s">
        <v>3</v>
      </c>
      <c r="V137" t="s">
        <v>3</v>
      </c>
      <c r="W137" t="s">
        <v>790</v>
      </c>
      <c r="X137" t="s">
        <v>1031</v>
      </c>
      <c r="Y137" t="s">
        <v>1959</v>
      </c>
      <c r="AA137" t="s">
        <v>3</v>
      </c>
      <c r="AB137" t="s">
        <v>8</v>
      </c>
      <c r="AC137" t="s">
        <v>3</v>
      </c>
      <c r="AD137" t="s">
        <v>8</v>
      </c>
      <c r="AE137" t="s">
        <v>67</v>
      </c>
      <c r="AF137" t="s">
        <v>1960</v>
      </c>
    </row>
    <row r="138" spans="1:32" x14ac:dyDescent="0.45">
      <c r="A138" t="s">
        <v>1961</v>
      </c>
      <c r="B138" t="s">
        <v>1962</v>
      </c>
      <c r="C138" t="s">
        <v>1953</v>
      </c>
      <c r="D138" t="s">
        <v>1962</v>
      </c>
      <c r="H138" t="s">
        <v>1957</v>
      </c>
      <c r="I138" t="s">
        <v>1958</v>
      </c>
      <c r="J138" t="s">
        <v>8</v>
      </c>
      <c r="K138" t="s">
        <v>3</v>
      </c>
      <c r="L138" t="s">
        <v>3</v>
      </c>
      <c r="M138" t="s">
        <v>373</v>
      </c>
      <c r="N138" t="s">
        <v>3</v>
      </c>
      <c r="O138" t="s">
        <v>3</v>
      </c>
      <c r="P138" t="s">
        <v>3</v>
      </c>
      <c r="Q138" t="s">
        <v>8</v>
      </c>
      <c r="R138" t="s">
        <v>373</v>
      </c>
      <c r="S138" t="s">
        <v>8</v>
      </c>
      <c r="T138" t="s">
        <v>1961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67</v>
      </c>
      <c r="AF138" t="s">
        <v>1963</v>
      </c>
    </row>
    <row r="139" spans="1:32" x14ac:dyDescent="0.45">
      <c r="A139" t="s">
        <v>1964</v>
      </c>
      <c r="B139" t="s">
        <v>1965</v>
      </c>
      <c r="C139" t="s">
        <v>1966</v>
      </c>
      <c r="D139" t="s">
        <v>1965</v>
      </c>
      <c r="E139" t="s">
        <v>1955</v>
      </c>
      <c r="F139" t="s">
        <v>1956</v>
      </c>
      <c r="H139" t="s">
        <v>1957</v>
      </c>
      <c r="I139" t="s">
        <v>1958</v>
      </c>
      <c r="J139" t="s">
        <v>8</v>
      </c>
      <c r="K139" t="s">
        <v>3</v>
      </c>
      <c r="L139" t="s">
        <v>3</v>
      </c>
      <c r="M139" t="s">
        <v>373</v>
      </c>
      <c r="N139" t="s">
        <v>3</v>
      </c>
      <c r="O139" t="s">
        <v>3</v>
      </c>
      <c r="P139" t="s">
        <v>3</v>
      </c>
      <c r="Q139" t="s">
        <v>8</v>
      </c>
      <c r="R139" t="s">
        <v>373</v>
      </c>
      <c r="S139" t="s">
        <v>8</v>
      </c>
      <c r="T139" t="s">
        <v>1964</v>
      </c>
      <c r="U139" t="s">
        <v>3</v>
      </c>
      <c r="V139" t="s">
        <v>3</v>
      </c>
      <c r="W139" t="s">
        <v>805</v>
      </c>
      <c r="AA139" t="s">
        <v>3</v>
      </c>
      <c r="AB139" t="s">
        <v>8</v>
      </c>
      <c r="AC139" t="s">
        <v>3</v>
      </c>
      <c r="AD139" t="s">
        <v>8</v>
      </c>
      <c r="AE139" t="s">
        <v>67</v>
      </c>
      <c r="AF139" t="s">
        <v>1967</v>
      </c>
    </row>
    <row r="140" spans="1:32" x14ac:dyDescent="0.45">
      <c r="A140" t="s">
        <v>1968</v>
      </c>
      <c r="B140" t="s">
        <v>1969</v>
      </c>
      <c r="C140" t="s">
        <v>1970</v>
      </c>
      <c r="D140" t="s">
        <v>1969</v>
      </c>
      <c r="E140" t="s">
        <v>1971</v>
      </c>
      <c r="F140" t="s">
        <v>1972</v>
      </c>
      <c r="H140" t="s">
        <v>1973</v>
      </c>
      <c r="I140" t="s">
        <v>1974</v>
      </c>
      <c r="J140" t="s">
        <v>8</v>
      </c>
      <c r="K140" t="s">
        <v>3</v>
      </c>
      <c r="L140" t="s">
        <v>3</v>
      </c>
      <c r="M140" t="s">
        <v>373</v>
      </c>
      <c r="N140" t="s">
        <v>3</v>
      </c>
      <c r="O140" t="s">
        <v>3</v>
      </c>
      <c r="P140" t="s">
        <v>3</v>
      </c>
      <c r="Q140" t="s">
        <v>8</v>
      </c>
      <c r="R140" t="s">
        <v>373</v>
      </c>
      <c r="S140" t="s">
        <v>8</v>
      </c>
      <c r="T140" t="s">
        <v>1968</v>
      </c>
      <c r="U140" t="s">
        <v>3</v>
      </c>
      <c r="V140" t="s">
        <v>3</v>
      </c>
      <c r="W140" t="s">
        <v>1975</v>
      </c>
      <c r="X140" t="s">
        <v>1031</v>
      </c>
      <c r="Y140" t="s">
        <v>1959</v>
      </c>
      <c r="Z140" t="s">
        <v>1552</v>
      </c>
      <c r="AA140" t="s">
        <v>3</v>
      </c>
      <c r="AB140" t="s">
        <v>8</v>
      </c>
      <c r="AC140" t="s">
        <v>3</v>
      </c>
      <c r="AD140" t="s">
        <v>8</v>
      </c>
      <c r="AE140" t="s">
        <v>67</v>
      </c>
      <c r="AF140" t="s">
        <v>1976</v>
      </c>
    </row>
    <row r="141" spans="1:32" x14ac:dyDescent="0.45">
      <c r="A141" t="s">
        <v>1977</v>
      </c>
      <c r="B141" t="s">
        <v>1978</v>
      </c>
      <c r="C141" t="s">
        <v>1970</v>
      </c>
      <c r="D141" t="s">
        <v>1978</v>
      </c>
      <c r="H141" t="s">
        <v>1973</v>
      </c>
      <c r="I141" t="s">
        <v>1974</v>
      </c>
      <c r="J141" t="s">
        <v>8</v>
      </c>
      <c r="K141" t="s">
        <v>3</v>
      </c>
      <c r="L141" t="s">
        <v>3</v>
      </c>
      <c r="M141" t="s">
        <v>373</v>
      </c>
      <c r="N141" t="s">
        <v>3</v>
      </c>
      <c r="O141" t="s">
        <v>3</v>
      </c>
      <c r="P141" t="s">
        <v>3</v>
      </c>
      <c r="Q141" t="s">
        <v>8</v>
      </c>
      <c r="R141" t="s">
        <v>373</v>
      </c>
      <c r="S141" t="s">
        <v>8</v>
      </c>
      <c r="T141" t="s">
        <v>1977</v>
      </c>
      <c r="U141" t="s">
        <v>3</v>
      </c>
      <c r="V141" t="s">
        <v>3</v>
      </c>
      <c r="W141" t="s">
        <v>1975</v>
      </c>
      <c r="AA141" t="s">
        <v>3</v>
      </c>
      <c r="AB141" t="s">
        <v>8</v>
      </c>
      <c r="AC141" t="s">
        <v>3</v>
      </c>
      <c r="AD141" t="s">
        <v>8</v>
      </c>
      <c r="AE141" t="s">
        <v>67</v>
      </c>
      <c r="AF141" t="s">
        <v>1979</v>
      </c>
    </row>
    <row r="142" spans="1:32" x14ac:dyDescent="0.45">
      <c r="A142" t="s">
        <v>1980</v>
      </c>
      <c r="B142" t="s">
        <v>1981</v>
      </c>
      <c r="C142" t="s">
        <v>1982</v>
      </c>
      <c r="D142" t="s">
        <v>1983</v>
      </c>
      <c r="E142" t="s">
        <v>1971</v>
      </c>
      <c r="F142" t="s">
        <v>1972</v>
      </c>
      <c r="H142" t="s">
        <v>1973</v>
      </c>
      <c r="I142" t="s">
        <v>1984</v>
      </c>
      <c r="J142" t="s">
        <v>8</v>
      </c>
      <c r="K142" t="s">
        <v>3</v>
      </c>
      <c r="L142" t="s">
        <v>3</v>
      </c>
      <c r="M142" t="s">
        <v>373</v>
      </c>
      <c r="N142" t="s">
        <v>3</v>
      </c>
      <c r="O142" t="s">
        <v>3</v>
      </c>
      <c r="P142" t="s">
        <v>3</v>
      </c>
      <c r="Q142" t="s">
        <v>8</v>
      </c>
      <c r="R142" t="s">
        <v>373</v>
      </c>
      <c r="S142" t="s">
        <v>8</v>
      </c>
      <c r="T142" t="s">
        <v>1980</v>
      </c>
      <c r="U142" t="s">
        <v>3</v>
      </c>
      <c r="V142" t="s">
        <v>3</v>
      </c>
      <c r="W142" t="s">
        <v>1985</v>
      </c>
      <c r="AA142" t="s">
        <v>3</v>
      </c>
      <c r="AB142" t="s">
        <v>8</v>
      </c>
      <c r="AC142" t="s">
        <v>3</v>
      </c>
      <c r="AD142" t="s">
        <v>8</v>
      </c>
      <c r="AE142" t="s">
        <v>67</v>
      </c>
      <c r="AF142" t="s">
        <v>1986</v>
      </c>
    </row>
    <row r="143" spans="1:32" x14ac:dyDescent="0.45">
      <c r="A143" t="s">
        <v>1987</v>
      </c>
      <c r="B143" t="s">
        <v>1988</v>
      </c>
      <c r="C143" t="s">
        <v>1989</v>
      </c>
      <c r="D143" t="s">
        <v>1988</v>
      </c>
      <c r="E143" t="s">
        <v>1990</v>
      </c>
      <c r="F143" t="s">
        <v>1991</v>
      </c>
      <c r="H143" t="s">
        <v>1992</v>
      </c>
      <c r="I143" t="s">
        <v>1974</v>
      </c>
      <c r="J143" t="s">
        <v>8</v>
      </c>
      <c r="K143" t="s">
        <v>3</v>
      </c>
      <c r="L143" t="s">
        <v>3</v>
      </c>
      <c r="M143" t="s">
        <v>373</v>
      </c>
      <c r="N143" t="s">
        <v>3</v>
      </c>
      <c r="O143" t="s">
        <v>3</v>
      </c>
      <c r="P143" t="s">
        <v>3</v>
      </c>
      <c r="Q143" t="s">
        <v>8</v>
      </c>
      <c r="R143" t="s">
        <v>373</v>
      </c>
      <c r="S143" t="s">
        <v>8</v>
      </c>
      <c r="T143" t="s">
        <v>1987</v>
      </c>
      <c r="U143" t="s">
        <v>3</v>
      </c>
      <c r="V143" t="s">
        <v>3</v>
      </c>
      <c r="W143" t="s">
        <v>1993</v>
      </c>
      <c r="X143" t="s">
        <v>1031</v>
      </c>
      <c r="Y143" t="s">
        <v>1959</v>
      </c>
      <c r="AA143" t="s">
        <v>3</v>
      </c>
      <c r="AB143" t="s">
        <v>8</v>
      </c>
      <c r="AC143" t="s">
        <v>3</v>
      </c>
      <c r="AD143" t="s">
        <v>8</v>
      </c>
      <c r="AE143" t="s">
        <v>67</v>
      </c>
      <c r="AF143" t="s">
        <v>1994</v>
      </c>
    </row>
    <row r="144" spans="1:32" x14ac:dyDescent="0.45">
      <c r="A144" t="s">
        <v>1995</v>
      </c>
      <c r="B144" t="s">
        <v>1996</v>
      </c>
      <c r="C144" t="s">
        <v>1989</v>
      </c>
      <c r="D144" t="s">
        <v>1996</v>
      </c>
      <c r="H144" t="s">
        <v>1992</v>
      </c>
      <c r="I144" t="s">
        <v>1974</v>
      </c>
      <c r="J144" t="s">
        <v>8</v>
      </c>
      <c r="K144" t="s">
        <v>3</v>
      </c>
      <c r="L144" t="s">
        <v>3</v>
      </c>
      <c r="M144" t="s">
        <v>373</v>
      </c>
      <c r="N144" t="s">
        <v>3</v>
      </c>
      <c r="O144" t="s">
        <v>3</v>
      </c>
      <c r="P144" t="s">
        <v>3</v>
      </c>
      <c r="Q144" t="s">
        <v>8</v>
      </c>
      <c r="R144" t="s">
        <v>373</v>
      </c>
      <c r="S144" t="s">
        <v>8</v>
      </c>
      <c r="T144" t="s">
        <v>1995</v>
      </c>
      <c r="U144" t="s">
        <v>3</v>
      </c>
      <c r="V144" t="s">
        <v>3</v>
      </c>
      <c r="W144" t="s">
        <v>1997</v>
      </c>
      <c r="AA144" t="s">
        <v>3</v>
      </c>
      <c r="AB144" t="s">
        <v>8</v>
      </c>
      <c r="AC144" t="s">
        <v>3</v>
      </c>
      <c r="AD144" t="s">
        <v>8</v>
      </c>
      <c r="AE144" t="s">
        <v>67</v>
      </c>
      <c r="AF144" t="s">
        <v>1998</v>
      </c>
    </row>
    <row r="145" spans="1:32" x14ac:dyDescent="0.45">
      <c r="A145" t="s">
        <v>1999</v>
      </c>
      <c r="B145" t="s">
        <v>2000</v>
      </c>
      <c r="C145" t="s">
        <v>2001</v>
      </c>
      <c r="D145" t="s">
        <v>2002</v>
      </c>
      <c r="E145" t="s">
        <v>1990</v>
      </c>
      <c r="F145" t="s">
        <v>2003</v>
      </c>
      <c r="H145" t="s">
        <v>1992</v>
      </c>
      <c r="I145" t="s">
        <v>1974</v>
      </c>
      <c r="J145" t="s">
        <v>8</v>
      </c>
      <c r="K145" t="s">
        <v>3</v>
      </c>
      <c r="L145" t="s">
        <v>3</v>
      </c>
      <c r="M145" t="s">
        <v>373</v>
      </c>
      <c r="N145" t="s">
        <v>3</v>
      </c>
      <c r="O145" t="s">
        <v>3</v>
      </c>
      <c r="P145" t="s">
        <v>3</v>
      </c>
      <c r="Q145" t="s">
        <v>8</v>
      </c>
      <c r="R145" t="s">
        <v>373</v>
      </c>
      <c r="S145" t="s">
        <v>8</v>
      </c>
      <c r="T145" t="s">
        <v>1999</v>
      </c>
      <c r="U145" t="s">
        <v>3</v>
      </c>
      <c r="V145" t="s">
        <v>3</v>
      </c>
      <c r="W145" t="s">
        <v>1993</v>
      </c>
      <c r="AA145" t="s">
        <v>3</v>
      </c>
      <c r="AB145" t="s">
        <v>8</v>
      </c>
      <c r="AC145" t="s">
        <v>3</v>
      </c>
      <c r="AD145" t="s">
        <v>8</v>
      </c>
      <c r="AE145" t="s">
        <v>67</v>
      </c>
      <c r="AF145" t="s">
        <v>2004</v>
      </c>
    </row>
    <row r="146" spans="1:32" x14ac:dyDescent="0.45">
      <c r="A146" t="s">
        <v>2005</v>
      </c>
      <c r="B146" t="s">
        <v>2006</v>
      </c>
      <c r="C146" t="s">
        <v>2007</v>
      </c>
      <c r="D146" t="s">
        <v>1988</v>
      </c>
      <c r="E146" t="s">
        <v>1990</v>
      </c>
      <c r="F146" t="s">
        <v>1991</v>
      </c>
      <c r="H146" t="s">
        <v>1992</v>
      </c>
      <c r="I146" t="s">
        <v>1974</v>
      </c>
      <c r="J146" t="s">
        <v>8</v>
      </c>
      <c r="K146" t="s">
        <v>3</v>
      </c>
      <c r="L146" t="s">
        <v>3</v>
      </c>
      <c r="M146" t="s">
        <v>373</v>
      </c>
      <c r="N146" t="s">
        <v>3</v>
      </c>
      <c r="O146" t="s">
        <v>3</v>
      </c>
      <c r="P146" t="s">
        <v>3</v>
      </c>
      <c r="Q146" t="s">
        <v>8</v>
      </c>
      <c r="R146" t="s">
        <v>373</v>
      </c>
      <c r="S146" t="s">
        <v>8</v>
      </c>
      <c r="T146" t="s">
        <v>2005</v>
      </c>
      <c r="U146" t="s">
        <v>3</v>
      </c>
      <c r="V146" t="s">
        <v>3</v>
      </c>
      <c r="W146" t="s">
        <v>1993</v>
      </c>
      <c r="AA146" t="s">
        <v>3</v>
      </c>
      <c r="AB146" t="s">
        <v>8</v>
      </c>
      <c r="AC146" t="s">
        <v>3</v>
      </c>
      <c r="AD146" t="s">
        <v>8</v>
      </c>
      <c r="AE146" t="s">
        <v>67</v>
      </c>
      <c r="AF146" t="s">
        <v>2008</v>
      </c>
    </row>
    <row r="147" spans="1:32" x14ac:dyDescent="0.45">
      <c r="A147" t="s">
        <v>2009</v>
      </c>
      <c r="B147" t="s">
        <v>2010</v>
      </c>
      <c r="C147" t="s">
        <v>2011</v>
      </c>
      <c r="D147" t="s">
        <v>1988</v>
      </c>
      <c r="E147" t="s">
        <v>1990</v>
      </c>
      <c r="F147" t="s">
        <v>1991</v>
      </c>
      <c r="H147" t="s">
        <v>1992</v>
      </c>
      <c r="I147" t="s">
        <v>1974</v>
      </c>
      <c r="J147" t="s">
        <v>8</v>
      </c>
      <c r="K147" t="s">
        <v>3</v>
      </c>
      <c r="L147" t="s">
        <v>3</v>
      </c>
      <c r="M147" t="s">
        <v>373</v>
      </c>
      <c r="N147" t="s">
        <v>3</v>
      </c>
      <c r="O147" t="s">
        <v>3</v>
      </c>
      <c r="P147" t="s">
        <v>3</v>
      </c>
      <c r="Q147" t="s">
        <v>8</v>
      </c>
      <c r="R147" t="s">
        <v>373</v>
      </c>
      <c r="S147" t="s">
        <v>8</v>
      </c>
      <c r="T147" t="s">
        <v>2009</v>
      </c>
      <c r="U147" t="s">
        <v>3</v>
      </c>
      <c r="V147" t="s">
        <v>3</v>
      </c>
      <c r="W147" t="s">
        <v>1993</v>
      </c>
      <c r="AA147" t="s">
        <v>3</v>
      </c>
      <c r="AB147" t="s">
        <v>8</v>
      </c>
      <c r="AC147" t="s">
        <v>3</v>
      </c>
      <c r="AD147" t="s">
        <v>8</v>
      </c>
      <c r="AE147" t="s">
        <v>67</v>
      </c>
      <c r="AF147" t="s">
        <v>2012</v>
      </c>
    </row>
    <row r="148" spans="1:32" x14ac:dyDescent="0.45">
      <c r="A148" t="s">
        <v>2013</v>
      </c>
      <c r="B148" t="s">
        <v>2014</v>
      </c>
      <c r="C148" t="s">
        <v>2015</v>
      </c>
      <c r="D148" t="s">
        <v>2014</v>
      </c>
      <c r="E148" t="s">
        <v>1503</v>
      </c>
      <c r="F148" t="s">
        <v>2016</v>
      </c>
      <c r="H148" t="s">
        <v>2017</v>
      </c>
      <c r="I148" t="s">
        <v>2018</v>
      </c>
      <c r="J148" t="s">
        <v>8</v>
      </c>
      <c r="K148" t="s">
        <v>3</v>
      </c>
      <c r="L148" t="s">
        <v>3</v>
      </c>
      <c r="M148" t="s">
        <v>373</v>
      </c>
      <c r="N148" t="s">
        <v>3</v>
      </c>
      <c r="O148" t="s">
        <v>3</v>
      </c>
      <c r="P148" t="s">
        <v>3</v>
      </c>
      <c r="Q148" t="s">
        <v>67</v>
      </c>
      <c r="R148" t="s">
        <v>373</v>
      </c>
      <c r="S148" t="s">
        <v>8</v>
      </c>
      <c r="T148" t="s">
        <v>2013</v>
      </c>
      <c r="U148" t="s">
        <v>3</v>
      </c>
      <c r="V148" t="s">
        <v>3</v>
      </c>
      <c r="W148" t="s">
        <v>726</v>
      </c>
      <c r="AA148" t="s">
        <v>3</v>
      </c>
      <c r="AB148" t="s">
        <v>8</v>
      </c>
      <c r="AC148" t="s">
        <v>3</v>
      </c>
      <c r="AD148" t="s">
        <v>8</v>
      </c>
      <c r="AE148" t="s">
        <v>102</v>
      </c>
      <c r="AF148" t="s">
        <v>2019</v>
      </c>
    </row>
    <row r="149" spans="1:32" x14ac:dyDescent="0.45">
      <c r="A149" t="s">
        <v>2020</v>
      </c>
      <c r="B149" t="s">
        <v>2021</v>
      </c>
      <c r="C149" t="s">
        <v>2015</v>
      </c>
      <c r="D149" t="s">
        <v>2021</v>
      </c>
      <c r="H149" t="s">
        <v>2017</v>
      </c>
      <c r="I149" t="s">
        <v>2018</v>
      </c>
      <c r="J149" t="s">
        <v>8</v>
      </c>
      <c r="K149" t="s">
        <v>3</v>
      </c>
      <c r="L149" t="s">
        <v>3</v>
      </c>
      <c r="M149" t="s">
        <v>373</v>
      </c>
      <c r="N149" t="s">
        <v>3</v>
      </c>
      <c r="O149" t="s">
        <v>3</v>
      </c>
      <c r="P149" t="s">
        <v>3</v>
      </c>
      <c r="Q149" t="s">
        <v>67</v>
      </c>
      <c r="R149" t="s">
        <v>373</v>
      </c>
      <c r="S149" t="s">
        <v>8</v>
      </c>
      <c r="T149" t="s">
        <v>2020</v>
      </c>
      <c r="U149" t="s">
        <v>3</v>
      </c>
      <c r="V149" t="s">
        <v>3</v>
      </c>
      <c r="W149" t="s">
        <v>732</v>
      </c>
      <c r="AA149" t="s">
        <v>3</v>
      </c>
      <c r="AB149" t="s">
        <v>8</v>
      </c>
      <c r="AC149" t="s">
        <v>3</v>
      </c>
      <c r="AD149" t="s">
        <v>8</v>
      </c>
      <c r="AE149" t="s">
        <v>67</v>
      </c>
      <c r="AF149" t="s">
        <v>2022</v>
      </c>
    </row>
    <row r="150" spans="1:32" x14ac:dyDescent="0.45">
      <c r="A150" t="s">
        <v>2023</v>
      </c>
      <c r="B150" t="s">
        <v>2024</v>
      </c>
      <c r="C150" t="s">
        <v>2025</v>
      </c>
      <c r="D150" t="s">
        <v>2024</v>
      </c>
      <c r="H150" t="s">
        <v>2017</v>
      </c>
      <c r="I150" t="s">
        <v>2018</v>
      </c>
      <c r="J150" t="s">
        <v>8</v>
      </c>
      <c r="K150" t="s">
        <v>3</v>
      </c>
      <c r="L150" t="s">
        <v>3</v>
      </c>
      <c r="M150" t="s">
        <v>373</v>
      </c>
      <c r="N150" t="s">
        <v>3</v>
      </c>
      <c r="O150" t="s">
        <v>3</v>
      </c>
      <c r="P150" t="s">
        <v>3</v>
      </c>
      <c r="Q150" t="s">
        <v>67</v>
      </c>
      <c r="R150" t="s">
        <v>373</v>
      </c>
      <c r="S150" t="s">
        <v>8</v>
      </c>
      <c r="T150" t="s">
        <v>2023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97</v>
      </c>
      <c r="AF150" t="s">
        <v>2026</v>
      </c>
    </row>
    <row r="151" spans="1:32" x14ac:dyDescent="0.45">
      <c r="A151" t="s">
        <v>2027</v>
      </c>
      <c r="B151" t="s">
        <v>2028</v>
      </c>
      <c r="C151" t="s">
        <v>2029</v>
      </c>
      <c r="D151" t="s">
        <v>2030</v>
      </c>
      <c r="H151" t="s">
        <v>2017</v>
      </c>
      <c r="I151" t="s">
        <v>2018</v>
      </c>
      <c r="J151" t="s">
        <v>8</v>
      </c>
      <c r="K151" t="s">
        <v>3</v>
      </c>
      <c r="L151" t="s">
        <v>3</v>
      </c>
      <c r="M151" t="s">
        <v>373</v>
      </c>
      <c r="N151" t="s">
        <v>3</v>
      </c>
      <c r="O151" t="s">
        <v>3</v>
      </c>
      <c r="P151" t="s">
        <v>3</v>
      </c>
      <c r="Q151" t="s">
        <v>67</v>
      </c>
      <c r="R151" t="s">
        <v>373</v>
      </c>
      <c r="S151" t="s">
        <v>8</v>
      </c>
      <c r="T151" t="s">
        <v>2027</v>
      </c>
      <c r="U151" t="s">
        <v>3</v>
      </c>
      <c r="V151" t="s">
        <v>3</v>
      </c>
      <c r="W151" t="s">
        <v>732</v>
      </c>
      <c r="AA151" t="s">
        <v>8</v>
      </c>
      <c r="AB151" t="s">
        <v>8</v>
      </c>
      <c r="AC151" t="s">
        <v>3</v>
      </c>
      <c r="AD151" t="s">
        <v>8</v>
      </c>
      <c r="AE151" t="s">
        <v>67</v>
      </c>
      <c r="AF151" t="s">
        <v>2031</v>
      </c>
    </row>
    <row r="152" spans="1:32" x14ac:dyDescent="0.45">
      <c r="A152" t="s">
        <v>2032</v>
      </c>
      <c r="B152" t="s">
        <v>2033</v>
      </c>
      <c r="C152" t="s">
        <v>2034</v>
      </c>
      <c r="D152" t="s">
        <v>2033</v>
      </c>
      <c r="H152" t="s">
        <v>2017</v>
      </c>
      <c r="I152" t="s">
        <v>2018</v>
      </c>
      <c r="J152" t="s">
        <v>8</v>
      </c>
      <c r="K152" t="s">
        <v>3</v>
      </c>
      <c r="L152" t="s">
        <v>3</v>
      </c>
      <c r="M152" t="s">
        <v>373</v>
      </c>
      <c r="N152" t="s">
        <v>3</v>
      </c>
      <c r="O152" t="s">
        <v>3</v>
      </c>
      <c r="P152" t="s">
        <v>3</v>
      </c>
      <c r="Q152" t="s">
        <v>67</v>
      </c>
      <c r="R152" t="s">
        <v>373</v>
      </c>
      <c r="S152" t="s">
        <v>8</v>
      </c>
      <c r="T152" t="s">
        <v>2032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97</v>
      </c>
      <c r="AF152" t="s">
        <v>2035</v>
      </c>
    </row>
    <row r="153" spans="1:32" x14ac:dyDescent="0.45">
      <c r="A153" t="s">
        <v>2036</v>
      </c>
      <c r="B153" t="s">
        <v>2037</v>
      </c>
      <c r="C153" t="s">
        <v>2038</v>
      </c>
      <c r="D153" t="s">
        <v>2039</v>
      </c>
      <c r="H153" t="s">
        <v>2017</v>
      </c>
      <c r="I153" t="s">
        <v>2018</v>
      </c>
      <c r="J153" t="s">
        <v>8</v>
      </c>
      <c r="K153" t="s">
        <v>3</v>
      </c>
      <c r="L153" t="s">
        <v>3</v>
      </c>
      <c r="M153" t="s">
        <v>373</v>
      </c>
      <c r="N153" t="s">
        <v>3</v>
      </c>
      <c r="O153" t="s">
        <v>3</v>
      </c>
      <c r="P153" t="s">
        <v>3</v>
      </c>
      <c r="Q153" t="s">
        <v>8</v>
      </c>
      <c r="R153" t="s">
        <v>373</v>
      </c>
      <c r="S153" t="s">
        <v>8</v>
      </c>
      <c r="T153" t="s">
        <v>2036</v>
      </c>
      <c r="U153" t="s">
        <v>3</v>
      </c>
      <c r="V153" t="s">
        <v>3</v>
      </c>
      <c r="W153" t="s">
        <v>735</v>
      </c>
      <c r="AA153" t="s">
        <v>8</v>
      </c>
      <c r="AB153" t="s">
        <v>8</v>
      </c>
      <c r="AC153" t="s">
        <v>3</v>
      </c>
      <c r="AD153" t="s">
        <v>8</v>
      </c>
      <c r="AE153" t="s">
        <v>69</v>
      </c>
      <c r="AF153" t="s">
        <v>2040</v>
      </c>
    </row>
    <row r="154" spans="1:32" x14ac:dyDescent="0.45">
      <c r="A154" t="s">
        <v>2041</v>
      </c>
      <c r="B154" t="s">
        <v>2042</v>
      </c>
      <c r="C154" t="s">
        <v>2043</v>
      </c>
      <c r="D154" t="s">
        <v>2044</v>
      </c>
      <c r="E154" t="s">
        <v>1511</v>
      </c>
      <c r="F154" t="s">
        <v>2045</v>
      </c>
      <c r="H154" t="s">
        <v>2046</v>
      </c>
      <c r="I154" t="s">
        <v>2046</v>
      </c>
      <c r="J154" t="s">
        <v>8</v>
      </c>
      <c r="K154" t="s">
        <v>3</v>
      </c>
      <c r="L154" t="s">
        <v>3</v>
      </c>
      <c r="M154" t="s">
        <v>373</v>
      </c>
      <c r="N154" t="s">
        <v>3</v>
      </c>
      <c r="O154" t="s">
        <v>3</v>
      </c>
      <c r="P154" t="s">
        <v>3</v>
      </c>
      <c r="Q154" t="s">
        <v>8</v>
      </c>
      <c r="R154" t="s">
        <v>373</v>
      </c>
      <c r="S154" t="s">
        <v>8</v>
      </c>
      <c r="T154" t="s">
        <v>2041</v>
      </c>
      <c r="U154" t="s">
        <v>3</v>
      </c>
      <c r="V154" t="s">
        <v>3</v>
      </c>
      <c r="W154" t="s">
        <v>732</v>
      </c>
      <c r="AA154" t="s">
        <v>8</v>
      </c>
      <c r="AB154" t="s">
        <v>8</v>
      </c>
      <c r="AC154" t="s">
        <v>3</v>
      </c>
      <c r="AD154" t="s">
        <v>8</v>
      </c>
      <c r="AE154" t="s">
        <v>67</v>
      </c>
      <c r="AF154" t="s">
        <v>2047</v>
      </c>
    </row>
    <row r="155" spans="1:32" x14ac:dyDescent="0.45">
      <c r="A155" t="s">
        <v>2048</v>
      </c>
      <c r="B155" t="s">
        <v>2049</v>
      </c>
      <c r="C155" t="s">
        <v>2050</v>
      </c>
      <c r="D155" t="s">
        <v>2049</v>
      </c>
      <c r="E155" t="s">
        <v>1511</v>
      </c>
      <c r="F155" t="s">
        <v>2051</v>
      </c>
      <c r="H155" t="s">
        <v>2046</v>
      </c>
      <c r="I155" t="s">
        <v>2052</v>
      </c>
      <c r="J155" t="s">
        <v>8</v>
      </c>
      <c r="K155" t="s">
        <v>3</v>
      </c>
      <c r="L155" t="s">
        <v>3</v>
      </c>
      <c r="M155" t="s">
        <v>373</v>
      </c>
      <c r="N155" t="s">
        <v>3</v>
      </c>
      <c r="O155" t="s">
        <v>3</v>
      </c>
      <c r="P155" t="s">
        <v>3</v>
      </c>
      <c r="Q155" t="s">
        <v>8</v>
      </c>
      <c r="R155" t="s">
        <v>373</v>
      </c>
      <c r="S155" t="s">
        <v>8</v>
      </c>
      <c r="T155" t="s">
        <v>2048</v>
      </c>
      <c r="U155" t="s">
        <v>3</v>
      </c>
      <c r="V155" t="s">
        <v>3</v>
      </c>
      <c r="W155" t="s">
        <v>760</v>
      </c>
      <c r="AA155" t="s">
        <v>3</v>
      </c>
      <c r="AB155" t="s">
        <v>8</v>
      </c>
      <c r="AC155" t="s">
        <v>3</v>
      </c>
      <c r="AD155" t="s">
        <v>8</v>
      </c>
      <c r="AE155" t="s">
        <v>97</v>
      </c>
      <c r="AF155" t="s">
        <v>2053</v>
      </c>
    </row>
    <row r="156" spans="1:32" x14ac:dyDescent="0.45">
      <c r="A156" t="s">
        <v>2054</v>
      </c>
      <c r="B156" t="s">
        <v>2055</v>
      </c>
      <c r="C156" t="s">
        <v>2056</v>
      </c>
      <c r="D156" t="s">
        <v>2055</v>
      </c>
      <c r="J156" t="s">
        <v>8</v>
      </c>
      <c r="K156" t="s">
        <v>3</v>
      </c>
      <c r="L156" t="s">
        <v>3</v>
      </c>
      <c r="M156" t="s">
        <v>373</v>
      </c>
      <c r="N156" t="s">
        <v>3</v>
      </c>
      <c r="O156" t="s">
        <v>3</v>
      </c>
      <c r="P156" t="s">
        <v>3</v>
      </c>
      <c r="Q156" t="s">
        <v>8</v>
      </c>
      <c r="R156" t="s">
        <v>373</v>
      </c>
      <c r="S156" t="s">
        <v>8</v>
      </c>
      <c r="T156" t="s">
        <v>2054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62</v>
      </c>
      <c r="AF156" t="s">
        <v>2057</v>
      </c>
    </row>
    <row r="157" spans="1:32" x14ac:dyDescent="0.45">
      <c r="A157" t="s">
        <v>2058</v>
      </c>
      <c r="B157" t="s">
        <v>2059</v>
      </c>
      <c r="C157" t="s">
        <v>2060</v>
      </c>
      <c r="D157" t="s">
        <v>2059</v>
      </c>
      <c r="J157" t="s">
        <v>8</v>
      </c>
      <c r="K157" t="s">
        <v>3</v>
      </c>
      <c r="L157" t="s">
        <v>3</v>
      </c>
      <c r="M157" t="s">
        <v>373</v>
      </c>
      <c r="N157" t="s">
        <v>3</v>
      </c>
      <c r="O157" t="s">
        <v>3</v>
      </c>
      <c r="P157" t="s">
        <v>3</v>
      </c>
      <c r="Q157" t="s">
        <v>67</v>
      </c>
      <c r="R157" t="s">
        <v>373</v>
      </c>
      <c r="S157" t="s">
        <v>8</v>
      </c>
      <c r="T157" t="s">
        <v>2058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105</v>
      </c>
      <c r="AF157" t="s">
        <v>2061</v>
      </c>
    </row>
    <row r="158" spans="1:32" x14ac:dyDescent="0.45">
      <c r="A158" t="s">
        <v>2062</v>
      </c>
      <c r="B158" t="s">
        <v>2063</v>
      </c>
      <c r="C158" t="s">
        <v>2064</v>
      </c>
      <c r="D158" t="s">
        <v>2065</v>
      </c>
      <c r="E158" t="s">
        <v>2066</v>
      </c>
      <c r="F158" t="s">
        <v>2067</v>
      </c>
      <c r="H158" t="s">
        <v>2068</v>
      </c>
      <c r="I158" t="s">
        <v>2069</v>
      </c>
      <c r="J158" t="s">
        <v>8</v>
      </c>
      <c r="K158" t="s">
        <v>3</v>
      </c>
      <c r="L158" t="s">
        <v>3</v>
      </c>
      <c r="M158" t="s">
        <v>373</v>
      </c>
      <c r="N158" t="s">
        <v>3</v>
      </c>
      <c r="O158" t="s">
        <v>3</v>
      </c>
      <c r="P158" t="s">
        <v>3</v>
      </c>
      <c r="Q158" t="s">
        <v>8</v>
      </c>
      <c r="R158" t="s">
        <v>373</v>
      </c>
      <c r="S158" t="s">
        <v>8</v>
      </c>
      <c r="T158" t="s">
        <v>2062</v>
      </c>
      <c r="U158" t="s">
        <v>3</v>
      </c>
      <c r="V158" t="s">
        <v>3</v>
      </c>
      <c r="W158" t="s">
        <v>814</v>
      </c>
      <c r="AA158" t="s">
        <v>3</v>
      </c>
      <c r="AB158" t="s">
        <v>8</v>
      </c>
      <c r="AC158" t="s">
        <v>3</v>
      </c>
      <c r="AD158" t="s">
        <v>8</v>
      </c>
      <c r="AE158" t="s">
        <v>67</v>
      </c>
      <c r="AF158" t="s">
        <v>2070</v>
      </c>
    </row>
    <row r="159" spans="1:32" x14ac:dyDescent="0.45">
      <c r="A159" t="s">
        <v>2071</v>
      </c>
      <c r="B159" t="s">
        <v>2072</v>
      </c>
      <c r="C159" t="s">
        <v>2064</v>
      </c>
      <c r="D159" t="s">
        <v>2072</v>
      </c>
      <c r="H159" t="s">
        <v>2068</v>
      </c>
      <c r="I159" t="s">
        <v>2069</v>
      </c>
      <c r="J159" t="s">
        <v>8</v>
      </c>
      <c r="K159" t="s">
        <v>3</v>
      </c>
      <c r="L159" t="s">
        <v>3</v>
      </c>
      <c r="M159" t="s">
        <v>373</v>
      </c>
      <c r="N159" t="s">
        <v>3</v>
      </c>
      <c r="O159" t="s">
        <v>3</v>
      </c>
      <c r="P159" t="s">
        <v>3</v>
      </c>
      <c r="Q159" t="s">
        <v>8</v>
      </c>
      <c r="R159" t="s">
        <v>373</v>
      </c>
      <c r="S159" t="s">
        <v>8</v>
      </c>
      <c r="T159" t="s">
        <v>2071</v>
      </c>
      <c r="U159" t="s">
        <v>3</v>
      </c>
      <c r="V159" t="s">
        <v>3</v>
      </c>
      <c r="W159" t="s">
        <v>818</v>
      </c>
      <c r="AA159" t="s">
        <v>3</v>
      </c>
      <c r="AB159" t="s">
        <v>8</v>
      </c>
      <c r="AC159" t="s">
        <v>3</v>
      </c>
      <c r="AD159" t="s">
        <v>8</v>
      </c>
      <c r="AE159" t="s">
        <v>67</v>
      </c>
      <c r="AF159" t="s">
        <v>2073</v>
      </c>
    </row>
    <row r="160" spans="1:32" x14ac:dyDescent="0.45">
      <c r="A160" t="s">
        <v>2074</v>
      </c>
      <c r="B160" t="s">
        <v>2075</v>
      </c>
      <c r="C160" t="s">
        <v>2064</v>
      </c>
      <c r="D160" t="s">
        <v>2076</v>
      </c>
      <c r="H160" t="s">
        <v>2068</v>
      </c>
      <c r="I160" t="s">
        <v>2069</v>
      </c>
      <c r="J160" t="s">
        <v>8</v>
      </c>
      <c r="K160" t="s">
        <v>3</v>
      </c>
      <c r="L160" t="s">
        <v>3</v>
      </c>
      <c r="M160" t="s">
        <v>373</v>
      </c>
      <c r="N160" t="s">
        <v>3</v>
      </c>
      <c r="O160" t="s">
        <v>3</v>
      </c>
      <c r="P160" t="s">
        <v>3</v>
      </c>
      <c r="Q160" t="s">
        <v>8</v>
      </c>
      <c r="R160" t="s">
        <v>373</v>
      </c>
      <c r="S160" t="s">
        <v>8</v>
      </c>
      <c r="T160" t="s">
        <v>2074</v>
      </c>
      <c r="U160" t="s">
        <v>3</v>
      </c>
      <c r="V160" t="s">
        <v>3</v>
      </c>
      <c r="W160" t="s">
        <v>845</v>
      </c>
      <c r="AA160" t="s">
        <v>3</v>
      </c>
      <c r="AB160" t="s">
        <v>8</v>
      </c>
      <c r="AC160" t="s">
        <v>3</v>
      </c>
      <c r="AD160" t="s">
        <v>8</v>
      </c>
      <c r="AE160" t="s">
        <v>97</v>
      </c>
      <c r="AF160" t="s">
        <v>2077</v>
      </c>
    </row>
    <row r="161" spans="1:32" x14ac:dyDescent="0.45">
      <c r="A161" t="s">
        <v>2078</v>
      </c>
      <c r="B161" t="s">
        <v>2079</v>
      </c>
      <c r="C161" t="s">
        <v>2064</v>
      </c>
      <c r="D161" t="s">
        <v>2080</v>
      </c>
      <c r="H161" t="s">
        <v>2068</v>
      </c>
      <c r="I161" t="s">
        <v>2069</v>
      </c>
      <c r="J161" t="s">
        <v>8</v>
      </c>
      <c r="K161" t="s">
        <v>3</v>
      </c>
      <c r="L161" t="s">
        <v>3</v>
      </c>
      <c r="M161" t="s">
        <v>373</v>
      </c>
      <c r="N161" t="s">
        <v>3</v>
      </c>
      <c r="O161" t="s">
        <v>3</v>
      </c>
      <c r="P161" t="s">
        <v>3</v>
      </c>
      <c r="Q161" t="s">
        <v>8</v>
      </c>
      <c r="R161" t="s">
        <v>373</v>
      </c>
      <c r="S161" t="s">
        <v>8</v>
      </c>
      <c r="T161" t="s">
        <v>2078</v>
      </c>
      <c r="U161" t="s">
        <v>3</v>
      </c>
      <c r="V161" t="s">
        <v>3</v>
      </c>
      <c r="W161" t="s">
        <v>865</v>
      </c>
      <c r="AA161" t="s">
        <v>3</v>
      </c>
      <c r="AB161" t="s">
        <v>8</v>
      </c>
      <c r="AC161" t="s">
        <v>3</v>
      </c>
      <c r="AD161" t="s">
        <v>8</v>
      </c>
      <c r="AE161" t="s">
        <v>97</v>
      </c>
      <c r="AF161" t="s">
        <v>2081</v>
      </c>
    </row>
    <row r="162" spans="1:32" x14ac:dyDescent="0.45">
      <c r="A162" t="s">
        <v>2082</v>
      </c>
      <c r="B162" t="s">
        <v>2083</v>
      </c>
      <c r="C162" t="s">
        <v>2064</v>
      </c>
      <c r="D162" t="s">
        <v>2084</v>
      </c>
      <c r="H162" t="s">
        <v>2068</v>
      </c>
      <c r="I162" t="s">
        <v>2069</v>
      </c>
      <c r="J162" t="s">
        <v>8</v>
      </c>
      <c r="K162" t="s">
        <v>3</v>
      </c>
      <c r="L162" t="s">
        <v>3</v>
      </c>
      <c r="M162" t="s">
        <v>373</v>
      </c>
      <c r="N162" t="s">
        <v>3</v>
      </c>
      <c r="O162" t="s">
        <v>3</v>
      </c>
      <c r="P162" t="s">
        <v>3</v>
      </c>
      <c r="Q162" t="s">
        <v>8</v>
      </c>
      <c r="R162" t="s">
        <v>373</v>
      </c>
      <c r="S162" t="s">
        <v>8</v>
      </c>
      <c r="T162" t="s">
        <v>2082</v>
      </c>
      <c r="U162" t="s">
        <v>3</v>
      </c>
      <c r="V162" t="s">
        <v>3</v>
      </c>
      <c r="W162" t="s">
        <v>818</v>
      </c>
      <c r="AA162" t="s">
        <v>8</v>
      </c>
      <c r="AB162" t="s">
        <v>8</v>
      </c>
      <c r="AC162" t="s">
        <v>3</v>
      </c>
      <c r="AD162" t="s">
        <v>8</v>
      </c>
      <c r="AE162" t="s">
        <v>67</v>
      </c>
      <c r="AF162" t="s">
        <v>2085</v>
      </c>
    </row>
    <row r="163" spans="1:32" x14ac:dyDescent="0.45">
      <c r="A163" t="s">
        <v>2086</v>
      </c>
      <c r="B163" t="s">
        <v>2087</v>
      </c>
      <c r="C163" t="s">
        <v>2064</v>
      </c>
      <c r="D163" t="s">
        <v>2087</v>
      </c>
      <c r="E163" t="s">
        <v>2066</v>
      </c>
      <c r="F163" t="s">
        <v>2067</v>
      </c>
      <c r="H163" t="s">
        <v>2068</v>
      </c>
      <c r="I163" t="s">
        <v>2069</v>
      </c>
      <c r="J163" t="s">
        <v>8</v>
      </c>
      <c r="K163" t="s">
        <v>3</v>
      </c>
      <c r="L163" t="s">
        <v>3</v>
      </c>
      <c r="M163" t="s">
        <v>373</v>
      </c>
      <c r="N163" t="s">
        <v>3</v>
      </c>
      <c r="O163" t="s">
        <v>3</v>
      </c>
      <c r="P163" t="s">
        <v>3</v>
      </c>
      <c r="Q163" t="s">
        <v>8</v>
      </c>
      <c r="R163" t="s">
        <v>373</v>
      </c>
      <c r="S163" t="s">
        <v>3</v>
      </c>
      <c r="T163" t="s">
        <v>2086</v>
      </c>
      <c r="U163" t="s">
        <v>3</v>
      </c>
      <c r="V163" t="s">
        <v>3</v>
      </c>
      <c r="W163"/>
      <c r="AA163" t="s">
        <v>3</v>
      </c>
      <c r="AB163" t="s">
        <v>8</v>
      </c>
      <c r="AC163" t="s">
        <v>3</v>
      </c>
      <c r="AD163" t="s">
        <v>8</v>
      </c>
      <c r="AE163" t="s">
        <v>2088</v>
      </c>
      <c r="AF163" t="s">
        <v>2089</v>
      </c>
    </row>
    <row r="164" spans="1:32" x14ac:dyDescent="0.45">
      <c r="A164" t="s">
        <v>2090</v>
      </c>
      <c r="B164" t="s">
        <v>2091</v>
      </c>
      <c r="C164" t="s">
        <v>2064</v>
      </c>
      <c r="D164" t="s">
        <v>2092</v>
      </c>
      <c r="H164" t="s">
        <v>2068</v>
      </c>
      <c r="I164" t="s">
        <v>2069</v>
      </c>
      <c r="J164" t="s">
        <v>8</v>
      </c>
      <c r="K164" t="s">
        <v>3</v>
      </c>
      <c r="L164" t="s">
        <v>3</v>
      </c>
      <c r="M164" t="s">
        <v>373</v>
      </c>
      <c r="N164" t="s">
        <v>3</v>
      </c>
      <c r="O164" t="s">
        <v>3</v>
      </c>
      <c r="P164" t="s">
        <v>3</v>
      </c>
      <c r="Q164" t="s">
        <v>8</v>
      </c>
      <c r="R164" t="s">
        <v>373</v>
      </c>
      <c r="S164" t="s">
        <v>8</v>
      </c>
      <c r="T164" t="s">
        <v>2090</v>
      </c>
      <c r="U164" t="s">
        <v>3</v>
      </c>
      <c r="V164" t="s">
        <v>3</v>
      </c>
      <c r="W164" t="s">
        <v>867</v>
      </c>
      <c r="Z164" t="s">
        <v>1552</v>
      </c>
      <c r="AA164" t="s">
        <v>3</v>
      </c>
      <c r="AB164" t="s">
        <v>8</v>
      </c>
      <c r="AC164" t="s">
        <v>3</v>
      </c>
      <c r="AD164" t="s">
        <v>8</v>
      </c>
      <c r="AE164" t="s">
        <v>67</v>
      </c>
      <c r="AF164" t="s">
        <v>2093</v>
      </c>
    </row>
    <row r="165" spans="1:32" x14ac:dyDescent="0.45">
      <c r="A165" t="s">
        <v>2094</v>
      </c>
      <c r="B165" t="s">
        <v>2095</v>
      </c>
      <c r="C165" t="s">
        <v>2096</v>
      </c>
      <c r="D165" t="s">
        <v>2095</v>
      </c>
      <c r="E165" t="s">
        <v>2066</v>
      </c>
      <c r="F165" t="s">
        <v>2097</v>
      </c>
      <c r="H165" t="s">
        <v>2098</v>
      </c>
      <c r="I165" t="s">
        <v>2099</v>
      </c>
      <c r="J165" t="s">
        <v>8</v>
      </c>
      <c r="K165" t="s">
        <v>3</v>
      </c>
      <c r="L165" t="s">
        <v>3</v>
      </c>
      <c r="M165" t="s">
        <v>373</v>
      </c>
      <c r="N165" t="s">
        <v>3</v>
      </c>
      <c r="O165" t="s">
        <v>3</v>
      </c>
      <c r="P165" t="s">
        <v>3</v>
      </c>
      <c r="Q165" t="s">
        <v>8</v>
      </c>
      <c r="R165" t="s">
        <v>373</v>
      </c>
      <c r="S165" t="s">
        <v>8</v>
      </c>
      <c r="T165" t="s">
        <v>2094</v>
      </c>
      <c r="U165" t="s">
        <v>3</v>
      </c>
      <c r="V165" t="s">
        <v>3</v>
      </c>
      <c r="W165" t="s">
        <v>814</v>
      </c>
      <c r="AA165" t="s">
        <v>3</v>
      </c>
      <c r="AB165" t="s">
        <v>8</v>
      </c>
      <c r="AC165" t="s">
        <v>3</v>
      </c>
      <c r="AD165" t="s">
        <v>8</v>
      </c>
      <c r="AE165" t="s">
        <v>67</v>
      </c>
      <c r="AF165" t="s">
        <v>2100</v>
      </c>
    </row>
    <row r="166" spans="1:32" x14ac:dyDescent="0.45">
      <c r="A166" t="s">
        <v>2101</v>
      </c>
      <c r="B166" t="s">
        <v>2102</v>
      </c>
      <c r="C166" t="s">
        <v>2103</v>
      </c>
      <c r="D166" t="s">
        <v>2102</v>
      </c>
      <c r="E166" t="s">
        <v>2066</v>
      </c>
      <c r="F166" t="s">
        <v>2097</v>
      </c>
      <c r="H166" t="s">
        <v>2098</v>
      </c>
      <c r="I166" t="s">
        <v>2099</v>
      </c>
      <c r="J166" t="s">
        <v>8</v>
      </c>
      <c r="K166" t="s">
        <v>3</v>
      </c>
      <c r="L166" t="s">
        <v>3</v>
      </c>
      <c r="M166" t="s">
        <v>373</v>
      </c>
      <c r="N166" t="s">
        <v>3</v>
      </c>
      <c r="O166" t="s">
        <v>3</v>
      </c>
      <c r="P166" t="s">
        <v>3</v>
      </c>
      <c r="Q166" t="s">
        <v>8</v>
      </c>
      <c r="R166" t="s">
        <v>373</v>
      </c>
      <c r="S166" t="s">
        <v>8</v>
      </c>
      <c r="T166" t="s">
        <v>2101</v>
      </c>
      <c r="U166" t="s">
        <v>3</v>
      </c>
      <c r="V166" t="s">
        <v>3</v>
      </c>
      <c r="W166" t="s">
        <v>814</v>
      </c>
      <c r="AA166" t="s">
        <v>3</v>
      </c>
      <c r="AB166" t="s">
        <v>8</v>
      </c>
      <c r="AC166" t="s">
        <v>3</v>
      </c>
      <c r="AD166" t="s">
        <v>8</v>
      </c>
      <c r="AE166" t="s">
        <v>67</v>
      </c>
      <c r="AF166" t="s">
        <v>2104</v>
      </c>
    </row>
    <row r="167" spans="1:32" x14ac:dyDescent="0.45">
      <c r="A167" t="s">
        <v>2105</v>
      </c>
      <c r="B167" t="s">
        <v>2106</v>
      </c>
      <c r="C167" t="s">
        <v>2107</v>
      </c>
      <c r="D167" t="s">
        <v>2106</v>
      </c>
      <c r="E167" t="s">
        <v>2066</v>
      </c>
      <c r="F167" t="s">
        <v>2097</v>
      </c>
      <c r="H167" t="s">
        <v>2098</v>
      </c>
      <c r="I167" t="s">
        <v>2099</v>
      </c>
      <c r="J167" t="s">
        <v>8</v>
      </c>
      <c r="K167" t="s">
        <v>3</v>
      </c>
      <c r="L167" t="s">
        <v>3</v>
      </c>
      <c r="M167" t="s">
        <v>373</v>
      </c>
      <c r="N167" t="s">
        <v>3</v>
      </c>
      <c r="O167" t="s">
        <v>3</v>
      </c>
      <c r="P167" t="s">
        <v>3</v>
      </c>
      <c r="Q167" t="s">
        <v>8</v>
      </c>
      <c r="R167" t="s">
        <v>373</v>
      </c>
      <c r="S167" t="s">
        <v>8</v>
      </c>
      <c r="T167" t="s">
        <v>2105</v>
      </c>
      <c r="U167" t="s">
        <v>3</v>
      </c>
      <c r="V167" t="s">
        <v>3</v>
      </c>
      <c r="W167" t="s">
        <v>814</v>
      </c>
      <c r="AA167" t="s">
        <v>3</v>
      </c>
      <c r="AB167" t="s">
        <v>8</v>
      </c>
      <c r="AC167" t="s">
        <v>3</v>
      </c>
      <c r="AD167" t="s">
        <v>8</v>
      </c>
      <c r="AE167" t="s">
        <v>67</v>
      </c>
      <c r="AF167" t="s">
        <v>2108</v>
      </c>
    </row>
    <row r="168" spans="1:32" x14ac:dyDescent="0.45">
      <c r="A168" t="s">
        <v>2109</v>
      </c>
      <c r="B168" t="s">
        <v>2110</v>
      </c>
      <c r="C168" t="s">
        <v>2111</v>
      </c>
      <c r="D168" t="s">
        <v>2110</v>
      </c>
      <c r="E168" t="s">
        <v>2066</v>
      </c>
      <c r="F168" t="s">
        <v>2097</v>
      </c>
      <c r="H168" t="s">
        <v>2098</v>
      </c>
      <c r="I168" t="s">
        <v>2099</v>
      </c>
      <c r="J168" t="s">
        <v>8</v>
      </c>
      <c r="K168" t="s">
        <v>3</v>
      </c>
      <c r="L168" t="s">
        <v>3</v>
      </c>
      <c r="M168" t="s">
        <v>373</v>
      </c>
      <c r="N168" t="s">
        <v>3</v>
      </c>
      <c r="O168" t="s">
        <v>3</v>
      </c>
      <c r="P168" t="s">
        <v>3</v>
      </c>
      <c r="Q168" t="s">
        <v>8</v>
      </c>
      <c r="R168" t="s">
        <v>373</v>
      </c>
      <c r="S168" t="s">
        <v>8</v>
      </c>
      <c r="T168" t="s">
        <v>2109</v>
      </c>
      <c r="U168" t="s">
        <v>3</v>
      </c>
      <c r="V168" t="s">
        <v>3</v>
      </c>
      <c r="W168" t="s">
        <v>814</v>
      </c>
      <c r="AA168" t="s">
        <v>3</v>
      </c>
      <c r="AB168" t="s">
        <v>8</v>
      </c>
      <c r="AC168" t="s">
        <v>3</v>
      </c>
      <c r="AD168" t="s">
        <v>8</v>
      </c>
      <c r="AE168" t="s">
        <v>67</v>
      </c>
      <c r="AF168" t="s">
        <v>2112</v>
      </c>
    </row>
    <row r="169" spans="1:32" x14ac:dyDescent="0.45">
      <c r="A169" t="s">
        <v>2113</v>
      </c>
      <c r="B169" t="s">
        <v>2114</v>
      </c>
      <c r="C169" t="s">
        <v>2115</v>
      </c>
      <c r="D169" t="s">
        <v>2116</v>
      </c>
      <c r="E169" t="s">
        <v>2066</v>
      </c>
      <c r="F169" t="s">
        <v>2097</v>
      </c>
      <c r="H169" t="s">
        <v>2098</v>
      </c>
      <c r="I169" t="s">
        <v>2099</v>
      </c>
      <c r="J169" t="s">
        <v>8</v>
      </c>
      <c r="K169" t="s">
        <v>3</v>
      </c>
      <c r="L169" t="s">
        <v>3</v>
      </c>
      <c r="M169" t="s">
        <v>373</v>
      </c>
      <c r="N169" t="s">
        <v>3</v>
      </c>
      <c r="O169" t="s">
        <v>3</v>
      </c>
      <c r="P169" t="s">
        <v>3</v>
      </c>
      <c r="Q169" t="s">
        <v>8</v>
      </c>
      <c r="R169" t="s">
        <v>373</v>
      </c>
      <c r="S169" t="s">
        <v>8</v>
      </c>
      <c r="T169" t="s">
        <v>2113</v>
      </c>
      <c r="U169" t="s">
        <v>3</v>
      </c>
      <c r="V169" t="s">
        <v>3</v>
      </c>
      <c r="W169" t="s">
        <v>814</v>
      </c>
      <c r="AA169" t="s">
        <v>3</v>
      </c>
      <c r="AB169" t="s">
        <v>8</v>
      </c>
      <c r="AC169" t="s">
        <v>3</v>
      </c>
      <c r="AD169" t="s">
        <v>8</v>
      </c>
      <c r="AE169" t="s">
        <v>67</v>
      </c>
      <c r="AF169" t="s">
        <v>2117</v>
      </c>
    </row>
    <row r="170" spans="1:32" x14ac:dyDescent="0.45">
      <c r="A170" t="s">
        <v>2118</v>
      </c>
      <c r="B170" t="s">
        <v>2119</v>
      </c>
      <c r="C170" t="s">
        <v>2120</v>
      </c>
      <c r="D170" t="s">
        <v>2119</v>
      </c>
      <c r="E170" t="s">
        <v>2066</v>
      </c>
      <c r="F170" t="s">
        <v>2097</v>
      </c>
      <c r="H170" t="s">
        <v>2098</v>
      </c>
      <c r="I170" t="s">
        <v>2099</v>
      </c>
      <c r="J170" t="s">
        <v>8</v>
      </c>
      <c r="K170" t="s">
        <v>3</v>
      </c>
      <c r="L170" t="s">
        <v>3</v>
      </c>
      <c r="M170" t="s">
        <v>373</v>
      </c>
      <c r="N170" t="s">
        <v>3</v>
      </c>
      <c r="O170" t="s">
        <v>3</v>
      </c>
      <c r="P170" t="s">
        <v>3</v>
      </c>
      <c r="Q170" t="s">
        <v>8</v>
      </c>
      <c r="R170" t="s">
        <v>373</v>
      </c>
      <c r="S170" t="s">
        <v>8</v>
      </c>
      <c r="T170" t="s">
        <v>2118</v>
      </c>
      <c r="U170" t="s">
        <v>3</v>
      </c>
      <c r="V170" t="s">
        <v>3</v>
      </c>
      <c r="W170" t="s">
        <v>814</v>
      </c>
      <c r="AA170" t="s">
        <v>3</v>
      </c>
      <c r="AB170" t="s">
        <v>8</v>
      </c>
      <c r="AC170" t="s">
        <v>3</v>
      </c>
      <c r="AD170" t="s">
        <v>8</v>
      </c>
      <c r="AE170" t="s">
        <v>67</v>
      </c>
      <c r="AF170" t="s">
        <v>2121</v>
      </c>
    </row>
    <row r="171" spans="1:32" x14ac:dyDescent="0.45">
      <c r="A171" t="s">
        <v>77</v>
      </c>
      <c r="B171" t="s">
        <v>17</v>
      </c>
      <c r="C171" t="s">
        <v>2122</v>
      </c>
      <c r="D171" t="s">
        <v>17</v>
      </c>
      <c r="E171" t="s">
        <v>2123</v>
      </c>
      <c r="F171" t="s">
        <v>2124</v>
      </c>
      <c r="H171" t="s">
        <v>2125</v>
      </c>
      <c r="I171" t="s">
        <v>2126</v>
      </c>
      <c r="J171" t="s">
        <v>8</v>
      </c>
      <c r="K171" t="s">
        <v>3</v>
      </c>
      <c r="L171" t="s">
        <v>3</v>
      </c>
      <c r="M171" t="s">
        <v>373</v>
      </c>
      <c r="N171" t="s">
        <v>3</v>
      </c>
      <c r="O171" t="s">
        <v>3</v>
      </c>
      <c r="P171" t="s">
        <v>3</v>
      </c>
      <c r="Q171" t="s">
        <v>8</v>
      </c>
      <c r="R171" t="s">
        <v>373</v>
      </c>
      <c r="S171" t="s">
        <v>8</v>
      </c>
      <c r="T171" t="s">
        <v>77</v>
      </c>
      <c r="U171" t="s">
        <v>3</v>
      </c>
      <c r="V171" t="s">
        <v>3</v>
      </c>
      <c r="W171" t="s">
        <v>475</v>
      </c>
      <c r="AA171" t="s">
        <v>8</v>
      </c>
      <c r="AB171" t="s">
        <v>8</v>
      </c>
      <c r="AC171" t="s">
        <v>3</v>
      </c>
      <c r="AD171" t="s">
        <v>8</v>
      </c>
      <c r="AE171" t="s">
        <v>62</v>
      </c>
      <c r="AF171" t="s">
        <v>2127</v>
      </c>
    </row>
    <row r="172" spans="1:32" x14ac:dyDescent="0.45">
      <c r="A172" t="s">
        <v>2128</v>
      </c>
      <c r="B172" t="s">
        <v>2129</v>
      </c>
      <c r="C172" t="s">
        <v>2122</v>
      </c>
      <c r="D172" t="s">
        <v>2130</v>
      </c>
      <c r="H172" t="s">
        <v>2125</v>
      </c>
      <c r="I172" t="s">
        <v>2126</v>
      </c>
      <c r="J172" t="s">
        <v>8</v>
      </c>
      <c r="K172" t="s">
        <v>3</v>
      </c>
      <c r="L172" t="s">
        <v>3</v>
      </c>
      <c r="M172" t="s">
        <v>373</v>
      </c>
      <c r="N172" t="s">
        <v>3</v>
      </c>
      <c r="O172" t="s">
        <v>3</v>
      </c>
      <c r="P172" t="s">
        <v>3</v>
      </c>
      <c r="Q172" t="s">
        <v>8</v>
      </c>
      <c r="R172" t="s">
        <v>373</v>
      </c>
      <c r="S172" t="s">
        <v>8</v>
      </c>
      <c r="T172" t="s">
        <v>2128</v>
      </c>
      <c r="U172" t="s">
        <v>3</v>
      </c>
      <c r="V172" t="s">
        <v>3</v>
      </c>
      <c r="W172" t="s">
        <v>76</v>
      </c>
      <c r="AA172" t="s">
        <v>8</v>
      </c>
      <c r="AB172" t="s">
        <v>8</v>
      </c>
      <c r="AC172" t="s">
        <v>3</v>
      </c>
      <c r="AD172" t="s">
        <v>8</v>
      </c>
      <c r="AE172" t="s">
        <v>67</v>
      </c>
      <c r="AF172" t="s">
        <v>2131</v>
      </c>
    </row>
    <row r="173" spans="1:32" x14ac:dyDescent="0.45">
      <c r="A173" t="s">
        <v>2132</v>
      </c>
      <c r="B173" t="s">
        <v>2133</v>
      </c>
      <c r="C173" t="s">
        <v>2134</v>
      </c>
      <c r="D173" t="s">
        <v>2130</v>
      </c>
      <c r="H173" t="s">
        <v>2125</v>
      </c>
      <c r="I173" t="s">
        <v>2126</v>
      </c>
      <c r="J173" t="s">
        <v>8</v>
      </c>
      <c r="K173" t="s">
        <v>3</v>
      </c>
      <c r="L173" t="s">
        <v>3</v>
      </c>
      <c r="M173" t="s">
        <v>373</v>
      </c>
      <c r="N173" t="s">
        <v>3</v>
      </c>
      <c r="O173" t="s">
        <v>3</v>
      </c>
      <c r="P173" t="s">
        <v>3</v>
      </c>
      <c r="Q173" t="s">
        <v>3</v>
      </c>
      <c r="R173" t="s">
        <v>373</v>
      </c>
      <c r="S173" t="s">
        <v>8</v>
      </c>
      <c r="T173" t="s">
        <v>2132</v>
      </c>
      <c r="U173" t="s">
        <v>3</v>
      </c>
      <c r="V173" t="s">
        <v>3</v>
      </c>
      <c r="W173" t="s">
        <v>126</v>
      </c>
      <c r="AA173" t="s">
        <v>8</v>
      </c>
      <c r="AB173" t="s">
        <v>3</v>
      </c>
      <c r="AC173" t="s">
        <v>3</v>
      </c>
      <c r="AD173" t="s">
        <v>8</v>
      </c>
      <c r="AE173" t="s">
        <v>62</v>
      </c>
      <c r="AF173" t="s">
        <v>2135</v>
      </c>
    </row>
    <row r="174" spans="1:32" x14ac:dyDescent="0.45">
      <c r="A174" t="s">
        <v>80</v>
      </c>
      <c r="B174" t="s">
        <v>2136</v>
      </c>
      <c r="C174" t="s">
        <v>2137</v>
      </c>
      <c r="D174" t="s">
        <v>18</v>
      </c>
      <c r="E174" t="s">
        <v>2123</v>
      </c>
      <c r="F174" t="s">
        <v>2138</v>
      </c>
      <c r="H174" t="s">
        <v>2139</v>
      </c>
      <c r="I174" t="s">
        <v>2140</v>
      </c>
      <c r="J174" t="s">
        <v>8</v>
      </c>
      <c r="K174" t="s">
        <v>3</v>
      </c>
      <c r="L174" t="s">
        <v>3</v>
      </c>
      <c r="M174" t="s">
        <v>373</v>
      </c>
      <c r="N174" t="s">
        <v>3</v>
      </c>
      <c r="O174" t="s">
        <v>3</v>
      </c>
      <c r="P174" t="s">
        <v>3</v>
      </c>
      <c r="Q174" t="s">
        <v>8</v>
      </c>
      <c r="R174" t="s">
        <v>373</v>
      </c>
      <c r="S174" t="s">
        <v>8</v>
      </c>
      <c r="T174" t="s">
        <v>80</v>
      </c>
      <c r="U174" t="s">
        <v>3</v>
      </c>
      <c r="V174" t="s">
        <v>3</v>
      </c>
      <c r="W174" t="s">
        <v>55</v>
      </c>
      <c r="AA174" t="s">
        <v>8</v>
      </c>
      <c r="AB174" t="s">
        <v>8</v>
      </c>
      <c r="AC174" t="s">
        <v>3</v>
      </c>
      <c r="AD174" t="s">
        <v>8</v>
      </c>
      <c r="AE174" t="s">
        <v>67</v>
      </c>
      <c r="AF174" t="s">
        <v>2141</v>
      </c>
    </row>
    <row r="175" spans="1:32" x14ac:dyDescent="0.45">
      <c r="A175" t="s">
        <v>2142</v>
      </c>
      <c r="B175" t="s">
        <v>2143</v>
      </c>
      <c r="C175" t="s">
        <v>2137</v>
      </c>
      <c r="D175" t="s">
        <v>2143</v>
      </c>
      <c r="H175" t="s">
        <v>2139</v>
      </c>
      <c r="I175" t="s">
        <v>2140</v>
      </c>
      <c r="J175" t="s">
        <v>8</v>
      </c>
      <c r="K175" t="s">
        <v>3</v>
      </c>
      <c r="L175" t="s">
        <v>3</v>
      </c>
      <c r="M175" t="s">
        <v>373</v>
      </c>
      <c r="N175" t="s">
        <v>3</v>
      </c>
      <c r="O175" t="s">
        <v>3</v>
      </c>
      <c r="P175" t="s">
        <v>3</v>
      </c>
      <c r="Q175" t="s">
        <v>67</v>
      </c>
      <c r="R175" t="s">
        <v>373</v>
      </c>
      <c r="S175" t="s">
        <v>8</v>
      </c>
      <c r="T175" t="s">
        <v>2142</v>
      </c>
      <c r="U175" t="s">
        <v>3</v>
      </c>
      <c r="V175" t="s">
        <v>3</v>
      </c>
      <c r="W175" t="s">
        <v>489</v>
      </c>
      <c r="AA175" t="s">
        <v>8</v>
      </c>
      <c r="AB175" t="s">
        <v>8</v>
      </c>
      <c r="AC175" t="s">
        <v>3</v>
      </c>
      <c r="AD175" t="s">
        <v>8</v>
      </c>
      <c r="AE175" t="s">
        <v>67</v>
      </c>
      <c r="AF175" t="s">
        <v>2144</v>
      </c>
    </row>
    <row r="176" spans="1:32" x14ac:dyDescent="0.45">
      <c r="A176" t="s">
        <v>2145</v>
      </c>
      <c r="B176" t="s">
        <v>1815</v>
      </c>
      <c r="C176" t="s">
        <v>1829</v>
      </c>
      <c r="D176" t="s">
        <v>1815</v>
      </c>
      <c r="E176" t="s">
        <v>1818</v>
      </c>
      <c r="F176" t="s">
        <v>1819</v>
      </c>
      <c r="H176" t="s">
        <v>1820</v>
      </c>
      <c r="I176" t="s">
        <v>1821</v>
      </c>
      <c r="J176" t="s">
        <v>8</v>
      </c>
      <c r="K176" t="s">
        <v>3</v>
      </c>
      <c r="L176" t="s">
        <v>3</v>
      </c>
      <c r="M176" t="s">
        <v>373</v>
      </c>
      <c r="N176" t="s">
        <v>3</v>
      </c>
      <c r="O176" t="s">
        <v>3</v>
      </c>
      <c r="P176" t="s">
        <v>3</v>
      </c>
      <c r="Q176" t="s">
        <v>8</v>
      </c>
      <c r="R176" t="s">
        <v>373</v>
      </c>
      <c r="S176" t="s">
        <v>8</v>
      </c>
      <c r="T176" t="s">
        <v>2145</v>
      </c>
      <c r="U176" t="s">
        <v>3</v>
      </c>
      <c r="V176" t="s">
        <v>3</v>
      </c>
      <c r="W176" t="s">
        <v>54</v>
      </c>
      <c r="AA176" t="s">
        <v>8</v>
      </c>
      <c r="AB176" t="s">
        <v>8</v>
      </c>
      <c r="AC176" t="s">
        <v>3</v>
      </c>
      <c r="AD176" t="s">
        <v>8</v>
      </c>
      <c r="AE176" t="s">
        <v>67</v>
      </c>
      <c r="AF176" t="s">
        <v>2146</v>
      </c>
    </row>
    <row r="177" spans="1:32" x14ac:dyDescent="0.45">
      <c r="A177" t="s">
        <v>2147</v>
      </c>
      <c r="B177" t="s">
        <v>2148</v>
      </c>
      <c r="C177" t="s">
        <v>2149</v>
      </c>
      <c r="D177" t="s">
        <v>2148</v>
      </c>
      <c r="E177" t="s">
        <v>2150</v>
      </c>
      <c r="F177" t="s">
        <v>2151</v>
      </c>
      <c r="H177" t="s">
        <v>2152</v>
      </c>
      <c r="I177" t="s">
        <v>2153</v>
      </c>
      <c r="J177" t="s">
        <v>8</v>
      </c>
      <c r="K177" t="s">
        <v>3</v>
      </c>
      <c r="L177" t="s">
        <v>3</v>
      </c>
      <c r="M177" t="s">
        <v>373</v>
      </c>
      <c r="N177" t="s">
        <v>3</v>
      </c>
      <c r="O177" t="s">
        <v>3</v>
      </c>
      <c r="P177" t="s">
        <v>3</v>
      </c>
      <c r="Q177" t="s">
        <v>8</v>
      </c>
      <c r="R177" t="s">
        <v>373</v>
      </c>
      <c r="S177" t="s">
        <v>8</v>
      </c>
      <c r="T177" t="s">
        <v>2147</v>
      </c>
      <c r="U177" t="s">
        <v>3</v>
      </c>
      <c r="V177" t="s">
        <v>3</v>
      </c>
      <c r="W177" t="s">
        <v>111</v>
      </c>
      <c r="AA177" t="s">
        <v>8</v>
      </c>
      <c r="AB177" t="s">
        <v>8</v>
      </c>
      <c r="AC177" t="s">
        <v>3</v>
      </c>
      <c r="AD177" t="s">
        <v>8</v>
      </c>
      <c r="AE177" t="s">
        <v>67</v>
      </c>
      <c r="AF177" t="s">
        <v>2154</v>
      </c>
    </row>
    <row r="178" spans="1:32" x14ac:dyDescent="0.45">
      <c r="A178" t="s">
        <v>2155</v>
      </c>
      <c r="B178" t="s">
        <v>2156</v>
      </c>
      <c r="C178" t="s">
        <v>2157</v>
      </c>
      <c r="D178" t="s">
        <v>2156</v>
      </c>
      <c r="E178" t="s">
        <v>2150</v>
      </c>
      <c r="F178" t="s">
        <v>2151</v>
      </c>
      <c r="H178" t="s">
        <v>2152</v>
      </c>
      <c r="I178" t="s">
        <v>2153</v>
      </c>
      <c r="J178" t="s">
        <v>8</v>
      </c>
      <c r="K178" t="s">
        <v>3</v>
      </c>
      <c r="L178" t="s">
        <v>3</v>
      </c>
      <c r="M178" t="s">
        <v>373</v>
      </c>
      <c r="N178" t="s">
        <v>3</v>
      </c>
      <c r="O178" t="s">
        <v>3</v>
      </c>
      <c r="P178" t="s">
        <v>3</v>
      </c>
      <c r="Q178" t="s">
        <v>8</v>
      </c>
      <c r="R178" t="s">
        <v>373</v>
      </c>
      <c r="S178" t="s">
        <v>8</v>
      </c>
      <c r="T178" t="s">
        <v>2155</v>
      </c>
      <c r="U178" t="s">
        <v>3</v>
      </c>
      <c r="V178" t="s">
        <v>3</v>
      </c>
      <c r="W178" t="s">
        <v>1229</v>
      </c>
      <c r="AA178" t="s">
        <v>8</v>
      </c>
      <c r="AB178" t="s">
        <v>8</v>
      </c>
      <c r="AC178" t="s">
        <v>3</v>
      </c>
      <c r="AD178" t="s">
        <v>8</v>
      </c>
      <c r="AE178" t="s">
        <v>67</v>
      </c>
      <c r="AF178" t="s">
        <v>2158</v>
      </c>
    </row>
    <row r="179" spans="1:32" x14ac:dyDescent="0.45">
      <c r="A179" t="s">
        <v>2159</v>
      </c>
      <c r="B179" t="s">
        <v>2160</v>
      </c>
      <c r="C179" t="s">
        <v>2161</v>
      </c>
      <c r="D179" t="s">
        <v>2160</v>
      </c>
      <c r="E179" t="s">
        <v>2162</v>
      </c>
      <c r="F179" t="s">
        <v>2163</v>
      </c>
      <c r="H179" t="s">
        <v>2164</v>
      </c>
      <c r="I179" t="s">
        <v>2165</v>
      </c>
      <c r="J179" t="s">
        <v>8</v>
      </c>
      <c r="K179" t="s">
        <v>3</v>
      </c>
      <c r="L179" t="s">
        <v>3</v>
      </c>
      <c r="M179" t="s">
        <v>373</v>
      </c>
      <c r="N179" t="s">
        <v>3</v>
      </c>
      <c r="O179" t="s">
        <v>3</v>
      </c>
      <c r="P179" t="s">
        <v>3</v>
      </c>
      <c r="Q179" t="s">
        <v>8</v>
      </c>
      <c r="R179" t="s">
        <v>373</v>
      </c>
      <c r="S179" t="s">
        <v>8</v>
      </c>
      <c r="T179" t="s">
        <v>2159</v>
      </c>
      <c r="U179" t="s">
        <v>3</v>
      </c>
      <c r="V179" t="s">
        <v>3</v>
      </c>
      <c r="W179" t="s">
        <v>6</v>
      </c>
      <c r="X179" t="s">
        <v>1031</v>
      </c>
      <c r="Y179" t="s">
        <v>62</v>
      </c>
      <c r="AA179" t="s">
        <v>3</v>
      </c>
      <c r="AB179" t="s">
        <v>8</v>
      </c>
      <c r="AC179" t="s">
        <v>3</v>
      </c>
      <c r="AD179" t="s">
        <v>8</v>
      </c>
      <c r="AE179" t="s">
        <v>67</v>
      </c>
      <c r="AF179" t="s">
        <v>2166</v>
      </c>
    </row>
    <row r="180" spans="1:32" x14ac:dyDescent="0.45">
      <c r="A180" t="s">
        <v>2167</v>
      </c>
      <c r="B180" t="s">
        <v>2168</v>
      </c>
      <c r="C180" t="s">
        <v>2161</v>
      </c>
      <c r="D180" t="s">
        <v>2168</v>
      </c>
      <c r="H180" t="s">
        <v>2164</v>
      </c>
      <c r="I180" t="s">
        <v>2165</v>
      </c>
      <c r="J180" t="s">
        <v>8</v>
      </c>
      <c r="K180" t="s">
        <v>3</v>
      </c>
      <c r="L180" t="s">
        <v>3</v>
      </c>
      <c r="M180" t="s">
        <v>373</v>
      </c>
      <c r="N180" t="s">
        <v>3</v>
      </c>
      <c r="O180" t="s">
        <v>3</v>
      </c>
      <c r="P180" t="s">
        <v>3</v>
      </c>
      <c r="Q180" t="s">
        <v>8</v>
      </c>
      <c r="R180" t="s">
        <v>373</v>
      </c>
      <c r="S180" t="s">
        <v>8</v>
      </c>
      <c r="T180" t="s">
        <v>2167</v>
      </c>
      <c r="U180" t="s">
        <v>3</v>
      </c>
      <c r="V180" t="s">
        <v>3</v>
      </c>
      <c r="W180" t="s">
        <v>235</v>
      </c>
      <c r="AA180" t="s">
        <v>3</v>
      </c>
      <c r="AB180" t="s">
        <v>8</v>
      </c>
      <c r="AC180" t="s">
        <v>3</v>
      </c>
      <c r="AD180" t="s">
        <v>8</v>
      </c>
      <c r="AE180" t="s">
        <v>67</v>
      </c>
      <c r="AF180" t="s">
        <v>2169</v>
      </c>
    </row>
    <row r="181" spans="1:32" x14ac:dyDescent="0.45">
      <c r="A181" t="s">
        <v>2170</v>
      </c>
      <c r="B181" t="s">
        <v>2168</v>
      </c>
      <c r="C181" t="s">
        <v>2161</v>
      </c>
      <c r="D181" t="s">
        <v>2168</v>
      </c>
      <c r="H181" t="s">
        <v>2164</v>
      </c>
      <c r="I181" t="s">
        <v>2165</v>
      </c>
      <c r="J181" t="s">
        <v>8</v>
      </c>
      <c r="K181" t="s">
        <v>3</v>
      </c>
      <c r="L181" t="s">
        <v>3</v>
      </c>
      <c r="M181" t="s">
        <v>373</v>
      </c>
      <c r="N181" t="s">
        <v>3</v>
      </c>
      <c r="O181" t="s">
        <v>3</v>
      </c>
      <c r="P181" t="s">
        <v>3</v>
      </c>
      <c r="Q181" t="s">
        <v>8</v>
      </c>
      <c r="R181" t="s">
        <v>373</v>
      </c>
      <c r="S181" t="s">
        <v>8</v>
      </c>
      <c r="T181" t="s">
        <v>2170</v>
      </c>
      <c r="U181" t="s">
        <v>3</v>
      </c>
      <c r="V181" t="s">
        <v>3</v>
      </c>
      <c r="W181" t="s">
        <v>235</v>
      </c>
      <c r="AA181" t="s">
        <v>3</v>
      </c>
      <c r="AB181" t="s">
        <v>3</v>
      </c>
      <c r="AC181" t="s">
        <v>3</v>
      </c>
      <c r="AD181" t="s">
        <v>8</v>
      </c>
      <c r="AE181" t="s">
        <v>67</v>
      </c>
      <c r="AF181" t="s">
        <v>2171</v>
      </c>
    </row>
    <row r="182" spans="1:32" x14ac:dyDescent="0.45">
      <c r="A182" t="s">
        <v>2172</v>
      </c>
      <c r="B182" t="s">
        <v>2173</v>
      </c>
      <c r="C182" t="s">
        <v>2174</v>
      </c>
      <c r="D182" t="s">
        <v>2173</v>
      </c>
      <c r="E182" t="s">
        <v>2162</v>
      </c>
      <c r="F182" t="s">
        <v>2163</v>
      </c>
      <c r="H182" t="s">
        <v>2164</v>
      </c>
      <c r="I182" t="s">
        <v>2165</v>
      </c>
      <c r="J182" t="s">
        <v>8</v>
      </c>
      <c r="K182" t="s">
        <v>3</v>
      </c>
      <c r="L182" t="s">
        <v>3</v>
      </c>
      <c r="M182" t="s">
        <v>373</v>
      </c>
      <c r="N182" t="s">
        <v>3</v>
      </c>
      <c r="O182" t="s">
        <v>3</v>
      </c>
      <c r="P182" t="s">
        <v>3</v>
      </c>
      <c r="Q182" t="s">
        <v>8</v>
      </c>
      <c r="R182" t="s">
        <v>373</v>
      </c>
      <c r="S182" t="s">
        <v>8</v>
      </c>
      <c r="T182" t="s">
        <v>2172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67</v>
      </c>
      <c r="AF182" t="s">
        <v>2175</v>
      </c>
    </row>
    <row r="183" spans="1:32" x14ac:dyDescent="0.45">
      <c r="A183" t="s">
        <v>2176</v>
      </c>
      <c r="B183" t="s">
        <v>2168</v>
      </c>
      <c r="C183" t="s">
        <v>2161</v>
      </c>
      <c r="D183" t="s">
        <v>2168</v>
      </c>
      <c r="H183" t="s">
        <v>2164</v>
      </c>
      <c r="I183" t="s">
        <v>2165</v>
      </c>
      <c r="J183" t="s">
        <v>8</v>
      </c>
      <c r="K183" t="s">
        <v>3</v>
      </c>
      <c r="L183" t="s">
        <v>3</v>
      </c>
      <c r="M183" t="s">
        <v>373</v>
      </c>
      <c r="N183" t="s">
        <v>3</v>
      </c>
      <c r="O183" t="s">
        <v>3</v>
      </c>
      <c r="P183" t="s">
        <v>3</v>
      </c>
      <c r="Q183" t="s">
        <v>8</v>
      </c>
      <c r="R183" t="s">
        <v>373</v>
      </c>
      <c r="S183" t="s">
        <v>8</v>
      </c>
      <c r="T183" t="s">
        <v>2176</v>
      </c>
      <c r="U183" t="s">
        <v>3</v>
      </c>
      <c r="V183" t="s">
        <v>3</v>
      </c>
      <c r="W183" t="s">
        <v>235</v>
      </c>
      <c r="AA183" t="s">
        <v>3</v>
      </c>
      <c r="AB183" t="s">
        <v>8</v>
      </c>
      <c r="AC183" t="s">
        <v>8</v>
      </c>
      <c r="AD183" t="s">
        <v>8</v>
      </c>
      <c r="AE183" t="s">
        <v>105</v>
      </c>
      <c r="AF183" t="s">
        <v>2177</v>
      </c>
    </row>
    <row r="184" spans="1:32" x14ac:dyDescent="0.45">
      <c r="A184" t="s">
        <v>2178</v>
      </c>
      <c r="B184" t="s">
        <v>2168</v>
      </c>
      <c r="C184" t="s">
        <v>2161</v>
      </c>
      <c r="D184" t="s">
        <v>2168</v>
      </c>
      <c r="H184" t="s">
        <v>2164</v>
      </c>
      <c r="I184" t="s">
        <v>2165</v>
      </c>
      <c r="J184" t="s">
        <v>8</v>
      </c>
      <c r="K184" t="s">
        <v>3</v>
      </c>
      <c r="L184" t="s">
        <v>3</v>
      </c>
      <c r="M184" t="s">
        <v>373</v>
      </c>
      <c r="N184" t="s">
        <v>3</v>
      </c>
      <c r="O184" t="s">
        <v>3</v>
      </c>
      <c r="P184" t="s">
        <v>3</v>
      </c>
      <c r="Q184" t="s">
        <v>8</v>
      </c>
      <c r="R184" t="s">
        <v>373</v>
      </c>
      <c r="S184" t="s">
        <v>8</v>
      </c>
      <c r="T184" t="s">
        <v>2178</v>
      </c>
      <c r="U184" t="s">
        <v>3</v>
      </c>
      <c r="V184" t="s">
        <v>3</v>
      </c>
      <c r="W184" t="s">
        <v>235</v>
      </c>
      <c r="AA184" t="s">
        <v>3</v>
      </c>
      <c r="AB184" t="s">
        <v>3</v>
      </c>
      <c r="AC184" t="s">
        <v>8</v>
      </c>
      <c r="AD184" t="s">
        <v>8</v>
      </c>
      <c r="AE184" t="s">
        <v>105</v>
      </c>
      <c r="AF184" t="s">
        <v>2179</v>
      </c>
    </row>
    <row r="185" spans="1:32" x14ac:dyDescent="0.45">
      <c r="A185" t="s">
        <v>2180</v>
      </c>
      <c r="B185" t="s">
        <v>2181</v>
      </c>
      <c r="C185" t="s">
        <v>2182</v>
      </c>
      <c r="D185" t="s">
        <v>2181</v>
      </c>
      <c r="E185" t="s">
        <v>2183</v>
      </c>
      <c r="F185" t="s">
        <v>2184</v>
      </c>
      <c r="H185" t="s">
        <v>2185</v>
      </c>
      <c r="I185" t="s">
        <v>2186</v>
      </c>
      <c r="J185" t="s">
        <v>8</v>
      </c>
      <c r="K185" t="s">
        <v>3</v>
      </c>
      <c r="L185" t="s">
        <v>3</v>
      </c>
      <c r="M185" t="s">
        <v>373</v>
      </c>
      <c r="N185" t="s">
        <v>3</v>
      </c>
      <c r="O185" t="s">
        <v>3</v>
      </c>
      <c r="P185" t="s">
        <v>3</v>
      </c>
      <c r="Q185" t="s">
        <v>8</v>
      </c>
      <c r="R185" t="s">
        <v>373</v>
      </c>
      <c r="S185" t="s">
        <v>8</v>
      </c>
      <c r="T185" t="s">
        <v>2180</v>
      </c>
      <c r="U185" t="s">
        <v>3</v>
      </c>
      <c r="V185" t="s">
        <v>3</v>
      </c>
      <c r="W185" t="s">
        <v>319</v>
      </c>
      <c r="AA185" t="s">
        <v>8</v>
      </c>
      <c r="AB185" t="s">
        <v>8</v>
      </c>
      <c r="AC185" t="s">
        <v>3</v>
      </c>
      <c r="AD185" t="s">
        <v>8</v>
      </c>
      <c r="AE185" t="s">
        <v>67</v>
      </c>
      <c r="AF185" t="s">
        <v>2187</v>
      </c>
    </row>
    <row r="186" spans="1:32" x14ac:dyDescent="0.45">
      <c r="A186" t="s">
        <v>2188</v>
      </c>
      <c r="B186" t="s">
        <v>2189</v>
      </c>
      <c r="C186" t="s">
        <v>2182</v>
      </c>
      <c r="D186" t="s">
        <v>2189</v>
      </c>
      <c r="H186" t="s">
        <v>2185</v>
      </c>
      <c r="I186" t="s">
        <v>2186</v>
      </c>
      <c r="J186" t="s">
        <v>8</v>
      </c>
      <c r="K186" t="s">
        <v>3</v>
      </c>
      <c r="L186" t="s">
        <v>3</v>
      </c>
      <c r="M186" t="s">
        <v>373</v>
      </c>
      <c r="N186" t="s">
        <v>3</v>
      </c>
      <c r="O186" t="s">
        <v>3</v>
      </c>
      <c r="P186" t="s">
        <v>3</v>
      </c>
      <c r="Q186" t="s">
        <v>8</v>
      </c>
      <c r="R186" t="s">
        <v>373</v>
      </c>
      <c r="S186" t="s">
        <v>8</v>
      </c>
      <c r="T186" t="s">
        <v>2188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67</v>
      </c>
      <c r="AF186" t="s">
        <v>2190</v>
      </c>
    </row>
    <row r="187" spans="1:32" x14ac:dyDescent="0.45">
      <c r="A187" t="s">
        <v>2191</v>
      </c>
      <c r="B187" t="s">
        <v>2192</v>
      </c>
      <c r="C187" t="s">
        <v>2193</v>
      </c>
      <c r="D187" t="s">
        <v>2192</v>
      </c>
      <c r="E187" t="s">
        <v>2194</v>
      </c>
      <c r="F187" t="s">
        <v>2195</v>
      </c>
      <c r="H187" t="s">
        <v>2196</v>
      </c>
      <c r="J187" t="s">
        <v>8</v>
      </c>
      <c r="K187" t="s">
        <v>3</v>
      </c>
      <c r="L187" t="s">
        <v>3</v>
      </c>
      <c r="M187" t="s">
        <v>373</v>
      </c>
      <c r="N187" t="s">
        <v>3</v>
      </c>
      <c r="O187" t="s">
        <v>3</v>
      </c>
      <c r="P187" t="s">
        <v>3</v>
      </c>
      <c r="Q187" t="s">
        <v>8</v>
      </c>
      <c r="R187" t="s">
        <v>373</v>
      </c>
      <c r="S187" t="s">
        <v>8</v>
      </c>
      <c r="T187" t="s">
        <v>2191</v>
      </c>
      <c r="U187" t="s">
        <v>3</v>
      </c>
      <c r="V187" t="s">
        <v>3</v>
      </c>
      <c r="W187" t="s">
        <v>352</v>
      </c>
      <c r="AA187" t="s">
        <v>8</v>
      </c>
      <c r="AB187" t="s">
        <v>8</v>
      </c>
      <c r="AC187" t="s">
        <v>3</v>
      </c>
      <c r="AD187" t="s">
        <v>8</v>
      </c>
      <c r="AE187" t="s">
        <v>67</v>
      </c>
      <c r="AF187" t="s">
        <v>2197</v>
      </c>
    </row>
    <row r="188" spans="1:32" x14ac:dyDescent="0.45">
      <c r="A188" t="s">
        <v>2198</v>
      </c>
      <c r="B188" t="s">
        <v>2199</v>
      </c>
      <c r="C188" t="s">
        <v>2193</v>
      </c>
      <c r="D188" t="s">
        <v>2199</v>
      </c>
      <c r="H188" t="s">
        <v>2196</v>
      </c>
      <c r="J188" t="s">
        <v>8</v>
      </c>
      <c r="K188" t="s">
        <v>3</v>
      </c>
      <c r="L188" t="s">
        <v>3</v>
      </c>
      <c r="M188" t="s">
        <v>373</v>
      </c>
      <c r="N188" t="s">
        <v>3</v>
      </c>
      <c r="O188" t="s">
        <v>3</v>
      </c>
      <c r="P188" t="s">
        <v>3</v>
      </c>
      <c r="Q188" t="s">
        <v>8</v>
      </c>
      <c r="R188" t="s">
        <v>373</v>
      </c>
      <c r="S188" t="s">
        <v>8</v>
      </c>
      <c r="T188" t="s">
        <v>2198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67</v>
      </c>
      <c r="AF188" t="s">
        <v>2200</v>
      </c>
    </row>
    <row r="189" spans="1:32" x14ac:dyDescent="0.45">
      <c r="A189" t="s">
        <v>2201</v>
      </c>
      <c r="B189" t="s">
        <v>2202</v>
      </c>
      <c r="C189" t="s">
        <v>2203</v>
      </c>
      <c r="D189" t="s">
        <v>2204</v>
      </c>
      <c r="E189" t="s">
        <v>2205</v>
      </c>
      <c r="F189" t="s">
        <v>2206</v>
      </c>
      <c r="H189" t="s">
        <v>2207</v>
      </c>
      <c r="I189" t="s">
        <v>2208</v>
      </c>
      <c r="J189" t="s">
        <v>8</v>
      </c>
      <c r="K189" t="s">
        <v>3</v>
      </c>
      <c r="L189" t="s">
        <v>3</v>
      </c>
      <c r="M189" t="s">
        <v>373</v>
      </c>
      <c r="N189" t="s">
        <v>3</v>
      </c>
      <c r="O189" t="s">
        <v>3</v>
      </c>
      <c r="P189" t="s">
        <v>3</v>
      </c>
      <c r="Q189" t="s">
        <v>8</v>
      </c>
      <c r="R189" t="s">
        <v>373</v>
      </c>
      <c r="S189" t="s">
        <v>8</v>
      </c>
      <c r="T189" t="s">
        <v>2201</v>
      </c>
      <c r="U189" t="s">
        <v>3</v>
      </c>
      <c r="V189" t="s">
        <v>3</v>
      </c>
      <c r="W189" t="s">
        <v>517</v>
      </c>
      <c r="AA189" t="s">
        <v>3</v>
      </c>
      <c r="AB189" t="s">
        <v>8</v>
      </c>
      <c r="AC189" t="s">
        <v>3</v>
      </c>
      <c r="AD189" t="s">
        <v>8</v>
      </c>
      <c r="AE189" t="s">
        <v>67</v>
      </c>
      <c r="AF189" t="s">
        <v>2209</v>
      </c>
    </row>
    <row r="190" spans="1:32" x14ac:dyDescent="0.45">
      <c r="A190" t="s">
        <v>2210</v>
      </c>
      <c r="B190" t="s">
        <v>2211</v>
      </c>
      <c r="C190" t="s">
        <v>2203</v>
      </c>
      <c r="D190" t="s">
        <v>2211</v>
      </c>
      <c r="H190" t="s">
        <v>2207</v>
      </c>
      <c r="I190" t="s">
        <v>2208</v>
      </c>
      <c r="J190" t="s">
        <v>8</v>
      </c>
      <c r="K190" t="s">
        <v>3</v>
      </c>
      <c r="L190" t="s">
        <v>3</v>
      </c>
      <c r="M190" t="s">
        <v>373</v>
      </c>
      <c r="N190" t="s">
        <v>3</v>
      </c>
      <c r="O190" t="s">
        <v>3</v>
      </c>
      <c r="P190" t="s">
        <v>3</v>
      </c>
      <c r="Q190" t="s">
        <v>8</v>
      </c>
      <c r="R190" t="s">
        <v>373</v>
      </c>
      <c r="S190" t="s">
        <v>8</v>
      </c>
      <c r="T190" t="s">
        <v>2210</v>
      </c>
      <c r="U190" t="s">
        <v>3</v>
      </c>
      <c r="V190" t="s">
        <v>3</v>
      </c>
      <c r="W190" t="s">
        <v>2212</v>
      </c>
      <c r="AA190" t="s">
        <v>3</v>
      </c>
      <c r="AB190" t="s">
        <v>8</v>
      </c>
      <c r="AC190" t="s">
        <v>3</v>
      </c>
      <c r="AD190" t="s">
        <v>8</v>
      </c>
      <c r="AE190" t="s">
        <v>67</v>
      </c>
      <c r="AF190" t="s">
        <v>2213</v>
      </c>
    </row>
    <row r="191" spans="1:32" x14ac:dyDescent="0.45">
      <c r="A191" t="s">
        <v>2214</v>
      </c>
      <c r="B191" t="s">
        <v>2215</v>
      </c>
      <c r="C191" t="s">
        <v>2216</v>
      </c>
      <c r="D191" t="s">
        <v>2215</v>
      </c>
      <c r="E191" t="s">
        <v>2217</v>
      </c>
      <c r="F191" t="s">
        <v>2218</v>
      </c>
      <c r="H191" t="s">
        <v>2219</v>
      </c>
      <c r="I191" t="s">
        <v>2219</v>
      </c>
      <c r="J191" t="s">
        <v>8</v>
      </c>
      <c r="K191" t="s">
        <v>3</v>
      </c>
      <c r="L191" t="s">
        <v>3</v>
      </c>
      <c r="M191" t="s">
        <v>373</v>
      </c>
      <c r="N191" t="s">
        <v>3</v>
      </c>
      <c r="O191" t="s">
        <v>3</v>
      </c>
      <c r="P191" t="s">
        <v>3</v>
      </c>
      <c r="Q191" t="s">
        <v>8</v>
      </c>
      <c r="R191" t="s">
        <v>373</v>
      </c>
      <c r="S191" t="s">
        <v>8</v>
      </c>
      <c r="T191" t="s">
        <v>2214</v>
      </c>
      <c r="U191" t="s">
        <v>3</v>
      </c>
      <c r="V191" t="s">
        <v>3</v>
      </c>
      <c r="W191" t="s">
        <v>2220</v>
      </c>
      <c r="AA191" t="s">
        <v>8</v>
      </c>
      <c r="AB191" t="s">
        <v>8</v>
      </c>
      <c r="AC191" t="s">
        <v>3</v>
      </c>
      <c r="AD191" t="s">
        <v>8</v>
      </c>
      <c r="AE191" t="s">
        <v>67</v>
      </c>
      <c r="AF191" t="s">
        <v>2221</v>
      </c>
    </row>
    <row r="192" spans="1:32" x14ac:dyDescent="0.45">
      <c r="A192" t="s">
        <v>2222</v>
      </c>
      <c r="B192" t="s">
        <v>2223</v>
      </c>
      <c r="C192" t="s">
        <v>2224</v>
      </c>
      <c r="D192" t="s">
        <v>2223</v>
      </c>
      <c r="J192" t="s">
        <v>8</v>
      </c>
      <c r="K192" t="s">
        <v>3</v>
      </c>
      <c r="L192" t="s">
        <v>3</v>
      </c>
      <c r="M192" t="s">
        <v>373</v>
      </c>
      <c r="N192" t="s">
        <v>3</v>
      </c>
      <c r="O192" t="s">
        <v>3</v>
      </c>
      <c r="P192" t="s">
        <v>3</v>
      </c>
      <c r="Q192" t="s">
        <v>8</v>
      </c>
      <c r="R192" t="s">
        <v>373</v>
      </c>
      <c r="S192" t="s">
        <v>8</v>
      </c>
      <c r="T192" t="s">
        <v>2222</v>
      </c>
      <c r="U192" t="s">
        <v>3</v>
      </c>
      <c r="V192" t="s">
        <v>3</v>
      </c>
      <c r="W192" t="s">
        <v>2225</v>
      </c>
      <c r="AA192" t="s">
        <v>8</v>
      </c>
      <c r="AB192" t="s">
        <v>8</v>
      </c>
      <c r="AC192" t="s">
        <v>3</v>
      </c>
      <c r="AD192" t="s">
        <v>8</v>
      </c>
      <c r="AE192" t="s">
        <v>67</v>
      </c>
      <c r="AF192" t="s">
        <v>2226</v>
      </c>
    </row>
    <row r="193" spans="1:32" x14ac:dyDescent="0.45">
      <c r="A193" t="s">
        <v>2227</v>
      </c>
      <c r="B193" t="s">
        <v>2228</v>
      </c>
      <c r="C193" t="s">
        <v>2229</v>
      </c>
      <c r="D193" t="s">
        <v>2228</v>
      </c>
      <c r="E193" t="s">
        <v>2230</v>
      </c>
      <c r="F193" t="s">
        <v>2231</v>
      </c>
      <c r="H193" t="s">
        <v>2232</v>
      </c>
      <c r="I193" t="s">
        <v>2233</v>
      </c>
      <c r="J193" t="s">
        <v>8</v>
      </c>
      <c r="K193" t="s">
        <v>3</v>
      </c>
      <c r="L193" t="s">
        <v>3</v>
      </c>
      <c r="M193" t="s">
        <v>373</v>
      </c>
      <c r="N193" t="s">
        <v>3</v>
      </c>
      <c r="O193" t="s">
        <v>3</v>
      </c>
      <c r="P193" t="s">
        <v>3</v>
      </c>
      <c r="Q193" t="s">
        <v>3</v>
      </c>
      <c r="R193" t="s">
        <v>373</v>
      </c>
      <c r="S193" t="s">
        <v>8</v>
      </c>
      <c r="T193" t="s">
        <v>2227</v>
      </c>
      <c r="U193" t="s">
        <v>3</v>
      </c>
      <c r="V193" t="s">
        <v>3</v>
      </c>
      <c r="W193" t="s">
        <v>451</v>
      </c>
      <c r="AA193" t="s">
        <v>8</v>
      </c>
      <c r="AB193" t="s">
        <v>8</v>
      </c>
      <c r="AC193" t="s">
        <v>3</v>
      </c>
      <c r="AD193" t="s">
        <v>8</v>
      </c>
      <c r="AE193" t="s">
        <v>67</v>
      </c>
      <c r="AF193" t="s">
        <v>2234</v>
      </c>
    </row>
    <row r="194" spans="1:32" x14ac:dyDescent="0.45">
      <c r="A194" t="s">
        <v>2235</v>
      </c>
      <c r="B194" t="s">
        <v>2236</v>
      </c>
      <c r="C194" t="s">
        <v>2229</v>
      </c>
      <c r="D194" t="s">
        <v>2236</v>
      </c>
      <c r="E194" t="s">
        <v>2230</v>
      </c>
      <c r="F194" t="s">
        <v>2231</v>
      </c>
      <c r="H194" t="s">
        <v>2232</v>
      </c>
      <c r="I194" t="s">
        <v>2233</v>
      </c>
      <c r="J194" t="s">
        <v>8</v>
      </c>
      <c r="K194" t="s">
        <v>3</v>
      </c>
      <c r="L194" t="s">
        <v>3</v>
      </c>
      <c r="M194" t="s">
        <v>373</v>
      </c>
      <c r="N194" t="s">
        <v>3</v>
      </c>
      <c r="O194" t="s">
        <v>3</v>
      </c>
      <c r="P194" t="s">
        <v>3</v>
      </c>
      <c r="Q194" t="s">
        <v>8</v>
      </c>
      <c r="R194" t="s">
        <v>373</v>
      </c>
      <c r="S194" t="s">
        <v>8</v>
      </c>
      <c r="T194" t="s">
        <v>2235</v>
      </c>
      <c r="U194" t="s">
        <v>3</v>
      </c>
      <c r="V194" t="s">
        <v>3</v>
      </c>
      <c r="W194" t="s">
        <v>454</v>
      </c>
      <c r="AA194" t="s">
        <v>8</v>
      </c>
      <c r="AB194" t="s">
        <v>8</v>
      </c>
      <c r="AC194" t="s">
        <v>3</v>
      </c>
      <c r="AD194" t="s">
        <v>8</v>
      </c>
      <c r="AE194" t="s">
        <v>67</v>
      </c>
      <c r="AF194" t="s">
        <v>2237</v>
      </c>
    </row>
    <row r="195" spans="1:32" x14ac:dyDescent="0.45">
      <c r="A195" t="s">
        <v>2238</v>
      </c>
      <c r="B195" t="s">
        <v>2239</v>
      </c>
      <c r="C195" t="s">
        <v>2240</v>
      </c>
      <c r="D195" t="s">
        <v>2239</v>
      </c>
      <c r="E195" t="s">
        <v>2230</v>
      </c>
      <c r="F195" t="s">
        <v>2231</v>
      </c>
      <c r="H195" t="s">
        <v>2232</v>
      </c>
      <c r="I195" t="s">
        <v>2233</v>
      </c>
      <c r="J195" t="s">
        <v>8</v>
      </c>
      <c r="K195" t="s">
        <v>3</v>
      </c>
      <c r="L195" t="s">
        <v>3</v>
      </c>
      <c r="M195" t="s">
        <v>373</v>
      </c>
      <c r="N195" t="s">
        <v>3</v>
      </c>
      <c r="O195" t="s">
        <v>3</v>
      </c>
      <c r="P195" t="s">
        <v>3</v>
      </c>
      <c r="Q195" t="s">
        <v>3</v>
      </c>
      <c r="R195" t="s">
        <v>373</v>
      </c>
      <c r="S195" t="s">
        <v>8</v>
      </c>
      <c r="T195" t="s">
        <v>2238</v>
      </c>
      <c r="U195" t="s">
        <v>3</v>
      </c>
      <c r="V195" t="s">
        <v>3</v>
      </c>
      <c r="W195" t="s">
        <v>451</v>
      </c>
      <c r="AA195" t="s">
        <v>8</v>
      </c>
      <c r="AB195" t="s">
        <v>8</v>
      </c>
      <c r="AC195" t="s">
        <v>3</v>
      </c>
      <c r="AD195" t="s">
        <v>8</v>
      </c>
      <c r="AE195" t="s">
        <v>67</v>
      </c>
      <c r="AF195" t="s">
        <v>2241</v>
      </c>
    </row>
    <row r="196" spans="1:32" x14ac:dyDescent="0.45">
      <c r="A196" t="s">
        <v>2242</v>
      </c>
      <c r="B196" t="s">
        <v>2243</v>
      </c>
      <c r="C196" t="s">
        <v>2244</v>
      </c>
      <c r="D196" t="s">
        <v>2245</v>
      </c>
      <c r="E196" t="s">
        <v>2230</v>
      </c>
      <c r="F196" t="s">
        <v>2231</v>
      </c>
      <c r="H196" t="s">
        <v>2232</v>
      </c>
      <c r="I196" t="s">
        <v>2233</v>
      </c>
      <c r="J196" t="s">
        <v>8</v>
      </c>
      <c r="K196" t="s">
        <v>3</v>
      </c>
      <c r="L196" t="s">
        <v>3</v>
      </c>
      <c r="M196" t="s">
        <v>373</v>
      </c>
      <c r="N196" t="s">
        <v>3</v>
      </c>
      <c r="O196" t="s">
        <v>3</v>
      </c>
      <c r="P196" t="s">
        <v>3</v>
      </c>
      <c r="Q196" t="s">
        <v>3</v>
      </c>
      <c r="R196" t="s">
        <v>373</v>
      </c>
      <c r="S196" t="s">
        <v>8</v>
      </c>
      <c r="T196" t="s">
        <v>2242</v>
      </c>
      <c r="U196" t="s">
        <v>3</v>
      </c>
      <c r="V196" t="s">
        <v>3</v>
      </c>
      <c r="W196" t="s">
        <v>451</v>
      </c>
      <c r="AA196" t="s">
        <v>8</v>
      </c>
      <c r="AB196" t="s">
        <v>8</v>
      </c>
      <c r="AC196" t="s">
        <v>3</v>
      </c>
      <c r="AD196" t="s">
        <v>8</v>
      </c>
      <c r="AE196" t="s">
        <v>105</v>
      </c>
      <c r="AF196" t="s">
        <v>2246</v>
      </c>
    </row>
    <row r="197" spans="1:32" x14ac:dyDescent="0.45">
      <c r="A197" t="s">
        <v>85</v>
      </c>
      <c r="B197" t="s">
        <v>21</v>
      </c>
      <c r="C197" t="s">
        <v>2247</v>
      </c>
      <c r="D197" t="s">
        <v>21</v>
      </c>
      <c r="E197" t="s">
        <v>2248</v>
      </c>
      <c r="F197" t="s">
        <v>2249</v>
      </c>
      <c r="H197" t="s">
        <v>2250</v>
      </c>
      <c r="I197" t="s">
        <v>2251</v>
      </c>
      <c r="J197" t="s">
        <v>8</v>
      </c>
      <c r="K197" t="s">
        <v>3</v>
      </c>
      <c r="L197" t="s">
        <v>3</v>
      </c>
      <c r="M197" t="s">
        <v>373</v>
      </c>
      <c r="N197" t="s">
        <v>3</v>
      </c>
      <c r="O197" t="s">
        <v>3</v>
      </c>
      <c r="P197" t="s">
        <v>3</v>
      </c>
      <c r="Q197" t="s">
        <v>8</v>
      </c>
      <c r="R197" t="s">
        <v>373</v>
      </c>
      <c r="S197" t="s">
        <v>8</v>
      </c>
      <c r="T197" t="s">
        <v>85</v>
      </c>
      <c r="U197" t="s">
        <v>3</v>
      </c>
      <c r="V197" t="s">
        <v>3</v>
      </c>
      <c r="W197" t="s">
        <v>2252</v>
      </c>
      <c r="X197" t="s">
        <v>1031</v>
      </c>
      <c r="Y197" t="s">
        <v>67</v>
      </c>
      <c r="AA197" t="s">
        <v>3</v>
      </c>
      <c r="AB197" t="s">
        <v>8</v>
      </c>
      <c r="AC197" t="s">
        <v>3</v>
      </c>
      <c r="AD197" t="s">
        <v>8</v>
      </c>
      <c r="AE197" t="s">
        <v>67</v>
      </c>
      <c r="AF197" t="s">
        <v>2253</v>
      </c>
    </row>
    <row r="198" spans="1:32" x14ac:dyDescent="0.45">
      <c r="A198" t="s">
        <v>2254</v>
      </c>
      <c r="B198" t="s">
        <v>2255</v>
      </c>
      <c r="C198" t="s">
        <v>2256</v>
      </c>
      <c r="D198" t="s">
        <v>2257</v>
      </c>
      <c r="E198" t="s">
        <v>2248</v>
      </c>
      <c r="F198" t="s">
        <v>2249</v>
      </c>
      <c r="H198" t="s">
        <v>2250</v>
      </c>
      <c r="I198" t="s">
        <v>2251</v>
      </c>
      <c r="J198" t="s">
        <v>8</v>
      </c>
      <c r="K198" t="s">
        <v>3</v>
      </c>
      <c r="L198" t="s">
        <v>3</v>
      </c>
      <c r="M198" t="s">
        <v>373</v>
      </c>
      <c r="N198" t="s">
        <v>3</v>
      </c>
      <c r="O198" t="s">
        <v>3</v>
      </c>
      <c r="P198" t="s">
        <v>3</v>
      </c>
      <c r="Q198" t="s">
        <v>8</v>
      </c>
      <c r="R198" t="s">
        <v>373</v>
      </c>
      <c r="S198" t="s">
        <v>8</v>
      </c>
      <c r="T198" t="s">
        <v>2254</v>
      </c>
      <c r="U198" t="s">
        <v>3</v>
      </c>
      <c r="V198" t="s">
        <v>3</v>
      </c>
      <c r="W198" t="s">
        <v>2258</v>
      </c>
      <c r="AA198" t="s">
        <v>8</v>
      </c>
      <c r="AB198" t="s">
        <v>8</v>
      </c>
      <c r="AC198" t="s">
        <v>3</v>
      </c>
      <c r="AD198" t="s">
        <v>8</v>
      </c>
      <c r="AE198" t="s">
        <v>67</v>
      </c>
      <c r="AF198" t="s">
        <v>2259</v>
      </c>
    </row>
    <row r="199" spans="1:32" x14ac:dyDescent="0.45">
      <c r="A199" t="s">
        <v>2260</v>
      </c>
      <c r="B199" t="s">
        <v>2261</v>
      </c>
      <c r="C199" t="s">
        <v>2262</v>
      </c>
      <c r="D199" t="s">
        <v>2261</v>
      </c>
      <c r="E199" t="s">
        <v>2263</v>
      </c>
      <c r="F199" t="s">
        <v>2264</v>
      </c>
      <c r="H199" t="s">
        <v>2265</v>
      </c>
      <c r="I199" t="s">
        <v>2265</v>
      </c>
      <c r="J199" t="s">
        <v>8</v>
      </c>
      <c r="K199" t="s">
        <v>3</v>
      </c>
      <c r="L199" t="s">
        <v>3</v>
      </c>
      <c r="M199" t="s">
        <v>373</v>
      </c>
      <c r="N199" t="s">
        <v>3</v>
      </c>
      <c r="O199" t="s">
        <v>3</v>
      </c>
      <c r="P199" t="s">
        <v>3</v>
      </c>
      <c r="Q199" t="s">
        <v>8</v>
      </c>
      <c r="R199" t="s">
        <v>373</v>
      </c>
      <c r="S199" t="s">
        <v>8</v>
      </c>
      <c r="T199" t="s">
        <v>2260</v>
      </c>
      <c r="U199" t="s">
        <v>3</v>
      </c>
      <c r="V199" t="s">
        <v>3</v>
      </c>
      <c r="W199" t="s">
        <v>555</v>
      </c>
      <c r="AA199" t="s">
        <v>8</v>
      </c>
      <c r="AB199" t="s">
        <v>8</v>
      </c>
      <c r="AC199" t="s">
        <v>3</v>
      </c>
      <c r="AD199" t="s">
        <v>8</v>
      </c>
      <c r="AE199" t="s">
        <v>67</v>
      </c>
      <c r="AF199" t="s">
        <v>2266</v>
      </c>
    </row>
    <row r="200" spans="1:32" x14ac:dyDescent="0.45">
      <c r="A200" t="s">
        <v>2267</v>
      </c>
      <c r="B200" t="s">
        <v>2268</v>
      </c>
      <c r="C200" t="s">
        <v>2269</v>
      </c>
      <c r="D200" t="s">
        <v>2268</v>
      </c>
      <c r="E200" t="s">
        <v>2270</v>
      </c>
      <c r="F200" t="s">
        <v>2271</v>
      </c>
      <c r="H200" t="s">
        <v>2272</v>
      </c>
      <c r="J200" t="s">
        <v>8</v>
      </c>
      <c r="K200" t="s">
        <v>3</v>
      </c>
      <c r="L200" t="s">
        <v>3</v>
      </c>
      <c r="M200" t="s">
        <v>373</v>
      </c>
      <c r="N200" t="s">
        <v>3</v>
      </c>
      <c r="O200" t="s">
        <v>3</v>
      </c>
      <c r="P200" t="s">
        <v>3</v>
      </c>
      <c r="Q200" t="s">
        <v>8</v>
      </c>
      <c r="R200" t="s">
        <v>373</v>
      </c>
      <c r="S200" t="s">
        <v>8</v>
      </c>
      <c r="T200" t="s">
        <v>2267</v>
      </c>
      <c r="U200" t="s">
        <v>3</v>
      </c>
      <c r="V200" t="s">
        <v>3</v>
      </c>
      <c r="W200" t="s">
        <v>938</v>
      </c>
      <c r="AA200" t="s">
        <v>8</v>
      </c>
      <c r="AB200" t="s">
        <v>8</v>
      </c>
      <c r="AC200" t="s">
        <v>3</v>
      </c>
      <c r="AD200" t="s">
        <v>8</v>
      </c>
      <c r="AE200" t="s">
        <v>69</v>
      </c>
      <c r="AF200" t="s">
        <v>2273</v>
      </c>
    </row>
    <row r="201" spans="1:32" x14ac:dyDescent="0.45">
      <c r="A201" t="s">
        <v>2274</v>
      </c>
      <c r="B201" t="s">
        <v>2275</v>
      </c>
      <c r="C201" t="s">
        <v>2276</v>
      </c>
      <c r="D201" t="s">
        <v>2277</v>
      </c>
      <c r="E201" t="s">
        <v>2278</v>
      </c>
      <c r="F201" t="s">
        <v>2279</v>
      </c>
      <c r="H201" t="s">
        <v>2280</v>
      </c>
      <c r="I201" t="s">
        <v>2280</v>
      </c>
      <c r="J201" t="s">
        <v>8</v>
      </c>
      <c r="K201" t="s">
        <v>3</v>
      </c>
      <c r="L201" t="s">
        <v>3</v>
      </c>
      <c r="M201" t="s">
        <v>373</v>
      </c>
      <c r="N201" t="s">
        <v>3</v>
      </c>
      <c r="O201" t="s">
        <v>3</v>
      </c>
      <c r="P201" t="s">
        <v>3</v>
      </c>
      <c r="Q201" t="s">
        <v>8</v>
      </c>
      <c r="R201" t="s">
        <v>373</v>
      </c>
      <c r="S201" t="s">
        <v>8</v>
      </c>
      <c r="T201" t="s">
        <v>2274</v>
      </c>
      <c r="U201" t="s">
        <v>3</v>
      </c>
      <c r="V201" t="s">
        <v>3</v>
      </c>
      <c r="W201" t="s">
        <v>2281</v>
      </c>
      <c r="AA201" t="s">
        <v>3</v>
      </c>
      <c r="AB201" t="s">
        <v>8</v>
      </c>
      <c r="AC201" t="s">
        <v>3</v>
      </c>
      <c r="AD201" t="s">
        <v>8</v>
      </c>
      <c r="AE201" t="s">
        <v>67</v>
      </c>
      <c r="AF201" t="s">
        <v>2282</v>
      </c>
    </row>
    <row r="202" spans="1:32" x14ac:dyDescent="0.45">
      <c r="A202" t="s">
        <v>2283</v>
      </c>
      <c r="B202" t="s">
        <v>2284</v>
      </c>
      <c r="C202" t="s">
        <v>2276</v>
      </c>
      <c r="D202" t="s">
        <v>2284</v>
      </c>
      <c r="H202" t="s">
        <v>2280</v>
      </c>
      <c r="I202" t="s">
        <v>2280</v>
      </c>
      <c r="J202" t="s">
        <v>8</v>
      </c>
      <c r="K202" t="s">
        <v>3</v>
      </c>
      <c r="L202" t="s">
        <v>3</v>
      </c>
      <c r="M202" t="s">
        <v>373</v>
      </c>
      <c r="N202" t="s">
        <v>3</v>
      </c>
      <c r="O202" t="s">
        <v>3</v>
      </c>
      <c r="P202" t="s">
        <v>3</v>
      </c>
      <c r="Q202" t="s">
        <v>8</v>
      </c>
      <c r="R202" t="s">
        <v>373</v>
      </c>
      <c r="S202" t="s">
        <v>8</v>
      </c>
      <c r="T202" t="s">
        <v>2283</v>
      </c>
      <c r="U202" t="s">
        <v>3</v>
      </c>
      <c r="V202" t="s">
        <v>3</v>
      </c>
      <c r="W202" t="s">
        <v>557</v>
      </c>
      <c r="AA202" t="s">
        <v>3</v>
      </c>
      <c r="AB202" t="s">
        <v>8</v>
      </c>
      <c r="AC202" t="s">
        <v>3</v>
      </c>
      <c r="AD202" t="s">
        <v>8</v>
      </c>
      <c r="AE202" t="s">
        <v>67</v>
      </c>
      <c r="AF202" t="s">
        <v>2285</v>
      </c>
    </row>
    <row r="203" spans="1:32" x14ac:dyDescent="0.45">
      <c r="A203" t="s">
        <v>570</v>
      </c>
      <c r="B203" t="s">
        <v>2286</v>
      </c>
      <c r="C203" t="s">
        <v>2287</v>
      </c>
      <c r="D203" t="s">
        <v>2286</v>
      </c>
      <c r="E203" t="s">
        <v>2288</v>
      </c>
      <c r="F203" t="s">
        <v>2289</v>
      </c>
      <c r="H203" t="s">
        <v>2290</v>
      </c>
      <c r="J203" t="s">
        <v>8</v>
      </c>
      <c r="K203" t="s">
        <v>3</v>
      </c>
      <c r="L203" t="s">
        <v>3</v>
      </c>
      <c r="M203" t="s">
        <v>373</v>
      </c>
      <c r="N203" t="s">
        <v>3</v>
      </c>
      <c r="O203" t="s">
        <v>3</v>
      </c>
      <c r="P203" t="s">
        <v>3</v>
      </c>
      <c r="Q203" t="s">
        <v>8</v>
      </c>
      <c r="R203" t="s">
        <v>373</v>
      </c>
      <c r="S203" t="s">
        <v>8</v>
      </c>
      <c r="T203" t="s">
        <v>570</v>
      </c>
      <c r="U203" t="s">
        <v>3</v>
      </c>
      <c r="V203" t="s">
        <v>3</v>
      </c>
      <c r="W203" t="s">
        <v>322</v>
      </c>
      <c r="AA203" t="s">
        <v>8</v>
      </c>
      <c r="AB203" t="s">
        <v>8</v>
      </c>
      <c r="AC203" t="s">
        <v>3</v>
      </c>
      <c r="AD203" t="s">
        <v>8</v>
      </c>
      <c r="AE203" t="s">
        <v>67</v>
      </c>
      <c r="AF203" t="s">
        <v>2291</v>
      </c>
    </row>
    <row r="204" spans="1:32" x14ac:dyDescent="0.45">
      <c r="A204" t="s">
        <v>88</v>
      </c>
      <c r="B204" t="s">
        <v>22</v>
      </c>
      <c r="C204" t="s">
        <v>2292</v>
      </c>
      <c r="D204" t="s">
        <v>22</v>
      </c>
      <c r="E204" t="s">
        <v>2293</v>
      </c>
      <c r="F204" t="s">
        <v>2294</v>
      </c>
      <c r="H204" t="s">
        <v>2295</v>
      </c>
      <c r="I204" t="s">
        <v>2296</v>
      </c>
      <c r="J204" t="s">
        <v>8</v>
      </c>
      <c r="K204" t="s">
        <v>3</v>
      </c>
      <c r="L204" t="s">
        <v>3</v>
      </c>
      <c r="M204" t="s">
        <v>373</v>
      </c>
      <c r="N204" t="s">
        <v>3</v>
      </c>
      <c r="O204" t="s">
        <v>3</v>
      </c>
      <c r="P204" t="s">
        <v>3</v>
      </c>
      <c r="Q204" t="s">
        <v>8</v>
      </c>
      <c r="R204" t="s">
        <v>373</v>
      </c>
      <c r="S204" t="s">
        <v>8</v>
      </c>
      <c r="T204" t="s">
        <v>88</v>
      </c>
      <c r="U204" t="s">
        <v>3</v>
      </c>
      <c r="V204" t="s">
        <v>3</v>
      </c>
      <c r="W204" t="s">
        <v>611</v>
      </c>
      <c r="AA204" t="s">
        <v>3</v>
      </c>
      <c r="AB204" t="s">
        <v>8</v>
      </c>
      <c r="AC204" t="s">
        <v>3</v>
      </c>
      <c r="AD204" t="s">
        <v>8</v>
      </c>
      <c r="AE204" t="s">
        <v>97</v>
      </c>
      <c r="AF204" t="s">
        <v>2297</v>
      </c>
    </row>
    <row r="205" spans="1:32" x14ac:dyDescent="0.45">
      <c r="A205" t="s">
        <v>2298</v>
      </c>
      <c r="B205" t="s">
        <v>2299</v>
      </c>
      <c r="C205" t="s">
        <v>2292</v>
      </c>
      <c r="D205" t="s">
        <v>2299</v>
      </c>
      <c r="H205" t="s">
        <v>2295</v>
      </c>
      <c r="I205" t="s">
        <v>2296</v>
      </c>
      <c r="J205" t="s">
        <v>8</v>
      </c>
      <c r="K205" t="s">
        <v>3</v>
      </c>
      <c r="L205" t="s">
        <v>3</v>
      </c>
      <c r="M205" t="s">
        <v>373</v>
      </c>
      <c r="N205" t="s">
        <v>3</v>
      </c>
      <c r="O205" t="s">
        <v>3</v>
      </c>
      <c r="P205" t="s">
        <v>3</v>
      </c>
      <c r="Q205" t="s">
        <v>8</v>
      </c>
      <c r="R205" t="s">
        <v>373</v>
      </c>
      <c r="S205" t="s">
        <v>8</v>
      </c>
      <c r="T205" t="s">
        <v>2298</v>
      </c>
      <c r="U205" t="s">
        <v>3</v>
      </c>
      <c r="V205" t="s">
        <v>3</v>
      </c>
      <c r="W205" t="s">
        <v>614</v>
      </c>
      <c r="AA205" t="s">
        <v>8</v>
      </c>
      <c r="AB205" t="s">
        <v>8</v>
      </c>
      <c r="AC205" t="s">
        <v>3</v>
      </c>
      <c r="AD205" t="s">
        <v>8</v>
      </c>
      <c r="AE205" t="s">
        <v>67</v>
      </c>
      <c r="AF205" t="s">
        <v>2300</v>
      </c>
    </row>
    <row r="206" spans="1:32" x14ac:dyDescent="0.45">
      <c r="A206" t="s">
        <v>2301</v>
      </c>
      <c r="B206" t="s">
        <v>2302</v>
      </c>
      <c r="C206" t="s">
        <v>2303</v>
      </c>
      <c r="D206" t="s">
        <v>2302</v>
      </c>
      <c r="E206" t="s">
        <v>2304</v>
      </c>
      <c r="F206" t="s">
        <v>2305</v>
      </c>
      <c r="H206" t="s">
        <v>2306</v>
      </c>
      <c r="I206" t="s">
        <v>2307</v>
      </c>
      <c r="J206" t="s">
        <v>8</v>
      </c>
      <c r="K206" t="s">
        <v>3</v>
      </c>
      <c r="L206" t="s">
        <v>3</v>
      </c>
      <c r="M206" t="s">
        <v>373</v>
      </c>
      <c r="N206" t="s">
        <v>3</v>
      </c>
      <c r="O206" t="s">
        <v>3</v>
      </c>
      <c r="P206" t="s">
        <v>3</v>
      </c>
      <c r="Q206" t="s">
        <v>8</v>
      </c>
      <c r="R206" t="s">
        <v>373</v>
      </c>
      <c r="S206" t="s">
        <v>8</v>
      </c>
      <c r="T206" t="s">
        <v>2301</v>
      </c>
      <c r="U206" t="s">
        <v>3</v>
      </c>
      <c r="V206" t="s">
        <v>3</v>
      </c>
      <c r="W206" t="s">
        <v>642</v>
      </c>
      <c r="AA206" t="s">
        <v>8</v>
      </c>
      <c r="AB206" t="s">
        <v>8</v>
      </c>
      <c r="AC206" t="s">
        <v>3</v>
      </c>
      <c r="AD206" t="s">
        <v>8</v>
      </c>
      <c r="AE206" t="s">
        <v>62</v>
      </c>
      <c r="AF206" t="s">
        <v>2308</v>
      </c>
    </row>
    <row r="207" spans="1:32" x14ac:dyDescent="0.45">
      <c r="A207" t="s">
        <v>2309</v>
      </c>
      <c r="B207" t="s">
        <v>2310</v>
      </c>
      <c r="C207" t="s">
        <v>2303</v>
      </c>
      <c r="D207" t="s">
        <v>2310</v>
      </c>
      <c r="H207" t="s">
        <v>2306</v>
      </c>
      <c r="I207" t="s">
        <v>2307</v>
      </c>
      <c r="J207" t="s">
        <v>8</v>
      </c>
      <c r="K207" t="s">
        <v>3</v>
      </c>
      <c r="L207" t="s">
        <v>3</v>
      </c>
      <c r="M207" t="s">
        <v>373</v>
      </c>
      <c r="N207" t="s">
        <v>3</v>
      </c>
      <c r="O207" t="s">
        <v>3</v>
      </c>
      <c r="P207" t="s">
        <v>3</v>
      </c>
      <c r="Q207" t="s">
        <v>8</v>
      </c>
      <c r="R207" t="s">
        <v>373</v>
      </c>
      <c r="S207" t="s">
        <v>8</v>
      </c>
      <c r="T207" t="s">
        <v>2309</v>
      </c>
      <c r="U207" t="s">
        <v>3</v>
      </c>
      <c r="V207" t="s">
        <v>3</v>
      </c>
      <c r="W207" t="s">
        <v>644</v>
      </c>
      <c r="AA207" t="s">
        <v>8</v>
      </c>
      <c r="AB207" t="s">
        <v>8</v>
      </c>
      <c r="AC207" t="s">
        <v>3</v>
      </c>
      <c r="AD207" t="s">
        <v>8</v>
      </c>
      <c r="AE207" t="s">
        <v>67</v>
      </c>
      <c r="AF207" t="s">
        <v>2311</v>
      </c>
    </row>
    <row r="208" spans="1:32" x14ac:dyDescent="0.45">
      <c r="A208" t="s">
        <v>2312</v>
      </c>
      <c r="B208" t="s">
        <v>2313</v>
      </c>
      <c r="C208" t="s">
        <v>2314</v>
      </c>
      <c r="D208" t="s">
        <v>43</v>
      </c>
      <c r="E208" t="s">
        <v>2315</v>
      </c>
      <c r="F208" t="s">
        <v>2316</v>
      </c>
      <c r="H208" t="s">
        <v>2317</v>
      </c>
      <c r="I208" t="s">
        <v>2318</v>
      </c>
      <c r="J208" t="s">
        <v>8</v>
      </c>
      <c r="K208" t="s">
        <v>3</v>
      </c>
      <c r="L208" t="s">
        <v>3</v>
      </c>
      <c r="M208" t="s">
        <v>373</v>
      </c>
      <c r="N208" t="s">
        <v>3</v>
      </c>
      <c r="O208" t="s">
        <v>3</v>
      </c>
      <c r="P208" t="s">
        <v>3</v>
      </c>
      <c r="Q208" t="s">
        <v>8</v>
      </c>
      <c r="R208" t="s">
        <v>373</v>
      </c>
      <c r="S208" t="s">
        <v>8</v>
      </c>
      <c r="T208" t="s">
        <v>2312</v>
      </c>
      <c r="U208" t="s">
        <v>3</v>
      </c>
      <c r="V208" t="s">
        <v>3</v>
      </c>
      <c r="W208" t="s">
        <v>2319</v>
      </c>
      <c r="AA208" t="s">
        <v>8</v>
      </c>
      <c r="AB208" t="s">
        <v>8</v>
      </c>
      <c r="AC208" t="s">
        <v>3</v>
      </c>
      <c r="AD208" t="s">
        <v>8</v>
      </c>
      <c r="AE208" t="s">
        <v>67</v>
      </c>
      <c r="AF208" t="s">
        <v>2320</v>
      </c>
    </row>
    <row r="209" spans="1:32" x14ac:dyDescent="0.45">
      <c r="A209" t="s">
        <v>2321</v>
      </c>
      <c r="B209" t="s">
        <v>2322</v>
      </c>
      <c r="C209" t="s">
        <v>2314</v>
      </c>
      <c r="D209" t="s">
        <v>2322</v>
      </c>
      <c r="H209" t="s">
        <v>2317</v>
      </c>
      <c r="I209" t="s">
        <v>2318</v>
      </c>
      <c r="J209" t="s">
        <v>8</v>
      </c>
      <c r="K209" t="s">
        <v>3</v>
      </c>
      <c r="L209" t="s">
        <v>3</v>
      </c>
      <c r="M209" t="s">
        <v>373</v>
      </c>
      <c r="N209" t="s">
        <v>3</v>
      </c>
      <c r="O209" t="s">
        <v>3</v>
      </c>
      <c r="P209" t="s">
        <v>3</v>
      </c>
      <c r="Q209" t="s">
        <v>8</v>
      </c>
      <c r="R209" t="s">
        <v>373</v>
      </c>
      <c r="S209" t="s">
        <v>8</v>
      </c>
      <c r="T209" t="s">
        <v>2321</v>
      </c>
      <c r="U209" t="s">
        <v>3</v>
      </c>
      <c r="V209" t="s">
        <v>3</v>
      </c>
      <c r="W209" t="s">
        <v>2319</v>
      </c>
      <c r="AA209" t="s">
        <v>8</v>
      </c>
      <c r="AB209" t="s">
        <v>8</v>
      </c>
      <c r="AC209" t="s">
        <v>3</v>
      </c>
      <c r="AD209" t="s">
        <v>8</v>
      </c>
      <c r="AE209" t="s">
        <v>67</v>
      </c>
      <c r="AF209" t="s">
        <v>2323</v>
      </c>
    </row>
    <row r="210" spans="1:32" x14ac:dyDescent="0.45">
      <c r="A210" t="s">
        <v>2324</v>
      </c>
      <c r="B210" t="s">
        <v>2325</v>
      </c>
      <c r="C210" t="s">
        <v>2326</v>
      </c>
      <c r="D210" t="s">
        <v>2325</v>
      </c>
      <c r="E210" t="s">
        <v>1532</v>
      </c>
      <c r="F210" t="s">
        <v>2327</v>
      </c>
      <c r="H210" t="s">
        <v>2328</v>
      </c>
      <c r="I210" t="s">
        <v>2328</v>
      </c>
      <c r="J210" t="s">
        <v>8</v>
      </c>
      <c r="K210" t="s">
        <v>3</v>
      </c>
      <c r="L210" t="s">
        <v>3</v>
      </c>
      <c r="M210" t="s">
        <v>373</v>
      </c>
      <c r="N210" t="s">
        <v>3</v>
      </c>
      <c r="O210" t="s">
        <v>3</v>
      </c>
      <c r="P210" t="s">
        <v>3</v>
      </c>
      <c r="Q210" t="s">
        <v>8</v>
      </c>
      <c r="R210" t="s">
        <v>373</v>
      </c>
      <c r="S210" t="s">
        <v>8</v>
      </c>
      <c r="T210" t="s">
        <v>2324</v>
      </c>
      <c r="U210" t="s">
        <v>3</v>
      </c>
      <c r="V210" t="s">
        <v>3</v>
      </c>
      <c r="W210" t="s">
        <v>696</v>
      </c>
      <c r="AA210" t="s">
        <v>3</v>
      </c>
      <c r="AB210" t="s">
        <v>8</v>
      </c>
      <c r="AC210" t="s">
        <v>3</v>
      </c>
      <c r="AD210" t="s">
        <v>8</v>
      </c>
      <c r="AE210" t="s">
        <v>97</v>
      </c>
      <c r="AF210" t="s">
        <v>2329</v>
      </c>
    </row>
    <row r="211" spans="1:32" x14ac:dyDescent="0.45">
      <c r="A211" t="s">
        <v>2330</v>
      </c>
      <c r="B211" t="s">
        <v>2331</v>
      </c>
      <c r="C211" t="s">
        <v>2332</v>
      </c>
      <c r="D211" t="s">
        <v>2325</v>
      </c>
      <c r="E211" t="s">
        <v>1532</v>
      </c>
      <c r="F211" t="s">
        <v>2327</v>
      </c>
      <c r="H211" t="s">
        <v>2328</v>
      </c>
      <c r="I211" t="s">
        <v>2328</v>
      </c>
      <c r="J211" t="s">
        <v>8</v>
      </c>
      <c r="K211" t="s">
        <v>3</v>
      </c>
      <c r="L211" t="s">
        <v>3</v>
      </c>
      <c r="M211" t="s">
        <v>373</v>
      </c>
      <c r="N211" t="s">
        <v>3</v>
      </c>
      <c r="O211" t="s">
        <v>3</v>
      </c>
      <c r="P211" t="s">
        <v>3</v>
      </c>
      <c r="Q211" t="s">
        <v>8</v>
      </c>
      <c r="R211" t="s">
        <v>373</v>
      </c>
      <c r="S211" t="s">
        <v>8</v>
      </c>
      <c r="T211" t="s">
        <v>2330</v>
      </c>
      <c r="U211" t="s">
        <v>3</v>
      </c>
      <c r="V211" t="s">
        <v>3</v>
      </c>
      <c r="W211" t="s">
        <v>698</v>
      </c>
      <c r="AA211" t="s">
        <v>8</v>
      </c>
      <c r="AB211" t="s">
        <v>8</v>
      </c>
      <c r="AC211" t="s">
        <v>3</v>
      </c>
      <c r="AD211" t="s">
        <v>8</v>
      </c>
      <c r="AE211" t="s">
        <v>105</v>
      </c>
      <c r="AF211" t="s">
        <v>2333</v>
      </c>
    </row>
    <row r="212" spans="1:32" x14ac:dyDescent="0.45">
      <c r="A212" t="s">
        <v>2334</v>
      </c>
      <c r="B212" t="s">
        <v>2335</v>
      </c>
      <c r="C212" t="s">
        <v>2336</v>
      </c>
      <c r="D212" t="s">
        <v>2337</v>
      </c>
      <c r="E212" t="s">
        <v>1532</v>
      </c>
      <c r="F212" t="s">
        <v>2338</v>
      </c>
      <c r="H212" t="s">
        <v>2339</v>
      </c>
      <c r="I212" t="s">
        <v>2339</v>
      </c>
      <c r="J212" t="s">
        <v>8</v>
      </c>
      <c r="K212" t="s">
        <v>3</v>
      </c>
      <c r="L212" t="s">
        <v>3</v>
      </c>
      <c r="M212" t="s">
        <v>373</v>
      </c>
      <c r="N212" t="s">
        <v>3</v>
      </c>
      <c r="O212" t="s">
        <v>3</v>
      </c>
      <c r="P212" t="s">
        <v>3</v>
      </c>
      <c r="Q212" t="s">
        <v>8</v>
      </c>
      <c r="R212" t="s">
        <v>373</v>
      </c>
      <c r="S212" t="s">
        <v>8</v>
      </c>
      <c r="T212" t="s">
        <v>2334</v>
      </c>
      <c r="U212" t="s">
        <v>3</v>
      </c>
      <c r="V212" t="s">
        <v>3</v>
      </c>
      <c r="W212" t="s">
        <v>698</v>
      </c>
      <c r="AA212" t="s">
        <v>3</v>
      </c>
      <c r="AB212" t="s">
        <v>8</v>
      </c>
      <c r="AC212" t="s">
        <v>3</v>
      </c>
      <c r="AD212" t="s">
        <v>8</v>
      </c>
      <c r="AE212" t="s">
        <v>67</v>
      </c>
      <c r="AF212" t="s">
        <v>2340</v>
      </c>
    </row>
    <row r="213" spans="1:32" x14ac:dyDescent="0.45">
      <c r="A213" t="s">
        <v>2341</v>
      </c>
      <c r="B213" t="s">
        <v>2342</v>
      </c>
      <c r="C213" t="s">
        <v>2343</v>
      </c>
      <c r="D213" t="s">
        <v>2342</v>
      </c>
      <c r="E213" t="s">
        <v>1532</v>
      </c>
      <c r="F213" t="s">
        <v>2327</v>
      </c>
      <c r="H213" t="s">
        <v>2328</v>
      </c>
      <c r="I213" t="s">
        <v>2328</v>
      </c>
      <c r="J213" t="s">
        <v>8</v>
      </c>
      <c r="K213" t="s">
        <v>3</v>
      </c>
      <c r="L213" t="s">
        <v>3</v>
      </c>
      <c r="M213" t="s">
        <v>373</v>
      </c>
      <c r="N213" t="s">
        <v>3</v>
      </c>
      <c r="O213" t="s">
        <v>3</v>
      </c>
      <c r="P213" t="s">
        <v>3</v>
      </c>
      <c r="Q213" t="s">
        <v>8</v>
      </c>
      <c r="R213" t="s">
        <v>373</v>
      </c>
      <c r="S213" t="s">
        <v>8</v>
      </c>
      <c r="T213" t="s">
        <v>2341</v>
      </c>
      <c r="U213" t="s">
        <v>3</v>
      </c>
      <c r="V213" t="s">
        <v>3</v>
      </c>
      <c r="W213" t="s">
        <v>696</v>
      </c>
      <c r="AA213" t="s">
        <v>3</v>
      </c>
      <c r="AB213" t="s">
        <v>8</v>
      </c>
      <c r="AC213" t="s">
        <v>3</v>
      </c>
      <c r="AD213" t="s">
        <v>8</v>
      </c>
      <c r="AE213" t="s">
        <v>67</v>
      </c>
      <c r="AF213" t="s">
        <v>2344</v>
      </c>
    </row>
    <row r="214" spans="1:32" x14ac:dyDescent="0.45">
      <c r="A214" t="s">
        <v>2345</v>
      </c>
      <c r="B214" t="s">
        <v>2346</v>
      </c>
      <c r="C214" t="s">
        <v>2347</v>
      </c>
      <c r="D214" t="s">
        <v>2325</v>
      </c>
      <c r="E214" t="s">
        <v>1532</v>
      </c>
      <c r="F214" t="s">
        <v>2327</v>
      </c>
      <c r="H214" t="s">
        <v>2328</v>
      </c>
      <c r="I214" t="s">
        <v>2328</v>
      </c>
      <c r="J214" t="s">
        <v>8</v>
      </c>
      <c r="K214" t="s">
        <v>3</v>
      </c>
      <c r="L214" t="s">
        <v>3</v>
      </c>
      <c r="M214" t="s">
        <v>373</v>
      </c>
      <c r="N214" t="s">
        <v>3</v>
      </c>
      <c r="O214" t="s">
        <v>3</v>
      </c>
      <c r="P214" t="s">
        <v>3</v>
      </c>
      <c r="Q214" t="s">
        <v>8</v>
      </c>
      <c r="R214" t="s">
        <v>373</v>
      </c>
      <c r="S214" t="s">
        <v>8</v>
      </c>
      <c r="T214" t="s">
        <v>2345</v>
      </c>
      <c r="U214" t="s">
        <v>3</v>
      </c>
      <c r="V214" t="s">
        <v>3</v>
      </c>
      <c r="W214" t="s">
        <v>696</v>
      </c>
      <c r="AA214" t="s">
        <v>3</v>
      </c>
      <c r="AB214" t="s">
        <v>8</v>
      </c>
      <c r="AC214" t="s">
        <v>3</v>
      </c>
      <c r="AD214" t="s">
        <v>8</v>
      </c>
      <c r="AE214" t="s">
        <v>67</v>
      </c>
      <c r="AF214" t="s">
        <v>2348</v>
      </c>
    </row>
    <row r="215" spans="1:32" x14ac:dyDescent="0.45">
      <c r="A215" t="s">
        <v>2349</v>
      </c>
      <c r="B215" t="s">
        <v>2350</v>
      </c>
      <c r="C215" t="s">
        <v>2351</v>
      </c>
      <c r="D215" t="s">
        <v>2352</v>
      </c>
      <c r="E215" t="s">
        <v>1532</v>
      </c>
      <c r="F215" t="s">
        <v>2338</v>
      </c>
      <c r="H215" t="s">
        <v>2339</v>
      </c>
      <c r="I215" t="s">
        <v>2339</v>
      </c>
      <c r="J215" t="s">
        <v>8</v>
      </c>
      <c r="K215" t="s">
        <v>3</v>
      </c>
      <c r="L215" t="s">
        <v>3</v>
      </c>
      <c r="M215" t="s">
        <v>373</v>
      </c>
      <c r="N215" t="s">
        <v>3</v>
      </c>
      <c r="O215" t="s">
        <v>3</v>
      </c>
      <c r="P215" t="s">
        <v>3</v>
      </c>
      <c r="Q215" t="s">
        <v>8</v>
      </c>
      <c r="R215" t="s">
        <v>373</v>
      </c>
      <c r="S215" t="s">
        <v>8</v>
      </c>
      <c r="T215" t="s">
        <v>2349</v>
      </c>
      <c r="U215" t="s">
        <v>3</v>
      </c>
      <c r="V215" t="s">
        <v>3</v>
      </c>
      <c r="W215" t="s">
        <v>698</v>
      </c>
      <c r="AA215" t="s">
        <v>3</v>
      </c>
      <c r="AB215" t="s">
        <v>8</v>
      </c>
      <c r="AC215" t="s">
        <v>3</v>
      </c>
      <c r="AD215" t="s">
        <v>8</v>
      </c>
      <c r="AE215" t="s">
        <v>67</v>
      </c>
      <c r="AF215" t="s">
        <v>2353</v>
      </c>
    </row>
    <row r="216" spans="1:32" x14ac:dyDescent="0.45">
      <c r="A216" t="s">
        <v>2354</v>
      </c>
      <c r="B216" t="s">
        <v>2355</v>
      </c>
      <c r="C216" t="s">
        <v>2356</v>
      </c>
      <c r="D216" t="s">
        <v>2355</v>
      </c>
      <c r="E216" t="s">
        <v>1532</v>
      </c>
      <c r="F216" t="s">
        <v>2338</v>
      </c>
      <c r="H216" t="s">
        <v>2339</v>
      </c>
      <c r="I216" t="s">
        <v>2339</v>
      </c>
      <c r="J216" t="s">
        <v>8</v>
      </c>
      <c r="K216" t="s">
        <v>3</v>
      </c>
      <c r="L216" t="s">
        <v>3</v>
      </c>
      <c r="M216" t="s">
        <v>373</v>
      </c>
      <c r="N216" t="s">
        <v>3</v>
      </c>
      <c r="O216" t="s">
        <v>3</v>
      </c>
      <c r="P216" t="s">
        <v>3</v>
      </c>
      <c r="Q216" t="s">
        <v>8</v>
      </c>
      <c r="R216" t="s">
        <v>373</v>
      </c>
      <c r="S216" t="s">
        <v>8</v>
      </c>
      <c r="T216" t="s">
        <v>2354</v>
      </c>
      <c r="U216" t="s">
        <v>3</v>
      </c>
      <c r="V216" t="s">
        <v>3</v>
      </c>
      <c r="W216" t="s">
        <v>698</v>
      </c>
      <c r="AA216" t="s">
        <v>3</v>
      </c>
      <c r="AB216" t="s">
        <v>3</v>
      </c>
      <c r="AC216" t="s">
        <v>3</v>
      </c>
      <c r="AD216" t="s">
        <v>8</v>
      </c>
      <c r="AE216" t="s">
        <v>62</v>
      </c>
      <c r="AF216" t="s">
        <v>2357</v>
      </c>
    </row>
    <row r="217" spans="1:32" x14ac:dyDescent="0.45">
      <c r="A217" t="s">
        <v>2358</v>
      </c>
      <c r="B217" t="s">
        <v>41</v>
      </c>
      <c r="C217" t="s">
        <v>2359</v>
      </c>
      <c r="D217" t="s">
        <v>41</v>
      </c>
      <c r="E217" t="s">
        <v>1417</v>
      </c>
      <c r="F217" t="s">
        <v>2360</v>
      </c>
      <c r="H217" t="s">
        <v>2361</v>
      </c>
      <c r="I217" t="s">
        <v>2362</v>
      </c>
      <c r="J217" t="s">
        <v>8</v>
      </c>
      <c r="K217" t="s">
        <v>3</v>
      </c>
      <c r="L217" t="s">
        <v>3</v>
      </c>
      <c r="M217" t="s">
        <v>373</v>
      </c>
      <c r="N217" t="s">
        <v>3</v>
      </c>
      <c r="O217" t="s">
        <v>3</v>
      </c>
      <c r="P217" t="s">
        <v>3</v>
      </c>
      <c r="Q217" t="s">
        <v>8</v>
      </c>
      <c r="R217" t="s">
        <v>373</v>
      </c>
      <c r="S217" t="s">
        <v>8</v>
      </c>
      <c r="T217" t="s">
        <v>2358</v>
      </c>
      <c r="U217" t="s">
        <v>3</v>
      </c>
      <c r="V217" t="s">
        <v>3</v>
      </c>
      <c r="W217" t="s">
        <v>1822</v>
      </c>
      <c r="AA217" t="s">
        <v>8</v>
      </c>
      <c r="AB217" t="s">
        <v>8</v>
      </c>
      <c r="AC217" t="s">
        <v>3</v>
      </c>
      <c r="AD217" t="s">
        <v>8</v>
      </c>
      <c r="AE217" t="s">
        <v>67</v>
      </c>
      <c r="AF217" t="s">
        <v>2363</v>
      </c>
    </row>
    <row r="218" spans="1:32" x14ac:dyDescent="0.45">
      <c r="A218" t="s">
        <v>2364</v>
      </c>
      <c r="B218" t="s">
        <v>2365</v>
      </c>
      <c r="C218" t="s">
        <v>2359</v>
      </c>
      <c r="D218" t="s">
        <v>2365</v>
      </c>
      <c r="H218" t="s">
        <v>2361</v>
      </c>
      <c r="I218" t="s">
        <v>2362</v>
      </c>
      <c r="J218" t="s">
        <v>8</v>
      </c>
      <c r="K218" t="s">
        <v>3</v>
      </c>
      <c r="L218" t="s">
        <v>3</v>
      </c>
      <c r="M218" t="s">
        <v>373</v>
      </c>
      <c r="N218" t="s">
        <v>3</v>
      </c>
      <c r="O218" t="s">
        <v>3</v>
      </c>
      <c r="P218" t="s">
        <v>3</v>
      </c>
      <c r="Q218" t="s">
        <v>8</v>
      </c>
      <c r="R218" t="s">
        <v>373</v>
      </c>
      <c r="S218" t="s">
        <v>8</v>
      </c>
      <c r="T218" t="s">
        <v>2364</v>
      </c>
      <c r="U218" t="s">
        <v>3</v>
      </c>
      <c r="V218" t="s">
        <v>3</v>
      </c>
      <c r="W218" t="s">
        <v>1822</v>
      </c>
      <c r="AA218" t="s">
        <v>8</v>
      </c>
      <c r="AB218" t="s">
        <v>8</v>
      </c>
      <c r="AC218" t="s">
        <v>3</v>
      </c>
      <c r="AD218" t="s">
        <v>8</v>
      </c>
      <c r="AE218" t="s">
        <v>67</v>
      </c>
      <c r="AF218" t="s">
        <v>2366</v>
      </c>
    </row>
    <row r="219" spans="1:32" x14ac:dyDescent="0.45">
      <c r="A219" t="s">
        <v>2367</v>
      </c>
      <c r="B219" t="s">
        <v>2368</v>
      </c>
      <c r="C219" t="s">
        <v>2369</v>
      </c>
      <c r="D219" t="s">
        <v>2368</v>
      </c>
      <c r="E219" t="s">
        <v>2370</v>
      </c>
      <c r="F219" t="s">
        <v>2371</v>
      </c>
      <c r="H219" t="s">
        <v>2372</v>
      </c>
      <c r="I219" t="s">
        <v>2373</v>
      </c>
      <c r="J219" t="s">
        <v>8</v>
      </c>
      <c r="K219" t="s">
        <v>3</v>
      </c>
      <c r="L219" t="s">
        <v>3</v>
      </c>
      <c r="M219" t="s">
        <v>373</v>
      </c>
      <c r="N219" t="s">
        <v>3</v>
      </c>
      <c r="O219" t="s">
        <v>3</v>
      </c>
      <c r="P219" t="s">
        <v>3</v>
      </c>
      <c r="Q219" t="s">
        <v>8</v>
      </c>
      <c r="R219" t="s">
        <v>373</v>
      </c>
      <c r="S219" t="s">
        <v>8</v>
      </c>
      <c r="T219" t="s">
        <v>2367</v>
      </c>
      <c r="U219" t="s">
        <v>3</v>
      </c>
      <c r="V219" t="s">
        <v>3</v>
      </c>
      <c r="W219" t="s">
        <v>2374</v>
      </c>
      <c r="AA219" t="s">
        <v>3</v>
      </c>
      <c r="AB219" t="s">
        <v>8</v>
      </c>
      <c r="AC219" t="s">
        <v>3</v>
      </c>
      <c r="AD219" t="s">
        <v>8</v>
      </c>
      <c r="AE219" t="s">
        <v>67</v>
      </c>
      <c r="AF219" t="s">
        <v>2375</v>
      </c>
    </row>
    <row r="220" spans="1:32" x14ac:dyDescent="0.45">
      <c r="A220" t="s">
        <v>2376</v>
      </c>
      <c r="B220" t="s">
        <v>2377</v>
      </c>
      <c r="C220" t="s">
        <v>2369</v>
      </c>
      <c r="D220" t="s">
        <v>2377</v>
      </c>
      <c r="H220" t="s">
        <v>2372</v>
      </c>
      <c r="I220" t="s">
        <v>2373</v>
      </c>
      <c r="J220" t="s">
        <v>8</v>
      </c>
      <c r="K220" t="s">
        <v>3</v>
      </c>
      <c r="L220" t="s">
        <v>3</v>
      </c>
      <c r="M220" t="s">
        <v>373</v>
      </c>
      <c r="N220" t="s">
        <v>3</v>
      </c>
      <c r="O220" t="s">
        <v>3</v>
      </c>
      <c r="P220" t="s">
        <v>3</v>
      </c>
      <c r="Q220" t="s">
        <v>8</v>
      </c>
      <c r="R220" t="s">
        <v>373</v>
      </c>
      <c r="S220" t="s">
        <v>8</v>
      </c>
      <c r="T220" t="s">
        <v>2376</v>
      </c>
      <c r="U220" t="s">
        <v>3</v>
      </c>
      <c r="V220" t="s">
        <v>3</v>
      </c>
      <c r="W220" t="s">
        <v>2378</v>
      </c>
      <c r="AA220" t="s">
        <v>8</v>
      </c>
      <c r="AB220" t="s">
        <v>8</v>
      </c>
      <c r="AC220" t="s">
        <v>3</v>
      </c>
      <c r="AD220" t="s">
        <v>8</v>
      </c>
      <c r="AE220" t="s">
        <v>67</v>
      </c>
      <c r="AF220" t="s">
        <v>2379</v>
      </c>
    </row>
    <row r="221" spans="1:32" x14ac:dyDescent="0.45">
      <c r="A221" t="s">
        <v>2380</v>
      </c>
      <c r="B221" t="s">
        <v>2381</v>
      </c>
      <c r="C221" t="s">
        <v>2382</v>
      </c>
      <c r="D221" t="s">
        <v>2383</v>
      </c>
      <c r="E221" t="s">
        <v>2384</v>
      </c>
      <c r="F221" t="s">
        <v>2385</v>
      </c>
      <c r="H221" t="s">
        <v>2386</v>
      </c>
      <c r="I221" t="s">
        <v>2387</v>
      </c>
      <c r="J221" t="s">
        <v>8</v>
      </c>
      <c r="K221" t="s">
        <v>3</v>
      </c>
      <c r="L221" t="s">
        <v>3</v>
      </c>
      <c r="M221" t="s">
        <v>373</v>
      </c>
      <c r="N221" t="s">
        <v>3</v>
      </c>
      <c r="O221" t="s">
        <v>3</v>
      </c>
      <c r="P221" t="s">
        <v>3</v>
      </c>
      <c r="Q221" t="s">
        <v>8</v>
      </c>
      <c r="R221" t="s">
        <v>373</v>
      </c>
      <c r="S221" t="s">
        <v>8</v>
      </c>
      <c r="T221" t="s">
        <v>2380</v>
      </c>
      <c r="U221" t="s">
        <v>3</v>
      </c>
      <c r="V221" t="s">
        <v>3</v>
      </c>
      <c r="W221" t="s">
        <v>1641</v>
      </c>
      <c r="AA221" t="s">
        <v>8</v>
      </c>
      <c r="AB221" t="s">
        <v>8</v>
      </c>
      <c r="AC221" t="s">
        <v>3</v>
      </c>
      <c r="AD221" t="s">
        <v>8</v>
      </c>
      <c r="AE221" t="s">
        <v>97</v>
      </c>
      <c r="AF221" t="s">
        <v>2388</v>
      </c>
    </row>
    <row r="222" spans="1:32" x14ac:dyDescent="0.45">
      <c r="A222" t="s">
        <v>2389</v>
      </c>
      <c r="B222" t="s">
        <v>2390</v>
      </c>
      <c r="C222" t="s">
        <v>2391</v>
      </c>
      <c r="D222" t="s">
        <v>2390</v>
      </c>
      <c r="E222" t="s">
        <v>2384</v>
      </c>
      <c r="F222" t="s">
        <v>2392</v>
      </c>
      <c r="H222" t="s">
        <v>2393</v>
      </c>
      <c r="I222" t="s">
        <v>2387</v>
      </c>
      <c r="J222" t="s">
        <v>8</v>
      </c>
      <c r="K222" t="s">
        <v>3</v>
      </c>
      <c r="L222" t="s">
        <v>3</v>
      </c>
      <c r="M222" t="s">
        <v>373</v>
      </c>
      <c r="N222" t="s">
        <v>3</v>
      </c>
      <c r="O222" t="s">
        <v>3</v>
      </c>
      <c r="P222" t="s">
        <v>3</v>
      </c>
      <c r="Q222" t="s">
        <v>8</v>
      </c>
      <c r="R222" t="s">
        <v>373</v>
      </c>
      <c r="S222" t="s">
        <v>8</v>
      </c>
      <c r="T222" t="s">
        <v>2389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62</v>
      </c>
      <c r="AF222" t="s">
        <v>2394</v>
      </c>
    </row>
    <row r="223" spans="1:32" x14ac:dyDescent="0.45">
      <c r="A223" t="s">
        <v>2395</v>
      </c>
      <c r="B223" t="s">
        <v>2381</v>
      </c>
      <c r="C223" t="s">
        <v>2396</v>
      </c>
      <c r="D223" t="s">
        <v>2383</v>
      </c>
      <c r="E223" t="s">
        <v>2384</v>
      </c>
      <c r="F223" t="s">
        <v>2385</v>
      </c>
      <c r="H223" t="s">
        <v>2386</v>
      </c>
      <c r="I223" t="s">
        <v>2387</v>
      </c>
      <c r="J223" t="s">
        <v>8</v>
      </c>
      <c r="K223" t="s">
        <v>3</v>
      </c>
      <c r="L223" t="s">
        <v>3</v>
      </c>
      <c r="M223" t="s">
        <v>373</v>
      </c>
      <c r="N223" t="s">
        <v>3</v>
      </c>
      <c r="O223" t="s">
        <v>3</v>
      </c>
      <c r="P223" t="s">
        <v>3</v>
      </c>
      <c r="Q223" t="s">
        <v>8</v>
      </c>
      <c r="R223" t="s">
        <v>373</v>
      </c>
      <c r="S223" t="s">
        <v>8</v>
      </c>
      <c r="T223" t="s">
        <v>2395</v>
      </c>
      <c r="U223" t="s">
        <v>3</v>
      </c>
      <c r="V223" t="s">
        <v>3</v>
      </c>
      <c r="W223" t="s">
        <v>1641</v>
      </c>
      <c r="AA223" t="s">
        <v>8</v>
      </c>
      <c r="AB223" t="s">
        <v>8</v>
      </c>
      <c r="AC223" t="s">
        <v>3</v>
      </c>
      <c r="AD223" t="s">
        <v>8</v>
      </c>
      <c r="AE223" t="s">
        <v>62</v>
      </c>
      <c r="AF223" t="s">
        <v>2397</v>
      </c>
    </row>
    <row r="224" spans="1:32" x14ac:dyDescent="0.45">
      <c r="A224" t="s">
        <v>2398</v>
      </c>
      <c r="B224" t="s">
        <v>2381</v>
      </c>
      <c r="C224" t="s">
        <v>2399</v>
      </c>
      <c r="D224" t="s">
        <v>2383</v>
      </c>
      <c r="E224" t="s">
        <v>2384</v>
      </c>
      <c r="F224" t="s">
        <v>2385</v>
      </c>
      <c r="H224" t="s">
        <v>2386</v>
      </c>
      <c r="I224" t="s">
        <v>2387</v>
      </c>
      <c r="J224" t="s">
        <v>8</v>
      </c>
      <c r="K224" t="s">
        <v>3</v>
      </c>
      <c r="L224" t="s">
        <v>3</v>
      </c>
      <c r="M224" t="s">
        <v>373</v>
      </c>
      <c r="N224" t="s">
        <v>3</v>
      </c>
      <c r="O224" t="s">
        <v>3</v>
      </c>
      <c r="P224" t="s">
        <v>3</v>
      </c>
      <c r="Q224" t="s">
        <v>8</v>
      </c>
      <c r="R224" t="s">
        <v>373</v>
      </c>
      <c r="S224" t="s">
        <v>8</v>
      </c>
      <c r="T224" t="s">
        <v>2398</v>
      </c>
      <c r="U224" t="s">
        <v>3</v>
      </c>
      <c r="V224" t="s">
        <v>3</v>
      </c>
      <c r="W224" t="s">
        <v>1641</v>
      </c>
      <c r="AA224" t="s">
        <v>8</v>
      </c>
      <c r="AB224" t="s">
        <v>8</v>
      </c>
      <c r="AC224" t="s">
        <v>3</v>
      </c>
      <c r="AD224" t="s">
        <v>8</v>
      </c>
      <c r="AE224" t="s">
        <v>105</v>
      </c>
      <c r="AF224" t="s">
        <v>2400</v>
      </c>
    </row>
    <row r="225" spans="1:32" x14ac:dyDescent="0.45">
      <c r="A225" t="s">
        <v>2401</v>
      </c>
      <c r="B225" t="s">
        <v>2402</v>
      </c>
      <c r="C225" t="s">
        <v>2403</v>
      </c>
      <c r="D225" t="s">
        <v>2402</v>
      </c>
      <c r="E225" t="s">
        <v>2404</v>
      </c>
      <c r="F225" t="s">
        <v>2405</v>
      </c>
      <c r="H225" t="s">
        <v>2406</v>
      </c>
      <c r="I225" t="s">
        <v>2407</v>
      </c>
      <c r="J225" t="s">
        <v>8</v>
      </c>
      <c r="K225" t="s">
        <v>3</v>
      </c>
      <c r="L225" t="s">
        <v>3</v>
      </c>
      <c r="M225" t="s">
        <v>373</v>
      </c>
      <c r="N225" t="s">
        <v>3</v>
      </c>
      <c r="O225" t="s">
        <v>3</v>
      </c>
      <c r="P225" t="s">
        <v>3</v>
      </c>
      <c r="Q225" t="s">
        <v>8</v>
      </c>
      <c r="R225" t="s">
        <v>373</v>
      </c>
      <c r="S225" t="s">
        <v>8</v>
      </c>
      <c r="T225" t="s">
        <v>2401</v>
      </c>
      <c r="U225" t="s">
        <v>3</v>
      </c>
      <c r="V225" t="s">
        <v>3</v>
      </c>
      <c r="W225" t="s">
        <v>621</v>
      </c>
      <c r="AA225" t="s">
        <v>3</v>
      </c>
      <c r="AB225" t="s">
        <v>8</v>
      </c>
      <c r="AC225" t="s">
        <v>3</v>
      </c>
      <c r="AD225" t="s">
        <v>8</v>
      </c>
      <c r="AE225" t="s">
        <v>67</v>
      </c>
      <c r="AF225" t="s">
        <v>2408</v>
      </c>
    </row>
    <row r="226" spans="1:32" x14ac:dyDescent="0.45">
      <c r="A226" t="s">
        <v>2409</v>
      </c>
      <c r="B226" t="s">
        <v>2410</v>
      </c>
      <c r="C226" t="s">
        <v>2411</v>
      </c>
      <c r="D226" t="s">
        <v>2410</v>
      </c>
      <c r="H226" t="s">
        <v>2406</v>
      </c>
      <c r="I226" t="s">
        <v>2407</v>
      </c>
      <c r="J226" t="s">
        <v>8</v>
      </c>
      <c r="K226" t="s">
        <v>3</v>
      </c>
      <c r="L226" t="s">
        <v>3</v>
      </c>
      <c r="M226" t="s">
        <v>373</v>
      </c>
      <c r="N226" t="s">
        <v>3</v>
      </c>
      <c r="O226" t="s">
        <v>3</v>
      </c>
      <c r="P226" t="s">
        <v>3</v>
      </c>
      <c r="Q226" t="s">
        <v>8</v>
      </c>
      <c r="R226" t="s">
        <v>373</v>
      </c>
      <c r="S226" t="s">
        <v>8</v>
      </c>
      <c r="T226" t="s">
        <v>2409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67</v>
      </c>
      <c r="AF226" t="s">
        <v>2412</v>
      </c>
    </row>
    <row r="227" spans="1:32" x14ac:dyDescent="0.45">
      <c r="A227" t="s">
        <v>2413</v>
      </c>
      <c r="B227" t="s">
        <v>2414</v>
      </c>
      <c r="C227" t="s">
        <v>2415</v>
      </c>
      <c r="D227" t="s">
        <v>2416</v>
      </c>
      <c r="H227" t="s">
        <v>2406</v>
      </c>
      <c r="I227" t="s">
        <v>2407</v>
      </c>
      <c r="J227" t="s">
        <v>8</v>
      </c>
      <c r="K227" t="s">
        <v>3</v>
      </c>
      <c r="L227" t="s">
        <v>3</v>
      </c>
      <c r="M227" t="s">
        <v>373</v>
      </c>
      <c r="N227" t="s">
        <v>3</v>
      </c>
      <c r="O227" t="s">
        <v>3</v>
      </c>
      <c r="P227" t="s">
        <v>3</v>
      </c>
      <c r="Q227" t="s">
        <v>8</v>
      </c>
      <c r="R227" t="s">
        <v>373</v>
      </c>
      <c r="S227" t="s">
        <v>8</v>
      </c>
      <c r="T227" t="s">
        <v>2413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67</v>
      </c>
      <c r="AF227" t="s">
        <v>2417</v>
      </c>
    </row>
    <row r="228" spans="1:32" x14ac:dyDescent="0.45">
      <c r="A228" t="s">
        <v>2418</v>
      </c>
      <c r="B228" t="s">
        <v>2419</v>
      </c>
      <c r="C228" t="s">
        <v>2420</v>
      </c>
      <c r="D228" t="s">
        <v>2419</v>
      </c>
      <c r="H228" t="s">
        <v>2406</v>
      </c>
      <c r="I228" t="s">
        <v>2407</v>
      </c>
      <c r="J228" t="s">
        <v>8</v>
      </c>
      <c r="K228" t="s">
        <v>3</v>
      </c>
      <c r="L228" t="s">
        <v>3</v>
      </c>
      <c r="M228" t="s">
        <v>373</v>
      </c>
      <c r="N228" t="s">
        <v>3</v>
      </c>
      <c r="O228" t="s">
        <v>3</v>
      </c>
      <c r="P228" t="s">
        <v>3</v>
      </c>
      <c r="Q228" t="s">
        <v>8</v>
      </c>
      <c r="R228" t="s">
        <v>373</v>
      </c>
      <c r="S228" t="s">
        <v>8</v>
      </c>
      <c r="T228" t="s">
        <v>2418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67</v>
      </c>
      <c r="AF228" t="s">
        <v>2421</v>
      </c>
    </row>
    <row r="229" spans="1:32" x14ac:dyDescent="0.45">
      <c r="A229" t="s">
        <v>2422</v>
      </c>
      <c r="B229" t="s">
        <v>2423</v>
      </c>
      <c r="C229" t="s">
        <v>2424</v>
      </c>
      <c r="D229" t="s">
        <v>2425</v>
      </c>
      <c r="J229" t="s">
        <v>8</v>
      </c>
      <c r="K229" t="s">
        <v>3</v>
      </c>
      <c r="L229" t="s">
        <v>3</v>
      </c>
      <c r="M229" t="s">
        <v>373</v>
      </c>
      <c r="N229" t="s">
        <v>3</v>
      </c>
      <c r="O229" t="s">
        <v>3</v>
      </c>
      <c r="P229" t="s">
        <v>3</v>
      </c>
      <c r="Q229" t="s">
        <v>8</v>
      </c>
      <c r="R229" t="s">
        <v>373</v>
      </c>
      <c r="S229" t="s">
        <v>8</v>
      </c>
      <c r="T229" t="s">
        <v>2422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67</v>
      </c>
      <c r="AF229" t="s">
        <v>2426</v>
      </c>
    </row>
    <row r="230" spans="1:32" x14ac:dyDescent="0.45">
      <c r="A230" t="s">
        <v>2427</v>
      </c>
      <c r="B230" t="s">
        <v>2428</v>
      </c>
      <c r="C230" t="s">
        <v>2429</v>
      </c>
      <c r="D230" t="s">
        <v>2430</v>
      </c>
      <c r="E230" t="s">
        <v>2431</v>
      </c>
      <c r="F230" t="s">
        <v>2432</v>
      </c>
      <c r="H230" t="s">
        <v>2433</v>
      </c>
      <c r="J230" t="s">
        <v>8</v>
      </c>
      <c r="K230" t="s">
        <v>3</v>
      </c>
      <c r="L230" t="s">
        <v>3</v>
      </c>
      <c r="M230" t="s">
        <v>373</v>
      </c>
      <c r="N230" t="s">
        <v>3</v>
      </c>
      <c r="O230" t="s">
        <v>3</v>
      </c>
      <c r="P230" t="s">
        <v>3</v>
      </c>
      <c r="Q230" t="s">
        <v>8</v>
      </c>
      <c r="R230" t="s">
        <v>373</v>
      </c>
      <c r="S230" t="s">
        <v>8</v>
      </c>
      <c r="T230" t="s">
        <v>2427</v>
      </c>
      <c r="U230" t="s">
        <v>3</v>
      </c>
      <c r="V230" t="s">
        <v>3</v>
      </c>
      <c r="W230" t="s">
        <v>887</v>
      </c>
      <c r="AA230" t="s">
        <v>3</v>
      </c>
      <c r="AB230" t="s">
        <v>8</v>
      </c>
      <c r="AC230" t="s">
        <v>3</v>
      </c>
      <c r="AD230" t="s">
        <v>8</v>
      </c>
      <c r="AE230" t="s">
        <v>97</v>
      </c>
      <c r="AF230" t="s">
        <v>2434</v>
      </c>
    </row>
    <row r="231" spans="1:32" x14ac:dyDescent="0.45">
      <c r="A231" t="s">
        <v>2435</v>
      </c>
      <c r="B231" t="s">
        <v>2436</v>
      </c>
      <c r="C231" t="s">
        <v>2437</v>
      </c>
      <c r="D231" t="s">
        <v>2438</v>
      </c>
      <c r="E231" t="s">
        <v>2439</v>
      </c>
      <c r="F231" t="s">
        <v>2440</v>
      </c>
      <c r="H231" t="s">
        <v>2441</v>
      </c>
      <c r="I231" t="s">
        <v>2442</v>
      </c>
      <c r="J231" t="s">
        <v>8</v>
      </c>
      <c r="K231" t="s">
        <v>3</v>
      </c>
      <c r="L231" t="s">
        <v>3</v>
      </c>
      <c r="M231" t="s">
        <v>373</v>
      </c>
      <c r="N231" t="s">
        <v>3</v>
      </c>
      <c r="O231" t="s">
        <v>3</v>
      </c>
      <c r="P231" t="s">
        <v>3</v>
      </c>
      <c r="Q231" t="s">
        <v>8</v>
      </c>
      <c r="R231" t="s">
        <v>373</v>
      </c>
      <c r="S231" t="s">
        <v>8</v>
      </c>
      <c r="T231" t="s">
        <v>2435</v>
      </c>
      <c r="U231" t="s">
        <v>3</v>
      </c>
      <c r="V231" t="s">
        <v>3</v>
      </c>
      <c r="W231" t="s">
        <v>2443</v>
      </c>
      <c r="AA231" t="s">
        <v>3</v>
      </c>
      <c r="AB231" t="s">
        <v>8</v>
      </c>
      <c r="AC231" t="s">
        <v>3</v>
      </c>
      <c r="AD231" t="s">
        <v>8</v>
      </c>
      <c r="AE231" t="s">
        <v>97</v>
      </c>
      <c r="AF231" t="s">
        <v>2444</v>
      </c>
    </row>
    <row r="232" spans="1:32" x14ac:dyDescent="0.45">
      <c r="A232" t="s">
        <v>2445</v>
      </c>
      <c r="B232" t="s">
        <v>2446</v>
      </c>
      <c r="C232" t="s">
        <v>2447</v>
      </c>
      <c r="D232" t="s">
        <v>2446</v>
      </c>
      <c r="E232" t="s">
        <v>2448</v>
      </c>
      <c r="F232" t="s">
        <v>2449</v>
      </c>
      <c r="H232" t="s">
        <v>2450</v>
      </c>
      <c r="J232" t="s">
        <v>8</v>
      </c>
      <c r="K232" t="s">
        <v>3</v>
      </c>
      <c r="L232" t="s">
        <v>3</v>
      </c>
      <c r="M232" t="s">
        <v>373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2445</v>
      </c>
      <c r="U232" t="s">
        <v>3</v>
      </c>
      <c r="V232" t="s">
        <v>3</v>
      </c>
      <c r="W232" t="s">
        <v>923</v>
      </c>
      <c r="AA232" t="s">
        <v>8</v>
      </c>
      <c r="AB232" t="s">
        <v>8</v>
      </c>
      <c r="AC232" t="s">
        <v>3</v>
      </c>
      <c r="AD232" t="s">
        <v>8</v>
      </c>
      <c r="AE232" t="s">
        <v>62</v>
      </c>
      <c r="AF232" t="s">
        <v>2451</v>
      </c>
    </row>
    <row r="233" spans="1:32" x14ac:dyDescent="0.45">
      <c r="A233" t="s">
        <v>122</v>
      </c>
      <c r="B233" t="s">
        <v>36</v>
      </c>
      <c r="C233" t="s">
        <v>2452</v>
      </c>
      <c r="D233" t="s">
        <v>36</v>
      </c>
      <c r="J233" t="s">
        <v>8</v>
      </c>
      <c r="K233" t="s">
        <v>3</v>
      </c>
      <c r="L233" t="s">
        <v>3</v>
      </c>
      <c r="M233" t="s">
        <v>373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122</v>
      </c>
      <c r="U233" t="s">
        <v>3</v>
      </c>
      <c r="V233" t="s">
        <v>3</v>
      </c>
      <c r="W233" t="s">
        <v>2453</v>
      </c>
      <c r="AA233" t="s">
        <v>3</v>
      </c>
      <c r="AB233" t="s">
        <v>8</v>
      </c>
      <c r="AC233" t="s">
        <v>3</v>
      </c>
      <c r="AD233" t="s">
        <v>8</v>
      </c>
      <c r="AE233" t="s">
        <v>67</v>
      </c>
      <c r="AF233" t="s">
        <v>2454</v>
      </c>
    </row>
    <row r="234" spans="1:32" x14ac:dyDescent="0.45">
      <c r="A234" t="s">
        <v>124</v>
      </c>
      <c r="B234" t="s">
        <v>37</v>
      </c>
      <c r="C234" t="s">
        <v>2455</v>
      </c>
      <c r="D234" t="s">
        <v>37</v>
      </c>
      <c r="J234" t="s">
        <v>8</v>
      </c>
      <c r="K234" t="s">
        <v>3</v>
      </c>
      <c r="L234" t="s">
        <v>3</v>
      </c>
      <c r="M234" t="s">
        <v>373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124</v>
      </c>
      <c r="U234" t="s">
        <v>3</v>
      </c>
      <c r="V234" t="s">
        <v>3</v>
      </c>
      <c r="W234" t="s">
        <v>2453</v>
      </c>
      <c r="AA234" t="s">
        <v>3</v>
      </c>
      <c r="AB234" t="s">
        <v>8</v>
      </c>
      <c r="AC234" t="s">
        <v>3</v>
      </c>
      <c r="AD234" t="s">
        <v>8</v>
      </c>
      <c r="AE234" t="s">
        <v>67</v>
      </c>
      <c r="AF234" t="s">
        <v>2456</v>
      </c>
    </row>
    <row r="235" spans="1:32" x14ac:dyDescent="0.45">
      <c r="A235" t="s">
        <v>2457</v>
      </c>
      <c r="B235" t="s">
        <v>2458</v>
      </c>
      <c r="C235" t="s">
        <v>2459</v>
      </c>
      <c r="D235" t="s">
        <v>2460</v>
      </c>
      <c r="J235" t="s">
        <v>8</v>
      </c>
      <c r="K235" t="s">
        <v>3</v>
      </c>
      <c r="L235" t="s">
        <v>3</v>
      </c>
      <c r="M235" t="s">
        <v>373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2457</v>
      </c>
      <c r="U235" t="s">
        <v>3</v>
      </c>
      <c r="V235" t="s">
        <v>3</v>
      </c>
      <c r="W235" t="s">
        <v>1002</v>
      </c>
      <c r="AA235" t="s">
        <v>8</v>
      </c>
      <c r="AB235" t="s">
        <v>8</v>
      </c>
      <c r="AC235" t="s">
        <v>3</v>
      </c>
      <c r="AD235" t="s">
        <v>8</v>
      </c>
      <c r="AE235" t="s">
        <v>67</v>
      </c>
      <c r="AF235" t="s">
        <v>2461</v>
      </c>
    </row>
    <row r="236" spans="1:32" x14ac:dyDescent="0.45">
      <c r="A236" t="s">
        <v>2462</v>
      </c>
      <c r="B236" t="s">
        <v>2463</v>
      </c>
      <c r="C236" t="s">
        <v>2464</v>
      </c>
      <c r="D236" t="s">
        <v>2465</v>
      </c>
      <c r="E236" t="s">
        <v>2466</v>
      </c>
      <c r="F236" t="s">
        <v>2467</v>
      </c>
      <c r="H236" t="s">
        <v>2468</v>
      </c>
      <c r="I236" t="s">
        <v>2468</v>
      </c>
      <c r="J236" t="s">
        <v>8</v>
      </c>
      <c r="K236" t="s">
        <v>3</v>
      </c>
      <c r="L236" t="s">
        <v>3</v>
      </c>
      <c r="M236" t="s">
        <v>373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2462</v>
      </c>
      <c r="U236" t="s">
        <v>3</v>
      </c>
      <c r="V236" t="s">
        <v>3</v>
      </c>
      <c r="W236" t="s">
        <v>926</v>
      </c>
      <c r="AA236" t="s">
        <v>8</v>
      </c>
      <c r="AB236" t="s">
        <v>8</v>
      </c>
      <c r="AC236" t="s">
        <v>3</v>
      </c>
      <c r="AD236" t="s">
        <v>8</v>
      </c>
      <c r="AE236" t="s">
        <v>67</v>
      </c>
      <c r="AF236" t="s">
        <v>2469</v>
      </c>
    </row>
    <row r="237" spans="1:32" x14ac:dyDescent="0.45">
      <c r="A237" t="s">
        <v>59</v>
      </c>
      <c r="B237" t="s">
        <v>2470</v>
      </c>
      <c r="C237" t="s">
        <v>2471</v>
      </c>
      <c r="D237" t="s">
        <v>2472</v>
      </c>
      <c r="E237" t="s">
        <v>2473</v>
      </c>
      <c r="F237" t="s">
        <v>2474</v>
      </c>
      <c r="H237" t="s">
        <v>2475</v>
      </c>
      <c r="I237" t="s">
        <v>2476</v>
      </c>
      <c r="J237" t="s">
        <v>8</v>
      </c>
      <c r="K237" t="s">
        <v>3</v>
      </c>
      <c r="L237" t="s">
        <v>3</v>
      </c>
      <c r="M237" t="s">
        <v>373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59</v>
      </c>
      <c r="U237" t="s">
        <v>3</v>
      </c>
      <c r="V237" t="s">
        <v>3</v>
      </c>
      <c r="W237" t="s">
        <v>3</v>
      </c>
      <c r="X237" t="s">
        <v>1031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67</v>
      </c>
      <c r="AF237" t="s">
        <v>2477</v>
      </c>
    </row>
    <row r="238" spans="1:32" x14ac:dyDescent="0.45">
      <c r="A238" t="s">
        <v>2478</v>
      </c>
      <c r="B238" t="s">
        <v>2470</v>
      </c>
      <c r="C238" t="s">
        <v>2471</v>
      </c>
      <c r="D238" t="s">
        <v>2470</v>
      </c>
      <c r="E238" t="s">
        <v>2473</v>
      </c>
      <c r="F238" t="s">
        <v>2474</v>
      </c>
      <c r="H238" t="s">
        <v>2475</v>
      </c>
      <c r="I238" t="s">
        <v>2479</v>
      </c>
      <c r="J238" t="s">
        <v>8</v>
      </c>
      <c r="K238" t="s">
        <v>3</v>
      </c>
      <c r="L238" t="s">
        <v>3</v>
      </c>
      <c r="M238" t="s">
        <v>373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2478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62</v>
      </c>
      <c r="AF238" t="s">
        <v>2480</v>
      </c>
    </row>
    <row r="239" spans="1:32" x14ac:dyDescent="0.45">
      <c r="A239" t="s">
        <v>2481</v>
      </c>
      <c r="B239" t="s">
        <v>2482</v>
      </c>
      <c r="C239" t="s">
        <v>2483</v>
      </c>
      <c r="D239" t="s">
        <v>2482</v>
      </c>
      <c r="E239" t="s">
        <v>2473</v>
      </c>
      <c r="F239" t="s">
        <v>2474</v>
      </c>
      <c r="H239" t="s">
        <v>2475</v>
      </c>
      <c r="I239" t="s">
        <v>2479</v>
      </c>
      <c r="J239" t="s">
        <v>8</v>
      </c>
      <c r="K239" t="s">
        <v>3</v>
      </c>
      <c r="L239" t="s">
        <v>3</v>
      </c>
      <c r="M239" t="s">
        <v>373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2481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72</v>
      </c>
      <c r="AF239" t="s">
        <v>2484</v>
      </c>
    </row>
    <row r="240" spans="1:32" x14ac:dyDescent="0.45">
      <c r="A240" t="s">
        <v>2485</v>
      </c>
      <c r="B240" t="s">
        <v>2486</v>
      </c>
      <c r="C240" t="s">
        <v>2487</v>
      </c>
      <c r="D240" t="s">
        <v>2486</v>
      </c>
      <c r="E240" t="s">
        <v>2488</v>
      </c>
      <c r="F240" t="s">
        <v>2489</v>
      </c>
      <c r="G240" t="s">
        <v>2490</v>
      </c>
      <c r="H240" t="s">
        <v>2491</v>
      </c>
      <c r="I240" t="s">
        <v>2491</v>
      </c>
      <c r="J240" t="s">
        <v>8</v>
      </c>
      <c r="K240" t="s">
        <v>3</v>
      </c>
      <c r="L240" t="s">
        <v>3</v>
      </c>
      <c r="M240" t="s">
        <v>373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2485</v>
      </c>
      <c r="U240" t="s">
        <v>3</v>
      </c>
      <c r="V240" t="s">
        <v>3</v>
      </c>
      <c r="W240" t="s">
        <v>941</v>
      </c>
      <c r="AA240" t="s">
        <v>8</v>
      </c>
      <c r="AB240" t="s">
        <v>8</v>
      </c>
      <c r="AC240" t="s">
        <v>3</v>
      </c>
      <c r="AD240" t="s">
        <v>8</v>
      </c>
      <c r="AE240" t="s">
        <v>69</v>
      </c>
      <c r="AF240" t="s">
        <v>2492</v>
      </c>
    </row>
    <row r="241" spans="1:32" x14ac:dyDescent="0.45">
      <c r="A241" t="s">
        <v>2493</v>
      </c>
      <c r="B241" t="s">
        <v>2494</v>
      </c>
      <c r="C241" t="s">
        <v>2495</v>
      </c>
      <c r="D241" t="s">
        <v>2486</v>
      </c>
      <c r="E241" t="s">
        <v>2488</v>
      </c>
      <c r="F241" t="s">
        <v>2489</v>
      </c>
      <c r="G241" t="s">
        <v>2496</v>
      </c>
      <c r="H241" t="s">
        <v>2497</v>
      </c>
      <c r="I241" t="s">
        <v>2497</v>
      </c>
      <c r="J241" t="s">
        <v>8</v>
      </c>
      <c r="K241" t="s">
        <v>3</v>
      </c>
      <c r="L241" t="s">
        <v>3</v>
      </c>
      <c r="M241" t="s">
        <v>373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2493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67</v>
      </c>
      <c r="AF241" t="s">
        <v>2498</v>
      </c>
    </row>
    <row r="242" spans="1:32" x14ac:dyDescent="0.45">
      <c r="A242" t="s">
        <v>2499</v>
      </c>
      <c r="B242" t="s">
        <v>2500</v>
      </c>
      <c r="C242" t="s">
        <v>2501</v>
      </c>
      <c r="D242" t="s">
        <v>2500</v>
      </c>
      <c r="J242" t="s">
        <v>8</v>
      </c>
      <c r="K242" t="s">
        <v>3</v>
      </c>
      <c r="L242" t="s">
        <v>3</v>
      </c>
      <c r="M242" t="s">
        <v>373</v>
      </c>
      <c r="N242" t="s">
        <v>3</v>
      </c>
      <c r="O242" t="s">
        <v>3</v>
      </c>
      <c r="P242" t="s">
        <v>3</v>
      </c>
      <c r="Q242" t="s">
        <v>8</v>
      </c>
      <c r="R242" t="s">
        <v>373</v>
      </c>
      <c r="S242" t="s">
        <v>8</v>
      </c>
      <c r="T242" t="s">
        <v>2499</v>
      </c>
      <c r="U242" t="s">
        <v>3</v>
      </c>
      <c r="V242" t="s">
        <v>3</v>
      </c>
      <c r="W242" t="s">
        <v>973</v>
      </c>
      <c r="AA242" t="s">
        <v>3</v>
      </c>
      <c r="AB242" t="s">
        <v>8</v>
      </c>
      <c r="AC242" t="s">
        <v>3</v>
      </c>
      <c r="AD242" t="s">
        <v>8</v>
      </c>
      <c r="AE242" t="s">
        <v>67</v>
      </c>
      <c r="AF242" t="s">
        <v>2502</v>
      </c>
    </row>
    <row r="243" spans="1:32" x14ac:dyDescent="0.45">
      <c r="A243" t="s">
        <v>2503</v>
      </c>
      <c r="B243" t="s">
        <v>42</v>
      </c>
      <c r="C243" t="s">
        <v>2504</v>
      </c>
      <c r="D243" t="s">
        <v>42</v>
      </c>
      <c r="E243" t="s">
        <v>2505</v>
      </c>
      <c r="F243" t="s">
        <v>2506</v>
      </c>
      <c r="H243" t="s">
        <v>2507</v>
      </c>
      <c r="I243" t="s">
        <v>2508</v>
      </c>
      <c r="J243" t="s">
        <v>8</v>
      </c>
      <c r="K243" t="s">
        <v>3</v>
      </c>
      <c r="L243" t="s">
        <v>3</v>
      </c>
      <c r="M243" t="s">
        <v>373</v>
      </c>
      <c r="N243" t="s">
        <v>3</v>
      </c>
      <c r="O243" t="s">
        <v>3</v>
      </c>
      <c r="P243" t="s">
        <v>3</v>
      </c>
      <c r="Q243" t="s">
        <v>8</v>
      </c>
      <c r="R243" t="s">
        <v>373</v>
      </c>
      <c r="S243" t="s">
        <v>8</v>
      </c>
      <c r="T243" t="s">
        <v>2503</v>
      </c>
      <c r="U243" t="s">
        <v>3</v>
      </c>
      <c r="V243" t="s">
        <v>3</v>
      </c>
      <c r="W243" t="s">
        <v>1822</v>
      </c>
      <c r="AA243" t="s">
        <v>3</v>
      </c>
      <c r="AB243" t="s">
        <v>8</v>
      </c>
      <c r="AC243" t="s">
        <v>3</v>
      </c>
      <c r="AD243" t="s">
        <v>8</v>
      </c>
      <c r="AE243" t="s">
        <v>67</v>
      </c>
      <c r="AF243" t="s">
        <v>2509</v>
      </c>
    </row>
    <row r="244" spans="1:32" x14ac:dyDescent="0.45">
      <c r="A244" t="s">
        <v>2510</v>
      </c>
      <c r="B244" t="s">
        <v>2511</v>
      </c>
      <c r="C244" t="s">
        <v>2512</v>
      </c>
      <c r="D244" t="s">
        <v>2511</v>
      </c>
      <c r="J244" t="s">
        <v>3</v>
      </c>
      <c r="K244" t="s">
        <v>3</v>
      </c>
      <c r="L244" t="s">
        <v>3</v>
      </c>
      <c r="M244" t="s">
        <v>373</v>
      </c>
      <c r="N244" t="s">
        <v>3</v>
      </c>
      <c r="O244" t="s">
        <v>3</v>
      </c>
      <c r="P244" t="s">
        <v>3</v>
      </c>
      <c r="Q244" t="s">
        <v>3</v>
      </c>
      <c r="R244" t="s">
        <v>373</v>
      </c>
      <c r="S244" t="s">
        <v>8</v>
      </c>
      <c r="T244" t="s">
        <v>2510</v>
      </c>
      <c r="U244" t="s">
        <v>3</v>
      </c>
      <c r="V244" t="s">
        <v>3</v>
      </c>
      <c r="W244" t="s">
        <v>977</v>
      </c>
      <c r="AA244" t="s">
        <v>3</v>
      </c>
      <c r="AB244" t="s">
        <v>8</v>
      </c>
      <c r="AC244" t="s">
        <v>3</v>
      </c>
      <c r="AD244" t="s">
        <v>8</v>
      </c>
      <c r="AE244" t="s">
        <v>67</v>
      </c>
      <c r="AF244" t="s">
        <v>2513</v>
      </c>
    </row>
    <row r="245" spans="1:32" x14ac:dyDescent="0.45">
      <c r="A245" t="s">
        <v>2514</v>
      </c>
      <c r="B245" t="s">
        <v>2515</v>
      </c>
      <c r="C245" t="s">
        <v>2516</v>
      </c>
      <c r="D245" t="s">
        <v>2515</v>
      </c>
      <c r="E245" t="s">
        <v>1288</v>
      </c>
      <c r="F245" t="s">
        <v>2517</v>
      </c>
      <c r="H245" t="s">
        <v>2518</v>
      </c>
      <c r="I245" t="s">
        <v>2519</v>
      </c>
      <c r="J245" t="s">
        <v>8</v>
      </c>
      <c r="K245" t="s">
        <v>3</v>
      </c>
      <c r="L245" t="s">
        <v>3</v>
      </c>
      <c r="M245" t="s">
        <v>373</v>
      </c>
      <c r="N245" t="s">
        <v>3</v>
      </c>
      <c r="O245" t="s">
        <v>3</v>
      </c>
      <c r="P245" t="s">
        <v>3</v>
      </c>
      <c r="Q245" t="s">
        <v>8</v>
      </c>
      <c r="R245" t="s">
        <v>373</v>
      </c>
      <c r="S245" t="s">
        <v>8</v>
      </c>
      <c r="T245" t="s">
        <v>2514</v>
      </c>
      <c r="U245" t="s">
        <v>3</v>
      </c>
      <c r="V245" t="s">
        <v>3</v>
      </c>
      <c r="W245" t="s">
        <v>2520</v>
      </c>
      <c r="AA245" t="s">
        <v>3</v>
      </c>
      <c r="AB245" t="s">
        <v>8</v>
      </c>
      <c r="AC245" t="s">
        <v>3</v>
      </c>
      <c r="AD245" t="s">
        <v>8</v>
      </c>
      <c r="AE245" t="s">
        <v>97</v>
      </c>
      <c r="AF245" t="s">
        <v>2521</v>
      </c>
    </row>
    <row r="246" spans="1:32" x14ac:dyDescent="0.45">
      <c r="A246" t="s">
        <v>2522</v>
      </c>
      <c r="B246" t="s">
        <v>2523</v>
      </c>
      <c r="C246" t="s">
        <v>2524</v>
      </c>
      <c r="D246" t="s">
        <v>2525</v>
      </c>
      <c r="E246" t="s">
        <v>1288</v>
      </c>
      <c r="F246" t="s">
        <v>2517</v>
      </c>
      <c r="H246" t="s">
        <v>2518</v>
      </c>
      <c r="I246" t="s">
        <v>2519</v>
      </c>
      <c r="J246" t="s">
        <v>8</v>
      </c>
      <c r="K246" t="s">
        <v>3</v>
      </c>
      <c r="L246" t="s">
        <v>3</v>
      </c>
      <c r="M246" t="s">
        <v>373</v>
      </c>
      <c r="N246" t="s">
        <v>3</v>
      </c>
      <c r="O246" t="s">
        <v>3</v>
      </c>
      <c r="P246" t="s">
        <v>3</v>
      </c>
      <c r="Q246" t="s">
        <v>8</v>
      </c>
      <c r="R246" t="s">
        <v>373</v>
      </c>
      <c r="S246" t="s">
        <v>8</v>
      </c>
      <c r="T246" t="s">
        <v>2522</v>
      </c>
      <c r="U246" t="s">
        <v>3</v>
      </c>
      <c r="V246" t="s">
        <v>3</v>
      </c>
      <c r="W246" t="s">
        <v>2520</v>
      </c>
      <c r="AA246" t="s">
        <v>3</v>
      </c>
      <c r="AB246" t="s">
        <v>8</v>
      </c>
      <c r="AC246" t="s">
        <v>3</v>
      </c>
      <c r="AD246" t="s">
        <v>8</v>
      </c>
      <c r="AE246" t="s">
        <v>97</v>
      </c>
      <c r="AF246" t="s">
        <v>2526</v>
      </c>
    </row>
    <row r="247" spans="1:32" x14ac:dyDescent="0.45">
      <c r="A247" t="s">
        <v>2527</v>
      </c>
      <c r="B247" t="s">
        <v>2528</v>
      </c>
      <c r="C247" t="s">
        <v>2529</v>
      </c>
      <c r="D247" t="s">
        <v>2530</v>
      </c>
      <c r="F247" t="s">
        <v>2531</v>
      </c>
      <c r="G247" t="s">
        <v>2532</v>
      </c>
      <c r="H247" t="s">
        <v>2533</v>
      </c>
      <c r="J247" t="s">
        <v>8</v>
      </c>
      <c r="K247" t="s">
        <v>3</v>
      </c>
      <c r="L247" t="s">
        <v>3</v>
      </c>
      <c r="M247" t="s">
        <v>373</v>
      </c>
      <c r="N247" t="s">
        <v>3</v>
      </c>
      <c r="O247" t="s">
        <v>3</v>
      </c>
      <c r="P247" t="s">
        <v>3</v>
      </c>
      <c r="Q247" t="s">
        <v>8</v>
      </c>
      <c r="R247" t="s">
        <v>373</v>
      </c>
      <c r="S247" t="s">
        <v>8</v>
      </c>
      <c r="T247" t="s">
        <v>2527</v>
      </c>
      <c r="U247" t="s">
        <v>3</v>
      </c>
      <c r="V247" t="s">
        <v>3</v>
      </c>
      <c r="W247" t="s">
        <v>945</v>
      </c>
      <c r="AA247" t="s">
        <v>3</v>
      </c>
      <c r="AB247" t="s">
        <v>8</v>
      </c>
      <c r="AC247" t="s">
        <v>3</v>
      </c>
      <c r="AD247" t="s">
        <v>8</v>
      </c>
      <c r="AE247" t="s">
        <v>67</v>
      </c>
      <c r="AF247" t="s">
        <v>2534</v>
      </c>
    </row>
    <row r="248" spans="1:32" x14ac:dyDescent="0.45">
      <c r="A248" t="s">
        <v>2535</v>
      </c>
      <c r="B248" t="s">
        <v>2536</v>
      </c>
      <c r="C248" t="s">
        <v>2537</v>
      </c>
      <c r="D248" t="s">
        <v>2538</v>
      </c>
      <c r="E248" t="s">
        <v>2539</v>
      </c>
      <c r="F248" t="s">
        <v>2540</v>
      </c>
      <c r="H248" t="s">
        <v>2541</v>
      </c>
      <c r="I248" t="s">
        <v>2542</v>
      </c>
      <c r="J248" t="s">
        <v>8</v>
      </c>
      <c r="K248" t="s">
        <v>3</v>
      </c>
      <c r="L248" t="s">
        <v>3</v>
      </c>
      <c r="M248" t="s">
        <v>373</v>
      </c>
      <c r="N248" t="s">
        <v>3</v>
      </c>
      <c r="O248" t="s">
        <v>3</v>
      </c>
      <c r="P248" t="s">
        <v>3</v>
      </c>
      <c r="Q248" t="s">
        <v>8</v>
      </c>
      <c r="R248" t="s">
        <v>373</v>
      </c>
      <c r="S248" t="s">
        <v>8</v>
      </c>
      <c r="T248" t="s">
        <v>2535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97</v>
      </c>
      <c r="AF248" t="s">
        <v>2543</v>
      </c>
    </row>
    <row r="249" spans="1:32" x14ac:dyDescent="0.45">
      <c r="A249" t="s">
        <v>2544</v>
      </c>
      <c r="B249" t="s">
        <v>2545</v>
      </c>
      <c r="C249" t="s">
        <v>2546</v>
      </c>
      <c r="D249"/>
      <c r="E249" t="s">
        <v>2547</v>
      </c>
      <c r="F249" t="s">
        <v>2548</v>
      </c>
      <c r="J249" t="s">
        <v>8</v>
      </c>
      <c r="K249" t="s">
        <v>3</v>
      </c>
      <c r="L249" t="s">
        <v>3</v>
      </c>
      <c r="M249" t="s">
        <v>373</v>
      </c>
      <c r="N249" t="s">
        <v>3</v>
      </c>
      <c r="O249" t="s">
        <v>3</v>
      </c>
      <c r="P249" t="s">
        <v>3</v>
      </c>
      <c r="Q249" t="s">
        <v>8</v>
      </c>
      <c r="R249" t="s">
        <v>373</v>
      </c>
      <c r="S249" t="s">
        <v>8</v>
      </c>
      <c r="T249" t="s">
        <v>2544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67</v>
      </c>
      <c r="AF249" t="s">
        <v>2549</v>
      </c>
    </row>
    <row r="250" spans="1:32" x14ac:dyDescent="0.45">
      <c r="A250" t="s">
        <v>96</v>
      </c>
      <c r="B250" t="s">
        <v>26</v>
      </c>
      <c r="C250" t="s">
        <v>2550</v>
      </c>
      <c r="D250" t="s">
        <v>26</v>
      </c>
      <c r="E250" t="s">
        <v>2551</v>
      </c>
      <c r="F250" t="s">
        <v>2552</v>
      </c>
      <c r="H250" t="s">
        <v>2553</v>
      </c>
      <c r="J250" t="s">
        <v>8</v>
      </c>
      <c r="K250" t="s">
        <v>3</v>
      </c>
      <c r="L250" t="s">
        <v>3</v>
      </c>
      <c r="M250" t="s">
        <v>373</v>
      </c>
      <c r="N250" t="s">
        <v>3</v>
      </c>
      <c r="O250" t="s">
        <v>3</v>
      </c>
      <c r="P250" t="s">
        <v>3</v>
      </c>
      <c r="Q250" t="s">
        <v>8</v>
      </c>
      <c r="R250" t="s">
        <v>373</v>
      </c>
      <c r="S250" t="s">
        <v>8</v>
      </c>
      <c r="T250" t="s">
        <v>96</v>
      </c>
      <c r="U250" t="s">
        <v>3</v>
      </c>
      <c r="V250" t="s">
        <v>3</v>
      </c>
      <c r="W250" t="s">
        <v>758</v>
      </c>
      <c r="AA250" t="s">
        <v>3</v>
      </c>
      <c r="AB250" t="s">
        <v>8</v>
      </c>
      <c r="AC250" t="s">
        <v>3</v>
      </c>
      <c r="AD250" t="s">
        <v>8</v>
      </c>
      <c r="AE250" t="s">
        <v>67</v>
      </c>
      <c r="AF250" t="s">
        <v>2554</v>
      </c>
    </row>
    <row r="251" spans="1:32" x14ac:dyDescent="0.45">
      <c r="A251" t="s">
        <v>2555</v>
      </c>
      <c r="B251" t="s">
        <v>2556</v>
      </c>
      <c r="C251" t="s">
        <v>2557</v>
      </c>
      <c r="D251" t="s">
        <v>2558</v>
      </c>
      <c r="E251" t="s">
        <v>1562</v>
      </c>
      <c r="F251" t="s">
        <v>2559</v>
      </c>
      <c r="H251" t="s">
        <v>2560</v>
      </c>
      <c r="I251" t="s">
        <v>2560</v>
      </c>
      <c r="J251" t="s">
        <v>8</v>
      </c>
      <c r="K251" t="s">
        <v>3</v>
      </c>
      <c r="L251" t="s">
        <v>3</v>
      </c>
      <c r="M251" t="s">
        <v>373</v>
      </c>
      <c r="N251" t="s">
        <v>3</v>
      </c>
      <c r="O251" t="s">
        <v>3</v>
      </c>
      <c r="P251" t="s">
        <v>3</v>
      </c>
      <c r="Q251" t="s">
        <v>8</v>
      </c>
      <c r="R251" t="s">
        <v>373</v>
      </c>
      <c r="S251" t="s">
        <v>8</v>
      </c>
      <c r="T251" t="s">
        <v>2555</v>
      </c>
      <c r="U251" t="s">
        <v>3</v>
      </c>
      <c r="V251" t="s">
        <v>3</v>
      </c>
      <c r="W251" t="s">
        <v>373</v>
      </c>
      <c r="AA251" t="s">
        <v>3</v>
      </c>
      <c r="AB251" t="s">
        <v>8</v>
      </c>
      <c r="AC251" t="s">
        <v>3</v>
      </c>
      <c r="AD251" t="s">
        <v>8</v>
      </c>
      <c r="AE251" t="s">
        <v>97</v>
      </c>
      <c r="AF251" t="s">
        <v>2561</v>
      </c>
    </row>
    <row r="252" spans="1:32" x14ac:dyDescent="0.45">
      <c r="A252" t="s">
        <v>2562</v>
      </c>
      <c r="B252" t="s">
        <v>2563</v>
      </c>
      <c r="C252" t="s">
        <v>2564</v>
      </c>
      <c r="D252" t="s">
        <v>2565</v>
      </c>
      <c r="E252" t="s">
        <v>2566</v>
      </c>
      <c r="F252" t="s">
        <v>2567</v>
      </c>
      <c r="H252" t="s">
        <v>2568</v>
      </c>
      <c r="J252" t="s">
        <v>8</v>
      </c>
      <c r="K252" t="s">
        <v>3</v>
      </c>
      <c r="L252" t="s">
        <v>3</v>
      </c>
      <c r="M252" t="s">
        <v>373</v>
      </c>
      <c r="N252" t="s">
        <v>3</v>
      </c>
      <c r="O252" t="s">
        <v>3</v>
      </c>
      <c r="P252" t="s">
        <v>3</v>
      </c>
      <c r="Q252" t="s">
        <v>8</v>
      </c>
      <c r="R252" t="s">
        <v>373</v>
      </c>
      <c r="S252" t="s">
        <v>8</v>
      </c>
      <c r="T252" t="s">
        <v>2562</v>
      </c>
      <c r="U252" t="s">
        <v>3</v>
      </c>
      <c r="V252" t="s">
        <v>3</v>
      </c>
      <c r="W252" t="s">
        <v>948</v>
      </c>
      <c r="Z252" t="s">
        <v>1552</v>
      </c>
      <c r="AA252" t="s">
        <v>3</v>
      </c>
      <c r="AB252" t="s">
        <v>8</v>
      </c>
      <c r="AC252" t="s">
        <v>3</v>
      </c>
      <c r="AD252" t="s">
        <v>8</v>
      </c>
      <c r="AE252" t="s">
        <v>67</v>
      </c>
      <c r="AF252" t="s">
        <v>2569</v>
      </c>
    </row>
    <row r="253" spans="1:32" x14ac:dyDescent="0.45">
      <c r="A253" t="s">
        <v>2570</v>
      </c>
      <c r="B253" t="s">
        <v>2563</v>
      </c>
      <c r="C253" t="s">
        <v>2564</v>
      </c>
      <c r="D253" t="s">
        <v>2571</v>
      </c>
      <c r="E253" t="s">
        <v>2566</v>
      </c>
      <c r="F253" t="s">
        <v>2572</v>
      </c>
      <c r="H253" t="s">
        <v>2568</v>
      </c>
      <c r="J253" t="s">
        <v>8</v>
      </c>
      <c r="K253" t="s">
        <v>3</v>
      </c>
      <c r="L253" t="s">
        <v>3</v>
      </c>
      <c r="M253" t="s">
        <v>373</v>
      </c>
      <c r="N253" t="s">
        <v>3</v>
      </c>
      <c r="O253" t="s">
        <v>3</v>
      </c>
      <c r="P253" t="s">
        <v>3</v>
      </c>
      <c r="Q253" t="s">
        <v>8</v>
      </c>
      <c r="R253" t="s">
        <v>373</v>
      </c>
      <c r="S253" t="s">
        <v>8</v>
      </c>
      <c r="T253" t="s">
        <v>2570</v>
      </c>
      <c r="U253" t="s">
        <v>3</v>
      </c>
      <c r="V253" t="s">
        <v>3</v>
      </c>
      <c r="W253" t="s">
        <v>951</v>
      </c>
      <c r="AA253" t="s">
        <v>3</v>
      </c>
      <c r="AB253" t="s">
        <v>8</v>
      </c>
      <c r="AC253" t="s">
        <v>3</v>
      </c>
      <c r="AD253" t="s">
        <v>8</v>
      </c>
      <c r="AE253" t="s">
        <v>97</v>
      </c>
      <c r="AF253" t="s">
        <v>2573</v>
      </c>
    </row>
    <row r="254" spans="1:32" x14ac:dyDescent="0.45">
      <c r="A254" t="s">
        <v>2574</v>
      </c>
      <c r="B254" t="s">
        <v>2575</v>
      </c>
      <c r="C254" t="s">
        <v>2576</v>
      </c>
      <c r="D254" t="s">
        <v>2575</v>
      </c>
      <c r="J254" t="s">
        <v>8</v>
      </c>
      <c r="K254" t="s">
        <v>3</v>
      </c>
      <c r="L254" t="s">
        <v>3</v>
      </c>
      <c r="M254" t="s">
        <v>373</v>
      </c>
      <c r="N254" t="s">
        <v>3</v>
      </c>
      <c r="O254" t="s">
        <v>3</v>
      </c>
      <c r="P254" t="s">
        <v>3</v>
      </c>
      <c r="Q254" t="s">
        <v>8</v>
      </c>
      <c r="R254" t="s">
        <v>373</v>
      </c>
      <c r="S254" t="s">
        <v>8</v>
      </c>
      <c r="T254" t="s">
        <v>2574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67</v>
      </c>
      <c r="AF254" t="s">
        <v>2577</v>
      </c>
    </row>
    <row r="255" spans="1:32" x14ac:dyDescent="0.45">
      <c r="A255" t="s">
        <v>2578</v>
      </c>
      <c r="B255" t="s">
        <v>2579</v>
      </c>
      <c r="C255" t="s">
        <v>2580</v>
      </c>
      <c r="D255" t="s">
        <v>2579</v>
      </c>
      <c r="E255" t="s">
        <v>2581</v>
      </c>
      <c r="F255" t="s">
        <v>2582</v>
      </c>
      <c r="H255" t="s">
        <v>2583</v>
      </c>
      <c r="J255" t="s">
        <v>8</v>
      </c>
      <c r="K255" t="s">
        <v>3</v>
      </c>
      <c r="L255" t="s">
        <v>3</v>
      </c>
      <c r="M255" t="s">
        <v>373</v>
      </c>
      <c r="N255" t="s">
        <v>3</v>
      </c>
      <c r="O255" t="s">
        <v>3</v>
      </c>
      <c r="P255" t="s">
        <v>3</v>
      </c>
      <c r="Q255" t="s">
        <v>8</v>
      </c>
      <c r="R255" t="s">
        <v>373</v>
      </c>
      <c r="S255" t="s">
        <v>8</v>
      </c>
      <c r="T255" t="s">
        <v>2578</v>
      </c>
      <c r="U255" t="s">
        <v>3</v>
      </c>
      <c r="V255" t="s">
        <v>3</v>
      </c>
      <c r="W255" t="s">
        <v>502</v>
      </c>
      <c r="AA255" t="s">
        <v>8</v>
      </c>
      <c r="AB255" t="s">
        <v>8</v>
      </c>
      <c r="AC255" t="s">
        <v>3</v>
      </c>
      <c r="AD255" t="s">
        <v>8</v>
      </c>
      <c r="AE255" t="s">
        <v>67</v>
      </c>
      <c r="AF255" t="s">
        <v>2584</v>
      </c>
    </row>
    <row r="256" spans="1:32" x14ac:dyDescent="0.45">
      <c r="A256" t="s">
        <v>2585</v>
      </c>
      <c r="B256" t="s">
        <v>2586</v>
      </c>
      <c r="C256" t="s">
        <v>2587</v>
      </c>
      <c r="D256" t="s">
        <v>2579</v>
      </c>
      <c r="E256" t="s">
        <v>2581</v>
      </c>
      <c r="F256" t="s">
        <v>2588</v>
      </c>
      <c r="G256" t="s">
        <v>2589</v>
      </c>
      <c r="H256" t="s">
        <v>2583</v>
      </c>
      <c r="J256" t="s">
        <v>8</v>
      </c>
      <c r="K256" t="s">
        <v>3</v>
      </c>
      <c r="L256" t="s">
        <v>3</v>
      </c>
      <c r="M256" t="s">
        <v>373</v>
      </c>
      <c r="N256" t="s">
        <v>3</v>
      </c>
      <c r="O256" t="s">
        <v>3</v>
      </c>
      <c r="P256" t="s">
        <v>3</v>
      </c>
      <c r="Q256" t="s">
        <v>8</v>
      </c>
      <c r="R256" t="s">
        <v>373</v>
      </c>
      <c r="S256" t="s">
        <v>8</v>
      </c>
      <c r="T256" t="s">
        <v>2585</v>
      </c>
      <c r="U256" t="s">
        <v>3</v>
      </c>
      <c r="V256" t="s">
        <v>3</v>
      </c>
      <c r="W256" t="s">
        <v>502</v>
      </c>
      <c r="AA256" t="s">
        <v>3</v>
      </c>
      <c r="AB256" t="s">
        <v>8</v>
      </c>
      <c r="AC256" t="s">
        <v>3</v>
      </c>
      <c r="AD256" t="s">
        <v>8</v>
      </c>
      <c r="AE256" t="s">
        <v>67</v>
      </c>
      <c r="AF256" t="s">
        <v>2590</v>
      </c>
    </row>
    <row r="257" spans="1:32" x14ac:dyDescent="0.45">
      <c r="A257" t="s">
        <v>2591</v>
      </c>
      <c r="B257" t="s">
        <v>2592</v>
      </c>
      <c r="C257" t="s">
        <v>2593</v>
      </c>
      <c r="D257" t="s">
        <v>2592</v>
      </c>
      <c r="E257" t="s">
        <v>2594</v>
      </c>
      <c r="F257" t="s">
        <v>2595</v>
      </c>
      <c r="H257" t="s">
        <v>2596</v>
      </c>
      <c r="I257" t="s">
        <v>2597</v>
      </c>
      <c r="J257" t="s">
        <v>8</v>
      </c>
      <c r="K257" t="s">
        <v>3</v>
      </c>
      <c r="L257" t="s">
        <v>3</v>
      </c>
      <c r="M257" t="s">
        <v>373</v>
      </c>
      <c r="N257" t="s">
        <v>3</v>
      </c>
      <c r="O257" t="s">
        <v>3</v>
      </c>
      <c r="P257" t="s">
        <v>3</v>
      </c>
      <c r="Q257" t="s">
        <v>8</v>
      </c>
      <c r="R257" t="s">
        <v>373</v>
      </c>
      <c r="S257" t="s">
        <v>8</v>
      </c>
      <c r="T257" t="s">
        <v>2591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67</v>
      </c>
      <c r="AF257" t="s">
        <v>2598</v>
      </c>
    </row>
    <row r="258" spans="1:32" x14ac:dyDescent="0.45">
      <c r="A258" t="s">
        <v>2599</v>
      </c>
      <c r="B258" t="s">
        <v>2600</v>
      </c>
      <c r="C258" t="s">
        <v>2601</v>
      </c>
      <c r="D258"/>
      <c r="E258" t="s">
        <v>2594</v>
      </c>
      <c r="F258" t="s">
        <v>2602</v>
      </c>
      <c r="H258" t="s">
        <v>2603</v>
      </c>
      <c r="J258" t="s">
        <v>8</v>
      </c>
      <c r="K258" t="s">
        <v>3</v>
      </c>
      <c r="L258" t="s">
        <v>3</v>
      </c>
      <c r="M258" t="s">
        <v>373</v>
      </c>
      <c r="N258" t="s">
        <v>3</v>
      </c>
      <c r="O258" t="s">
        <v>3</v>
      </c>
      <c r="P258" t="s">
        <v>3</v>
      </c>
      <c r="Q258" t="s">
        <v>8</v>
      </c>
      <c r="R258" t="s">
        <v>373</v>
      </c>
      <c r="S258" t="s">
        <v>8</v>
      </c>
      <c r="T258" t="s">
        <v>2599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97</v>
      </c>
      <c r="AF258" t="s">
        <v>2604</v>
      </c>
    </row>
    <row r="259" spans="1:32" x14ac:dyDescent="0.45">
      <c r="A259" t="s">
        <v>2605</v>
      </c>
      <c r="B259" t="s">
        <v>2606</v>
      </c>
      <c r="C259" t="s">
        <v>2607</v>
      </c>
      <c r="D259" t="s">
        <v>2608</v>
      </c>
      <c r="E259" t="s">
        <v>2609</v>
      </c>
      <c r="F259" t="s">
        <v>2610</v>
      </c>
      <c r="H259" t="s">
        <v>2611</v>
      </c>
      <c r="I259" t="s">
        <v>2612</v>
      </c>
      <c r="J259" t="s">
        <v>8</v>
      </c>
      <c r="K259" t="s">
        <v>3</v>
      </c>
      <c r="L259" t="s">
        <v>3</v>
      </c>
      <c r="M259" t="s">
        <v>373</v>
      </c>
      <c r="N259" t="s">
        <v>3</v>
      </c>
      <c r="O259" t="s">
        <v>3</v>
      </c>
      <c r="P259" t="s">
        <v>3</v>
      </c>
      <c r="Q259" t="s">
        <v>8</v>
      </c>
      <c r="R259" t="s">
        <v>373</v>
      </c>
      <c r="S259" t="s">
        <v>8</v>
      </c>
      <c r="T259" t="s">
        <v>2605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105</v>
      </c>
      <c r="AF259" t="s">
        <v>2613</v>
      </c>
    </row>
    <row r="260" spans="1:32" x14ac:dyDescent="0.45">
      <c r="A260" t="s">
        <v>2614</v>
      </c>
      <c r="B260" t="s">
        <v>2615</v>
      </c>
      <c r="C260" t="s">
        <v>2616</v>
      </c>
      <c r="D260" t="s">
        <v>2617</v>
      </c>
      <c r="E260" t="s">
        <v>2618</v>
      </c>
      <c r="F260" t="s">
        <v>2619</v>
      </c>
      <c r="G260" t="s">
        <v>2620</v>
      </c>
      <c r="H260" t="s">
        <v>2621</v>
      </c>
      <c r="J260" t="s">
        <v>8</v>
      </c>
      <c r="K260" t="s">
        <v>3</v>
      </c>
      <c r="L260" t="s">
        <v>3</v>
      </c>
      <c r="M260" t="s">
        <v>373</v>
      </c>
      <c r="N260" t="s">
        <v>3</v>
      </c>
      <c r="O260" t="s">
        <v>3</v>
      </c>
      <c r="P260" t="s">
        <v>3</v>
      </c>
      <c r="Q260" t="s">
        <v>8</v>
      </c>
      <c r="R260" t="s">
        <v>373</v>
      </c>
      <c r="S260" t="s">
        <v>8</v>
      </c>
      <c r="T260" t="s">
        <v>2614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67</v>
      </c>
      <c r="AF260" t="s">
        <v>2622</v>
      </c>
    </row>
    <row r="261" spans="1:32" x14ac:dyDescent="0.45">
      <c r="A261" t="s">
        <v>2623</v>
      </c>
      <c r="B261" t="s">
        <v>2624</v>
      </c>
      <c r="C261" t="s">
        <v>2625</v>
      </c>
      <c r="D261" t="s">
        <v>2617</v>
      </c>
      <c r="E261" t="s">
        <v>2618</v>
      </c>
      <c r="F261" t="s">
        <v>2619</v>
      </c>
      <c r="G261" t="s">
        <v>2620</v>
      </c>
      <c r="H261" t="s">
        <v>2621</v>
      </c>
      <c r="I261" t="s">
        <v>2626</v>
      </c>
      <c r="J261" t="s">
        <v>8</v>
      </c>
      <c r="K261" t="s">
        <v>3</v>
      </c>
      <c r="L261" t="s">
        <v>3</v>
      </c>
      <c r="M261" t="s">
        <v>373</v>
      </c>
      <c r="N261" t="s">
        <v>3</v>
      </c>
      <c r="O261" t="s">
        <v>3</v>
      </c>
      <c r="P261" t="s">
        <v>3</v>
      </c>
      <c r="Q261" t="s">
        <v>8</v>
      </c>
      <c r="R261" t="s">
        <v>373</v>
      </c>
      <c r="S261" t="s">
        <v>8</v>
      </c>
      <c r="T261" t="s">
        <v>2623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67</v>
      </c>
      <c r="AF261" t="s">
        <v>2627</v>
      </c>
    </row>
    <row r="262" spans="1:32" x14ac:dyDescent="0.45">
      <c r="A262" t="s">
        <v>2628</v>
      </c>
      <c r="B262" t="s">
        <v>2629</v>
      </c>
      <c r="C262" t="s">
        <v>2630</v>
      </c>
      <c r="D262" t="s">
        <v>2617</v>
      </c>
      <c r="E262" t="s">
        <v>2618</v>
      </c>
      <c r="F262" t="s">
        <v>2619</v>
      </c>
      <c r="G262" t="s">
        <v>2620</v>
      </c>
      <c r="H262" t="s">
        <v>2621</v>
      </c>
      <c r="I262" t="s">
        <v>2626</v>
      </c>
      <c r="J262" t="s">
        <v>8</v>
      </c>
      <c r="K262" t="s">
        <v>3</v>
      </c>
      <c r="L262" t="s">
        <v>3</v>
      </c>
      <c r="M262" t="s">
        <v>373</v>
      </c>
      <c r="N262" t="s">
        <v>3</v>
      </c>
      <c r="O262" t="s">
        <v>3</v>
      </c>
      <c r="P262" t="s">
        <v>3</v>
      </c>
      <c r="Q262" t="s">
        <v>8</v>
      </c>
      <c r="R262" t="s">
        <v>373</v>
      </c>
      <c r="S262" t="s">
        <v>8</v>
      </c>
      <c r="T262" t="s">
        <v>2628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67</v>
      </c>
      <c r="AF262" t="s">
        <v>2631</v>
      </c>
    </row>
    <row r="263" spans="1:32" x14ac:dyDescent="0.45">
      <c r="A263" t="s">
        <v>2632</v>
      </c>
      <c r="B263" t="s">
        <v>2633</v>
      </c>
      <c r="C263" t="s">
        <v>2634</v>
      </c>
      <c r="D263" t="s">
        <v>2617</v>
      </c>
      <c r="E263" t="s">
        <v>2618</v>
      </c>
      <c r="F263" t="s">
        <v>2619</v>
      </c>
      <c r="G263" t="s">
        <v>2620</v>
      </c>
      <c r="H263" t="s">
        <v>2621</v>
      </c>
      <c r="I263" t="s">
        <v>2626</v>
      </c>
      <c r="J263" t="s">
        <v>8</v>
      </c>
      <c r="K263" t="s">
        <v>3</v>
      </c>
      <c r="L263" t="s">
        <v>3</v>
      </c>
      <c r="M263" t="s">
        <v>373</v>
      </c>
      <c r="N263" t="s">
        <v>3</v>
      </c>
      <c r="O263" t="s">
        <v>3</v>
      </c>
      <c r="P263" t="s">
        <v>3</v>
      </c>
      <c r="Q263" t="s">
        <v>8</v>
      </c>
      <c r="R263" t="s">
        <v>373</v>
      </c>
      <c r="S263" t="s">
        <v>8</v>
      </c>
      <c r="T263" t="s">
        <v>2632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67</v>
      </c>
      <c r="AF263" t="s">
        <v>2635</v>
      </c>
    </row>
    <row r="264" spans="1:32" x14ac:dyDescent="0.45">
      <c r="A264" t="s">
        <v>2636</v>
      </c>
      <c r="B264" t="s">
        <v>2637</v>
      </c>
      <c r="C264" t="s">
        <v>2638</v>
      </c>
      <c r="D264" t="s">
        <v>2639</v>
      </c>
      <c r="E264" t="s">
        <v>2640</v>
      </c>
      <c r="F264" t="s">
        <v>2641</v>
      </c>
      <c r="H264" t="s">
        <v>2642</v>
      </c>
      <c r="I264" t="s">
        <v>2642</v>
      </c>
      <c r="J264" t="s">
        <v>8</v>
      </c>
      <c r="K264" t="s">
        <v>3</v>
      </c>
      <c r="L264" t="s">
        <v>3</v>
      </c>
      <c r="M264" t="s">
        <v>373</v>
      </c>
      <c r="N264" t="s">
        <v>3</v>
      </c>
      <c r="O264" t="s">
        <v>3</v>
      </c>
      <c r="P264" t="s">
        <v>3</v>
      </c>
      <c r="Q264" t="s">
        <v>8</v>
      </c>
      <c r="R264" t="s">
        <v>373</v>
      </c>
      <c r="S264" t="s">
        <v>8</v>
      </c>
      <c r="T264" t="s">
        <v>2636</v>
      </c>
      <c r="U264" t="s">
        <v>3</v>
      </c>
      <c r="V264" t="s">
        <v>3</v>
      </c>
      <c r="W264" t="s">
        <v>1997</v>
      </c>
      <c r="Z264" t="s">
        <v>1552</v>
      </c>
      <c r="AA264" t="s">
        <v>8</v>
      </c>
      <c r="AB264" t="s">
        <v>8</v>
      </c>
      <c r="AC264" t="s">
        <v>3</v>
      </c>
      <c r="AD264" t="s">
        <v>8</v>
      </c>
      <c r="AE264" t="s">
        <v>67</v>
      </c>
      <c r="AF264" t="s">
        <v>2643</v>
      </c>
    </row>
    <row r="265" spans="1:32" x14ac:dyDescent="0.45">
      <c r="A265" t="s">
        <v>2644</v>
      </c>
      <c r="B265" t="s">
        <v>2645</v>
      </c>
      <c r="C265" t="s">
        <v>2646</v>
      </c>
      <c r="D265" t="s">
        <v>2647</v>
      </c>
      <c r="E265" t="s">
        <v>2640</v>
      </c>
      <c r="F265" t="s">
        <v>2648</v>
      </c>
      <c r="H265" t="s">
        <v>2642</v>
      </c>
      <c r="I265" t="s">
        <v>2642</v>
      </c>
      <c r="J265" t="s">
        <v>8</v>
      </c>
      <c r="K265" t="s">
        <v>3</v>
      </c>
      <c r="L265" t="s">
        <v>3</v>
      </c>
      <c r="M265" t="s">
        <v>373</v>
      </c>
      <c r="N265" t="s">
        <v>3</v>
      </c>
      <c r="O265" t="s">
        <v>3</v>
      </c>
      <c r="P265" t="s">
        <v>3</v>
      </c>
      <c r="Q265" t="s">
        <v>3</v>
      </c>
      <c r="R265" t="s">
        <v>373</v>
      </c>
      <c r="S265" t="s">
        <v>8</v>
      </c>
      <c r="T265" t="s">
        <v>2644</v>
      </c>
      <c r="U265" t="s">
        <v>3</v>
      </c>
      <c r="V265" t="s">
        <v>3</v>
      </c>
      <c r="W265" t="s">
        <v>1997</v>
      </c>
      <c r="AA265" t="s">
        <v>3</v>
      </c>
      <c r="AB265" t="s">
        <v>8</v>
      </c>
      <c r="AC265" t="s">
        <v>3</v>
      </c>
      <c r="AD265" t="s">
        <v>8</v>
      </c>
      <c r="AE265" t="s">
        <v>67</v>
      </c>
      <c r="AF265" t="s">
        <v>2649</v>
      </c>
    </row>
    <row r="266" spans="1:32" x14ac:dyDescent="0.45">
      <c r="A266" t="s">
        <v>2650</v>
      </c>
      <c r="B266" t="s">
        <v>2651</v>
      </c>
      <c r="C266" t="s">
        <v>2652</v>
      </c>
      <c r="D266" t="s">
        <v>2651</v>
      </c>
      <c r="J266" t="s">
        <v>8</v>
      </c>
      <c r="K266" t="s">
        <v>3</v>
      </c>
      <c r="L266" t="s">
        <v>3</v>
      </c>
      <c r="M266" t="s">
        <v>373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2650</v>
      </c>
      <c r="U266" t="s">
        <v>3</v>
      </c>
      <c r="V266" t="s">
        <v>3</v>
      </c>
      <c r="W266" t="s">
        <v>2653</v>
      </c>
      <c r="AA266" t="s">
        <v>3</v>
      </c>
      <c r="AB266" t="s">
        <v>8</v>
      </c>
      <c r="AC266" t="s">
        <v>3</v>
      </c>
      <c r="AD266" t="s">
        <v>8</v>
      </c>
      <c r="AE266" t="s">
        <v>67</v>
      </c>
      <c r="AF266" t="s">
        <v>2654</v>
      </c>
    </row>
    <row r="267" spans="1:32" x14ac:dyDescent="0.45">
      <c r="A267" t="s">
        <v>2655</v>
      </c>
      <c r="B267" t="s">
        <v>2656</v>
      </c>
      <c r="C267" t="s">
        <v>2657</v>
      </c>
      <c r="D267" t="s">
        <v>2658</v>
      </c>
      <c r="E267" t="s">
        <v>2659</v>
      </c>
      <c r="F267" t="s">
        <v>2660</v>
      </c>
      <c r="H267" t="s">
        <v>2661</v>
      </c>
      <c r="I267" t="s">
        <v>2662</v>
      </c>
      <c r="J267" t="s">
        <v>8</v>
      </c>
      <c r="K267" t="s">
        <v>3</v>
      </c>
      <c r="L267" t="s">
        <v>3</v>
      </c>
      <c r="M267" t="s">
        <v>373</v>
      </c>
      <c r="N267" t="s">
        <v>3</v>
      </c>
      <c r="O267" t="s">
        <v>3</v>
      </c>
      <c r="P267" t="s">
        <v>3</v>
      </c>
      <c r="Q267" t="s">
        <v>8</v>
      </c>
      <c r="R267" t="s">
        <v>373</v>
      </c>
      <c r="S267" t="s">
        <v>8</v>
      </c>
      <c r="T267" t="s">
        <v>2655</v>
      </c>
      <c r="U267" t="s">
        <v>3</v>
      </c>
      <c r="V267" t="s">
        <v>3</v>
      </c>
      <c r="W267" t="s">
        <v>597</v>
      </c>
      <c r="AA267" t="s">
        <v>3</v>
      </c>
      <c r="AB267" t="s">
        <v>8</v>
      </c>
      <c r="AC267" t="s">
        <v>3</v>
      </c>
      <c r="AD267" t="s">
        <v>8</v>
      </c>
      <c r="AE267" t="s">
        <v>62</v>
      </c>
      <c r="AF267" t="s">
        <v>2663</v>
      </c>
    </row>
    <row r="268" spans="1:32" x14ac:dyDescent="0.45">
      <c r="A268" t="s">
        <v>2664</v>
      </c>
      <c r="B268" t="s">
        <v>2665</v>
      </c>
      <c r="C268" t="s">
        <v>2666</v>
      </c>
      <c r="D268" t="s">
        <v>2667</v>
      </c>
      <c r="E268" t="s">
        <v>2659</v>
      </c>
      <c r="F268" t="s">
        <v>2660</v>
      </c>
      <c r="H268" t="s">
        <v>2661</v>
      </c>
      <c r="I268" t="s">
        <v>2662</v>
      </c>
      <c r="J268" t="s">
        <v>8</v>
      </c>
      <c r="K268" t="s">
        <v>3</v>
      </c>
      <c r="L268" t="s">
        <v>3</v>
      </c>
      <c r="M268" t="s">
        <v>373</v>
      </c>
      <c r="N268" t="s">
        <v>3</v>
      </c>
      <c r="O268" t="s">
        <v>3</v>
      </c>
      <c r="P268" t="s">
        <v>3</v>
      </c>
      <c r="Q268" t="s">
        <v>8</v>
      </c>
      <c r="R268" t="s">
        <v>373</v>
      </c>
      <c r="S268" t="s">
        <v>8</v>
      </c>
      <c r="T268" t="s">
        <v>2664</v>
      </c>
      <c r="U268" t="s">
        <v>3</v>
      </c>
      <c r="V268" t="s">
        <v>3</v>
      </c>
      <c r="W268" t="s">
        <v>65</v>
      </c>
      <c r="AA268" t="s">
        <v>3</v>
      </c>
      <c r="AB268" t="s">
        <v>8</v>
      </c>
      <c r="AC268" t="s">
        <v>3</v>
      </c>
      <c r="AD268" t="s">
        <v>8</v>
      </c>
      <c r="AE268" t="s">
        <v>97</v>
      </c>
      <c r="AF268" t="s">
        <v>2668</v>
      </c>
    </row>
    <row r="269" spans="1:32" x14ac:dyDescent="0.45">
      <c r="A269" t="s">
        <v>2669</v>
      </c>
      <c r="B269" t="s">
        <v>2656</v>
      </c>
      <c r="C269" t="s">
        <v>2670</v>
      </c>
      <c r="D269" t="s">
        <v>2658</v>
      </c>
      <c r="E269" t="s">
        <v>2659</v>
      </c>
      <c r="F269" t="s">
        <v>2660</v>
      </c>
      <c r="H269" t="s">
        <v>2661</v>
      </c>
      <c r="I269" t="s">
        <v>2662</v>
      </c>
      <c r="J269" t="s">
        <v>8</v>
      </c>
      <c r="K269" t="s">
        <v>3</v>
      </c>
      <c r="L269" t="s">
        <v>3</v>
      </c>
      <c r="M269" t="s">
        <v>373</v>
      </c>
      <c r="N269" t="s">
        <v>3</v>
      </c>
      <c r="O269" t="s">
        <v>3</v>
      </c>
      <c r="P269" t="s">
        <v>3</v>
      </c>
      <c r="Q269" t="s">
        <v>8</v>
      </c>
      <c r="R269" t="s">
        <v>373</v>
      </c>
      <c r="S269" t="s">
        <v>8</v>
      </c>
      <c r="T269" t="s">
        <v>2669</v>
      </c>
      <c r="U269" t="s">
        <v>3</v>
      </c>
      <c r="V269" t="s">
        <v>3</v>
      </c>
      <c r="W269" t="s">
        <v>66</v>
      </c>
      <c r="AA269" t="s">
        <v>3</v>
      </c>
      <c r="AB269" t="s">
        <v>8</v>
      </c>
      <c r="AC269" t="s">
        <v>3</v>
      </c>
      <c r="AD269" t="s">
        <v>8</v>
      </c>
      <c r="AE269" t="s">
        <v>97</v>
      </c>
      <c r="AF269" t="s">
        <v>2671</v>
      </c>
    </row>
    <row r="270" spans="1:32" x14ac:dyDescent="0.45">
      <c r="A270" t="s">
        <v>2672</v>
      </c>
      <c r="B270" t="s">
        <v>2673</v>
      </c>
      <c r="C270" t="s">
        <v>2674</v>
      </c>
      <c r="D270" t="s">
        <v>2673</v>
      </c>
      <c r="E270" t="s">
        <v>2659</v>
      </c>
      <c r="F270" t="s">
        <v>2660</v>
      </c>
      <c r="H270" t="s">
        <v>2661</v>
      </c>
      <c r="I270" t="s">
        <v>2662</v>
      </c>
      <c r="J270" t="s">
        <v>8</v>
      </c>
      <c r="K270" t="s">
        <v>3</v>
      </c>
      <c r="L270" t="s">
        <v>3</v>
      </c>
      <c r="M270" t="s">
        <v>373</v>
      </c>
      <c r="N270" t="s">
        <v>3</v>
      </c>
      <c r="O270" t="s">
        <v>3</v>
      </c>
      <c r="P270" t="s">
        <v>3</v>
      </c>
      <c r="Q270" t="s">
        <v>8</v>
      </c>
      <c r="R270" t="s">
        <v>373</v>
      </c>
      <c r="S270" t="s">
        <v>8</v>
      </c>
      <c r="T270" t="s">
        <v>2672</v>
      </c>
      <c r="U270" t="s">
        <v>3</v>
      </c>
      <c r="V270" t="s">
        <v>3</v>
      </c>
      <c r="W270" t="s">
        <v>66</v>
      </c>
      <c r="AA270" t="s">
        <v>3</v>
      </c>
      <c r="AB270" t="s">
        <v>8</v>
      </c>
      <c r="AC270" t="s">
        <v>3</v>
      </c>
      <c r="AD270" t="s">
        <v>8</v>
      </c>
      <c r="AE270" t="s">
        <v>67</v>
      </c>
      <c r="AF270" t="s">
        <v>2675</v>
      </c>
    </row>
    <row r="271" spans="1:32" x14ac:dyDescent="0.45">
      <c r="A271" t="s">
        <v>117</v>
      </c>
      <c r="B271" t="s">
        <v>2676</v>
      </c>
      <c r="C271" t="s">
        <v>2677</v>
      </c>
      <c r="D271" t="s">
        <v>2678</v>
      </c>
      <c r="F271" t="s">
        <v>2679</v>
      </c>
      <c r="H271" t="s">
        <v>2680</v>
      </c>
      <c r="J271" t="s">
        <v>8</v>
      </c>
      <c r="K271" t="s">
        <v>3</v>
      </c>
      <c r="L271" t="s">
        <v>3</v>
      </c>
      <c r="M271" t="s">
        <v>373</v>
      </c>
      <c r="N271" t="s">
        <v>3</v>
      </c>
      <c r="O271" t="s">
        <v>3</v>
      </c>
      <c r="P271" t="s">
        <v>3</v>
      </c>
      <c r="Q271" t="s">
        <v>8</v>
      </c>
      <c r="R271" t="s">
        <v>373</v>
      </c>
      <c r="S271" t="s">
        <v>8</v>
      </c>
      <c r="T271" t="s">
        <v>117</v>
      </c>
      <c r="U271" t="s">
        <v>3</v>
      </c>
      <c r="V271" t="s">
        <v>3</v>
      </c>
      <c r="W271" t="s">
        <v>1030</v>
      </c>
      <c r="AA271" t="s">
        <v>3</v>
      </c>
      <c r="AB271" t="s">
        <v>3</v>
      </c>
      <c r="AC271" t="s">
        <v>3</v>
      </c>
      <c r="AD271" t="s">
        <v>8</v>
      </c>
      <c r="AE271" t="s">
        <v>67</v>
      </c>
      <c r="AF271" t="s">
        <v>2681</v>
      </c>
    </row>
    <row r="272" spans="1:32" x14ac:dyDescent="0.45">
      <c r="A272" t="s">
        <v>2682</v>
      </c>
      <c r="B272" t="s">
        <v>2683</v>
      </c>
      <c r="C272" t="s">
        <v>2684</v>
      </c>
      <c r="D272" t="s">
        <v>2685</v>
      </c>
      <c r="F272" t="s">
        <v>2679</v>
      </c>
      <c r="H272" t="s">
        <v>2680</v>
      </c>
      <c r="J272" t="s">
        <v>8</v>
      </c>
      <c r="K272" t="s">
        <v>3</v>
      </c>
      <c r="L272" t="s">
        <v>3</v>
      </c>
      <c r="M272" t="s">
        <v>373</v>
      </c>
      <c r="N272" t="s">
        <v>3</v>
      </c>
      <c r="O272" t="s">
        <v>3</v>
      </c>
      <c r="P272" t="s">
        <v>3</v>
      </c>
      <c r="Q272" t="s">
        <v>8</v>
      </c>
      <c r="R272" t="s">
        <v>373</v>
      </c>
      <c r="S272" t="s">
        <v>8</v>
      </c>
      <c r="T272" t="s">
        <v>2682</v>
      </c>
      <c r="U272" t="s">
        <v>3</v>
      </c>
      <c r="V272" t="s">
        <v>3</v>
      </c>
      <c r="W272" t="s">
        <v>1030</v>
      </c>
      <c r="AA272" t="s">
        <v>3</v>
      </c>
      <c r="AB272" t="s">
        <v>3</v>
      </c>
      <c r="AC272" t="s">
        <v>3</v>
      </c>
      <c r="AD272" t="s">
        <v>8</v>
      </c>
      <c r="AE272" t="s">
        <v>67</v>
      </c>
      <c r="AF272" t="s">
        <v>2686</v>
      </c>
    </row>
    <row r="273" spans="1:32" x14ac:dyDescent="0.45">
      <c r="A273" t="s">
        <v>2687</v>
      </c>
      <c r="B273" t="s">
        <v>2688</v>
      </c>
      <c r="C273" t="s">
        <v>2689</v>
      </c>
      <c r="D273" t="s">
        <v>2690</v>
      </c>
      <c r="F273" t="s">
        <v>2679</v>
      </c>
      <c r="H273" t="s">
        <v>2680</v>
      </c>
      <c r="J273" t="s">
        <v>8</v>
      </c>
      <c r="K273" t="s">
        <v>3</v>
      </c>
      <c r="L273" t="s">
        <v>3</v>
      </c>
      <c r="M273" t="s">
        <v>373</v>
      </c>
      <c r="N273" t="s">
        <v>3</v>
      </c>
      <c r="O273" t="s">
        <v>3</v>
      </c>
      <c r="P273" t="s">
        <v>3</v>
      </c>
      <c r="Q273" t="s">
        <v>8</v>
      </c>
      <c r="R273" t="s">
        <v>373</v>
      </c>
      <c r="S273" t="s">
        <v>8</v>
      </c>
      <c r="T273" t="s">
        <v>2687</v>
      </c>
      <c r="U273" t="s">
        <v>3</v>
      </c>
      <c r="V273" t="s">
        <v>3</v>
      </c>
      <c r="W273" t="s">
        <v>494</v>
      </c>
      <c r="AA273" t="s">
        <v>3</v>
      </c>
      <c r="AB273" t="s">
        <v>8</v>
      </c>
      <c r="AC273" t="s">
        <v>3</v>
      </c>
      <c r="AD273" t="s">
        <v>8</v>
      </c>
      <c r="AE273" t="s">
        <v>67</v>
      </c>
      <c r="AF273" t="s">
        <v>2691</v>
      </c>
    </row>
    <row r="274" spans="1:32" x14ac:dyDescent="0.45">
      <c r="A274" t="s">
        <v>118</v>
      </c>
      <c r="B274" t="s">
        <v>2692</v>
      </c>
      <c r="C274" t="s">
        <v>2693</v>
      </c>
      <c r="D274" t="s">
        <v>2694</v>
      </c>
      <c r="F274" t="s">
        <v>2679</v>
      </c>
      <c r="H274" t="s">
        <v>2680</v>
      </c>
      <c r="J274" t="s">
        <v>8</v>
      </c>
      <c r="K274" t="s">
        <v>3</v>
      </c>
      <c r="L274" t="s">
        <v>3</v>
      </c>
      <c r="M274" t="s">
        <v>373</v>
      </c>
      <c r="N274" t="s">
        <v>3</v>
      </c>
      <c r="O274" t="s">
        <v>3</v>
      </c>
      <c r="P274" t="s">
        <v>3</v>
      </c>
      <c r="Q274" t="s">
        <v>8</v>
      </c>
      <c r="R274" t="s">
        <v>373</v>
      </c>
      <c r="S274" t="s">
        <v>8</v>
      </c>
      <c r="T274" t="s">
        <v>118</v>
      </c>
      <c r="U274" t="s">
        <v>3</v>
      </c>
      <c r="V274" t="s">
        <v>3</v>
      </c>
      <c r="W274" t="s">
        <v>1030</v>
      </c>
      <c r="AA274" t="s">
        <v>8</v>
      </c>
      <c r="AB274" t="s">
        <v>8</v>
      </c>
      <c r="AC274" t="s">
        <v>3</v>
      </c>
      <c r="AD274" t="s">
        <v>8</v>
      </c>
      <c r="AE274" t="s">
        <v>67</v>
      </c>
      <c r="AF274" t="s">
        <v>2695</v>
      </c>
    </row>
    <row r="275" spans="1:32" x14ac:dyDescent="0.45">
      <c r="A275" t="s">
        <v>2696</v>
      </c>
      <c r="B275" t="s">
        <v>2697</v>
      </c>
      <c r="C275" t="s">
        <v>2698</v>
      </c>
      <c r="D275" t="s">
        <v>2699</v>
      </c>
      <c r="F275" t="s">
        <v>2679</v>
      </c>
      <c r="H275" t="s">
        <v>2680</v>
      </c>
      <c r="J275" t="s">
        <v>8</v>
      </c>
      <c r="K275" t="s">
        <v>3</v>
      </c>
      <c r="L275" t="s">
        <v>3</v>
      </c>
      <c r="M275" t="s">
        <v>373</v>
      </c>
      <c r="N275" t="s">
        <v>3</v>
      </c>
      <c r="O275" t="s">
        <v>3</v>
      </c>
      <c r="P275" t="s">
        <v>3</v>
      </c>
      <c r="Q275" t="s">
        <v>8</v>
      </c>
      <c r="R275" t="s">
        <v>373</v>
      </c>
      <c r="S275" t="s">
        <v>8</v>
      </c>
      <c r="T275" t="s">
        <v>2696</v>
      </c>
      <c r="U275" t="s">
        <v>3</v>
      </c>
      <c r="V275" t="s">
        <v>3</v>
      </c>
      <c r="W275" t="s">
        <v>1030</v>
      </c>
      <c r="AA275" t="s">
        <v>3</v>
      </c>
      <c r="AB275" t="s">
        <v>8</v>
      </c>
      <c r="AC275" t="s">
        <v>3</v>
      </c>
      <c r="AD275" t="s">
        <v>8</v>
      </c>
      <c r="AE275" t="s">
        <v>67</v>
      </c>
      <c r="AF275" t="s">
        <v>2700</v>
      </c>
    </row>
    <row r="276" spans="1:32" x14ac:dyDescent="0.45">
      <c r="A276" t="s">
        <v>2701</v>
      </c>
      <c r="B276" t="s">
        <v>2702</v>
      </c>
      <c r="C276" t="s">
        <v>2703</v>
      </c>
      <c r="D276" t="s">
        <v>2704</v>
      </c>
      <c r="F276" t="s">
        <v>2679</v>
      </c>
      <c r="H276" t="s">
        <v>2680</v>
      </c>
      <c r="J276" t="s">
        <v>8</v>
      </c>
      <c r="K276" t="s">
        <v>3</v>
      </c>
      <c r="L276" t="s">
        <v>3</v>
      </c>
      <c r="M276" t="s">
        <v>373</v>
      </c>
      <c r="N276" t="s">
        <v>3</v>
      </c>
      <c r="O276" t="s">
        <v>3</v>
      </c>
      <c r="P276" t="s">
        <v>3</v>
      </c>
      <c r="Q276" t="s">
        <v>8</v>
      </c>
      <c r="R276" t="s">
        <v>373</v>
      </c>
      <c r="S276" t="s">
        <v>8</v>
      </c>
      <c r="T276" t="s">
        <v>2701</v>
      </c>
      <c r="U276" t="s">
        <v>3</v>
      </c>
      <c r="V276" t="s">
        <v>3</v>
      </c>
      <c r="W276" t="s">
        <v>494</v>
      </c>
      <c r="AA276" t="s">
        <v>8</v>
      </c>
      <c r="AB276" t="s">
        <v>8</v>
      </c>
      <c r="AC276" t="s">
        <v>3</v>
      </c>
      <c r="AD276" t="s">
        <v>8</v>
      </c>
      <c r="AE276" t="s">
        <v>67</v>
      </c>
      <c r="AF276" t="s">
        <v>2705</v>
      </c>
    </row>
    <row r="277" spans="1:32" x14ac:dyDescent="0.45">
      <c r="A277" t="s">
        <v>2706</v>
      </c>
      <c r="B277" t="s">
        <v>2707</v>
      </c>
      <c r="C277" t="s">
        <v>2708</v>
      </c>
      <c r="D277" t="s">
        <v>2709</v>
      </c>
      <c r="F277" t="s">
        <v>2679</v>
      </c>
      <c r="H277" t="s">
        <v>2680</v>
      </c>
      <c r="J277" t="s">
        <v>8</v>
      </c>
      <c r="K277" t="s">
        <v>3</v>
      </c>
      <c r="L277" t="s">
        <v>3</v>
      </c>
      <c r="M277" t="s">
        <v>373</v>
      </c>
      <c r="N277" t="s">
        <v>3</v>
      </c>
      <c r="O277" t="s">
        <v>3</v>
      </c>
      <c r="P277" t="s">
        <v>3</v>
      </c>
      <c r="Q277" t="s">
        <v>8</v>
      </c>
      <c r="R277" t="s">
        <v>373</v>
      </c>
      <c r="S277" t="s">
        <v>8</v>
      </c>
      <c r="T277" t="s">
        <v>2706</v>
      </c>
      <c r="U277" t="s">
        <v>3</v>
      </c>
      <c r="V277" t="s">
        <v>3</v>
      </c>
      <c r="W277" t="s">
        <v>494</v>
      </c>
      <c r="AA277" t="s">
        <v>8</v>
      </c>
      <c r="AB277" t="s">
        <v>8</v>
      </c>
      <c r="AC277" t="s">
        <v>3</v>
      </c>
      <c r="AD277" t="s">
        <v>8</v>
      </c>
      <c r="AE277" t="s">
        <v>67</v>
      </c>
      <c r="AF277" t="s">
        <v>2710</v>
      </c>
    </row>
    <row r="278" spans="1:32" x14ac:dyDescent="0.45">
      <c r="A278" t="s">
        <v>2711</v>
      </c>
      <c r="B278" t="s">
        <v>2712</v>
      </c>
      <c r="C278" t="s">
        <v>2713</v>
      </c>
      <c r="D278" t="s">
        <v>2714</v>
      </c>
      <c r="F278" t="s">
        <v>2679</v>
      </c>
      <c r="H278" t="s">
        <v>2680</v>
      </c>
      <c r="J278" t="s">
        <v>8</v>
      </c>
      <c r="K278" t="s">
        <v>3</v>
      </c>
      <c r="L278" t="s">
        <v>3</v>
      </c>
      <c r="M278" t="s">
        <v>373</v>
      </c>
      <c r="N278" t="s">
        <v>3</v>
      </c>
      <c r="O278" t="s">
        <v>3</v>
      </c>
      <c r="P278" t="s">
        <v>3</v>
      </c>
      <c r="Q278" t="s">
        <v>8</v>
      </c>
      <c r="R278" t="s">
        <v>373</v>
      </c>
      <c r="S278" t="s">
        <v>8</v>
      </c>
      <c r="T278" t="s">
        <v>2711</v>
      </c>
      <c r="U278" t="s">
        <v>3</v>
      </c>
      <c r="V278" t="s">
        <v>3</v>
      </c>
      <c r="W278" t="s">
        <v>494</v>
      </c>
      <c r="AA278" t="s">
        <v>8</v>
      </c>
      <c r="AB278" t="s">
        <v>8</v>
      </c>
      <c r="AC278" t="s">
        <v>3</v>
      </c>
      <c r="AD278" t="s">
        <v>8</v>
      </c>
      <c r="AE278" t="s">
        <v>67</v>
      </c>
      <c r="AF278" t="s">
        <v>2715</v>
      </c>
    </row>
    <row r="279" spans="1:32" x14ac:dyDescent="0.45">
      <c r="A279" t="s">
        <v>2716</v>
      </c>
      <c r="B279" t="s">
        <v>2717</v>
      </c>
      <c r="C279" t="s">
        <v>2718</v>
      </c>
      <c r="D279" t="s">
        <v>2719</v>
      </c>
      <c r="F279" t="s">
        <v>2679</v>
      </c>
      <c r="H279" t="s">
        <v>2680</v>
      </c>
      <c r="J279" t="s">
        <v>8</v>
      </c>
      <c r="K279" t="s">
        <v>3</v>
      </c>
      <c r="L279" t="s">
        <v>3</v>
      </c>
      <c r="M279" t="s">
        <v>373</v>
      </c>
      <c r="N279" t="s">
        <v>3</v>
      </c>
      <c r="O279" t="s">
        <v>3</v>
      </c>
      <c r="P279" t="s">
        <v>3</v>
      </c>
      <c r="Q279" t="s">
        <v>8</v>
      </c>
      <c r="R279" t="s">
        <v>373</v>
      </c>
      <c r="S279" t="s">
        <v>8</v>
      </c>
      <c r="T279" t="s">
        <v>2716</v>
      </c>
      <c r="U279" t="s">
        <v>3</v>
      </c>
      <c r="V279" t="s">
        <v>3</v>
      </c>
      <c r="W279" t="s">
        <v>1030</v>
      </c>
      <c r="AA279" t="s">
        <v>8</v>
      </c>
      <c r="AB279" t="s">
        <v>3</v>
      </c>
      <c r="AC279" t="s">
        <v>3</v>
      </c>
      <c r="AD279" t="s">
        <v>8</v>
      </c>
      <c r="AE279" t="s">
        <v>67</v>
      </c>
      <c r="AF279" t="s">
        <v>2720</v>
      </c>
    </row>
    <row r="280" spans="1:32" x14ac:dyDescent="0.45">
      <c r="A280" t="s">
        <v>2721</v>
      </c>
      <c r="B280" t="s">
        <v>2722</v>
      </c>
      <c r="C280" t="s">
        <v>2723</v>
      </c>
      <c r="D280" t="s">
        <v>2723</v>
      </c>
      <c r="E280" t="s">
        <v>2724</v>
      </c>
      <c r="F280" t="s">
        <v>2725</v>
      </c>
      <c r="G280" t="s">
        <v>2726</v>
      </c>
      <c r="J280" t="s">
        <v>8</v>
      </c>
      <c r="K280" t="s">
        <v>3</v>
      </c>
      <c r="L280" t="s">
        <v>3</v>
      </c>
      <c r="M280" t="s">
        <v>373</v>
      </c>
      <c r="N280" t="s">
        <v>3</v>
      </c>
      <c r="O280" t="s">
        <v>3</v>
      </c>
      <c r="P280" t="s">
        <v>3</v>
      </c>
      <c r="Q280" t="s">
        <v>8</v>
      </c>
      <c r="R280" t="s">
        <v>373</v>
      </c>
      <c r="S280" t="s">
        <v>8</v>
      </c>
      <c r="T280" t="s">
        <v>2721</v>
      </c>
      <c r="U280" t="s">
        <v>3</v>
      </c>
      <c r="V280" t="s">
        <v>3</v>
      </c>
      <c r="W280" t="s">
        <v>1030</v>
      </c>
      <c r="AA280" t="s">
        <v>3</v>
      </c>
      <c r="AB280" t="s">
        <v>3</v>
      </c>
      <c r="AC280" t="s">
        <v>3</v>
      </c>
      <c r="AD280" t="s">
        <v>8</v>
      </c>
      <c r="AE280" t="s">
        <v>67</v>
      </c>
      <c r="AF280" t="s">
        <v>2727</v>
      </c>
    </row>
    <row r="281" spans="1:32" x14ac:dyDescent="0.45">
      <c r="A281" t="s">
        <v>120</v>
      </c>
      <c r="B281" t="s">
        <v>2728</v>
      </c>
      <c r="C281" t="s">
        <v>2729</v>
      </c>
      <c r="D281" t="s">
        <v>34</v>
      </c>
      <c r="F281" t="s">
        <v>2679</v>
      </c>
      <c r="H281" t="s">
        <v>2730</v>
      </c>
      <c r="J281" t="s">
        <v>8</v>
      </c>
      <c r="K281" t="s">
        <v>3</v>
      </c>
      <c r="L281" t="s">
        <v>3</v>
      </c>
      <c r="M281" t="s">
        <v>373</v>
      </c>
      <c r="N281" t="s">
        <v>3</v>
      </c>
      <c r="O281" t="s">
        <v>3</v>
      </c>
      <c r="P281" t="s">
        <v>3</v>
      </c>
      <c r="Q281" t="s">
        <v>8</v>
      </c>
      <c r="R281" t="s">
        <v>373</v>
      </c>
      <c r="S281" t="s">
        <v>8</v>
      </c>
      <c r="T281" t="s">
        <v>120</v>
      </c>
      <c r="U281" t="s">
        <v>3</v>
      </c>
      <c r="V281" t="s">
        <v>3</v>
      </c>
      <c r="W281" t="s">
        <v>1030</v>
      </c>
      <c r="AA281" t="s">
        <v>8</v>
      </c>
      <c r="AB281" t="s">
        <v>3</v>
      </c>
      <c r="AC281" t="s">
        <v>3</v>
      </c>
      <c r="AD281" t="s">
        <v>8</v>
      </c>
      <c r="AE281" t="s">
        <v>67</v>
      </c>
      <c r="AF281" t="s">
        <v>2731</v>
      </c>
    </row>
    <row r="282" spans="1:32" x14ac:dyDescent="0.45">
      <c r="A282" t="s">
        <v>2732</v>
      </c>
      <c r="B282" t="s">
        <v>2733</v>
      </c>
      <c r="C282" t="s">
        <v>2734</v>
      </c>
      <c r="D282" t="s">
        <v>2728</v>
      </c>
      <c r="F282" t="s">
        <v>2679</v>
      </c>
      <c r="H282" t="s">
        <v>2680</v>
      </c>
      <c r="J282" t="s">
        <v>8</v>
      </c>
      <c r="K282" t="s">
        <v>3</v>
      </c>
      <c r="L282" t="s">
        <v>3</v>
      </c>
      <c r="M282" t="s">
        <v>373</v>
      </c>
      <c r="N282" t="s">
        <v>3</v>
      </c>
      <c r="O282" t="s">
        <v>3</v>
      </c>
      <c r="P282" t="s">
        <v>3</v>
      </c>
      <c r="Q282" t="s">
        <v>8</v>
      </c>
      <c r="R282" t="s">
        <v>373</v>
      </c>
      <c r="S282" t="s">
        <v>8</v>
      </c>
      <c r="T282" t="s">
        <v>2732</v>
      </c>
      <c r="U282" t="s">
        <v>3</v>
      </c>
      <c r="V282" t="s">
        <v>3</v>
      </c>
      <c r="W282" t="s">
        <v>1030</v>
      </c>
      <c r="AA282" t="s">
        <v>8</v>
      </c>
      <c r="AB282" t="s">
        <v>8</v>
      </c>
      <c r="AC282" t="s">
        <v>3</v>
      </c>
      <c r="AD282" t="s">
        <v>8</v>
      </c>
      <c r="AE282" t="s">
        <v>67</v>
      </c>
      <c r="AF282" t="s">
        <v>2735</v>
      </c>
    </row>
    <row r="283" spans="1:32" x14ac:dyDescent="0.45">
      <c r="A283" t="s">
        <v>2736</v>
      </c>
      <c r="B283" t="s">
        <v>2737</v>
      </c>
      <c r="C283" t="s">
        <v>2738</v>
      </c>
      <c r="D283" t="s">
        <v>2739</v>
      </c>
      <c r="F283" t="s">
        <v>2679</v>
      </c>
      <c r="H283" t="s">
        <v>2730</v>
      </c>
      <c r="J283" t="s">
        <v>8</v>
      </c>
      <c r="K283" t="s">
        <v>3</v>
      </c>
      <c r="L283" t="s">
        <v>3</v>
      </c>
      <c r="M283" t="s">
        <v>373</v>
      </c>
      <c r="N283" t="s">
        <v>3</v>
      </c>
      <c r="O283" t="s">
        <v>3</v>
      </c>
      <c r="P283" t="s">
        <v>3</v>
      </c>
      <c r="Q283" t="s">
        <v>8</v>
      </c>
      <c r="R283" t="s">
        <v>373</v>
      </c>
      <c r="S283" t="s">
        <v>8</v>
      </c>
      <c r="T283" t="s">
        <v>2736</v>
      </c>
      <c r="U283" t="s">
        <v>3</v>
      </c>
      <c r="V283" t="s">
        <v>3</v>
      </c>
      <c r="W283" t="s">
        <v>1030</v>
      </c>
      <c r="AA283" t="s">
        <v>8</v>
      </c>
      <c r="AB283" t="s">
        <v>8</v>
      </c>
      <c r="AC283" t="s">
        <v>3</v>
      </c>
      <c r="AD283" t="s">
        <v>8</v>
      </c>
      <c r="AE283" t="s">
        <v>67</v>
      </c>
      <c r="AF283" t="s">
        <v>2740</v>
      </c>
    </row>
    <row r="284" spans="1:32" x14ac:dyDescent="0.45">
      <c r="A284" t="s">
        <v>2741</v>
      </c>
      <c r="B284" t="s">
        <v>2742</v>
      </c>
      <c r="C284" t="s">
        <v>2743</v>
      </c>
      <c r="D284" t="s">
        <v>2744</v>
      </c>
      <c r="F284" t="s">
        <v>2679</v>
      </c>
      <c r="H284" t="s">
        <v>2730</v>
      </c>
      <c r="J284" t="s">
        <v>8</v>
      </c>
      <c r="K284" t="s">
        <v>3</v>
      </c>
      <c r="L284" t="s">
        <v>3</v>
      </c>
      <c r="M284" t="s">
        <v>373</v>
      </c>
      <c r="N284" t="s">
        <v>3</v>
      </c>
      <c r="O284" t="s">
        <v>3</v>
      </c>
      <c r="P284" t="s">
        <v>3</v>
      </c>
      <c r="Q284" t="s">
        <v>8</v>
      </c>
      <c r="R284" t="s">
        <v>373</v>
      </c>
      <c r="S284" t="s">
        <v>8</v>
      </c>
      <c r="T284" t="s">
        <v>2741</v>
      </c>
      <c r="U284" t="s">
        <v>3</v>
      </c>
      <c r="V284" t="s">
        <v>3</v>
      </c>
      <c r="W284" t="s">
        <v>1030</v>
      </c>
      <c r="AA284" t="s">
        <v>8</v>
      </c>
      <c r="AB284" t="s">
        <v>3</v>
      </c>
      <c r="AC284" t="s">
        <v>3</v>
      </c>
      <c r="AD284" t="s">
        <v>8</v>
      </c>
      <c r="AE284" t="s">
        <v>67</v>
      </c>
      <c r="AF284" t="s">
        <v>2745</v>
      </c>
    </row>
    <row r="285" spans="1:32" x14ac:dyDescent="0.45">
      <c r="A285" t="s">
        <v>2746</v>
      </c>
      <c r="B285" t="s">
        <v>2747</v>
      </c>
      <c r="C285" t="s">
        <v>2748</v>
      </c>
      <c r="D285" t="s">
        <v>2749</v>
      </c>
      <c r="F285" t="s">
        <v>2679</v>
      </c>
      <c r="H285" t="s">
        <v>2680</v>
      </c>
      <c r="J285" t="s">
        <v>8</v>
      </c>
      <c r="K285" t="s">
        <v>3</v>
      </c>
      <c r="L285" t="s">
        <v>3</v>
      </c>
      <c r="M285" t="s">
        <v>373</v>
      </c>
      <c r="N285" t="s">
        <v>3</v>
      </c>
      <c r="O285" t="s">
        <v>3</v>
      </c>
      <c r="P285" t="s">
        <v>3</v>
      </c>
      <c r="Q285" t="s">
        <v>8</v>
      </c>
      <c r="R285" t="s">
        <v>373</v>
      </c>
      <c r="S285" t="s">
        <v>8</v>
      </c>
      <c r="T285" t="s">
        <v>2746</v>
      </c>
      <c r="U285" t="s">
        <v>3</v>
      </c>
      <c r="V285" t="s">
        <v>3</v>
      </c>
      <c r="W285" t="s">
        <v>760</v>
      </c>
      <c r="AA285" t="s">
        <v>3</v>
      </c>
      <c r="AB285" t="s">
        <v>3</v>
      </c>
      <c r="AC285" t="s">
        <v>3</v>
      </c>
      <c r="AD285" t="s">
        <v>8</v>
      </c>
      <c r="AE285" t="s">
        <v>67</v>
      </c>
      <c r="AF285" t="s">
        <v>2750</v>
      </c>
    </row>
    <row r="286" spans="1:32" x14ac:dyDescent="0.45">
      <c r="A286" t="s">
        <v>2751</v>
      </c>
      <c r="B286" t="s">
        <v>2752</v>
      </c>
      <c r="C286" t="s">
        <v>2753</v>
      </c>
      <c r="D286" t="s">
        <v>2754</v>
      </c>
      <c r="F286" t="s">
        <v>2755</v>
      </c>
      <c r="H286" t="s">
        <v>2756</v>
      </c>
      <c r="J286" t="s">
        <v>8</v>
      </c>
      <c r="K286" t="s">
        <v>3</v>
      </c>
      <c r="L286" t="s">
        <v>3</v>
      </c>
      <c r="M286" t="s">
        <v>373</v>
      </c>
      <c r="N286" t="s">
        <v>3</v>
      </c>
      <c r="O286" t="s">
        <v>3</v>
      </c>
      <c r="P286" t="s">
        <v>3</v>
      </c>
      <c r="Q286" t="s">
        <v>8</v>
      </c>
      <c r="R286" t="s">
        <v>373</v>
      </c>
      <c r="S286" t="s">
        <v>8</v>
      </c>
      <c r="T286" t="s">
        <v>2751</v>
      </c>
      <c r="U286" t="s">
        <v>3</v>
      </c>
      <c r="V286" t="s">
        <v>3</v>
      </c>
      <c r="W286" t="s">
        <v>758</v>
      </c>
      <c r="AA286" t="s">
        <v>3</v>
      </c>
      <c r="AB286" t="s">
        <v>3</v>
      </c>
      <c r="AC286" t="s">
        <v>3</v>
      </c>
      <c r="AD286" t="s">
        <v>8</v>
      </c>
      <c r="AE286" t="s">
        <v>67</v>
      </c>
      <c r="AF286" t="s">
        <v>2757</v>
      </c>
    </row>
    <row r="287" spans="1:32" x14ac:dyDescent="0.45">
      <c r="A287" t="s">
        <v>2758</v>
      </c>
      <c r="B287" t="s">
        <v>2759</v>
      </c>
      <c r="C287" t="s">
        <v>2760</v>
      </c>
      <c r="D287" t="s">
        <v>2761</v>
      </c>
      <c r="F287" t="s">
        <v>2755</v>
      </c>
      <c r="H287" t="s">
        <v>2756</v>
      </c>
      <c r="J287" t="s">
        <v>8</v>
      </c>
      <c r="K287" t="s">
        <v>3</v>
      </c>
      <c r="L287" t="s">
        <v>3</v>
      </c>
      <c r="M287" t="s">
        <v>373</v>
      </c>
      <c r="N287" t="s">
        <v>3</v>
      </c>
      <c r="O287" t="s">
        <v>3</v>
      </c>
      <c r="P287" t="s">
        <v>3</v>
      </c>
      <c r="Q287" t="s">
        <v>8</v>
      </c>
      <c r="R287" t="s">
        <v>373</v>
      </c>
      <c r="S287" t="s">
        <v>8</v>
      </c>
      <c r="T287" t="s">
        <v>2758</v>
      </c>
      <c r="U287" t="s">
        <v>3</v>
      </c>
      <c r="V287" t="s">
        <v>3</v>
      </c>
      <c r="W287" t="s">
        <v>758</v>
      </c>
      <c r="AA287" t="s">
        <v>3</v>
      </c>
      <c r="AB287" t="s">
        <v>3</v>
      </c>
      <c r="AC287" t="s">
        <v>3</v>
      </c>
      <c r="AD287" t="s">
        <v>8</v>
      </c>
      <c r="AE287" t="s">
        <v>67</v>
      </c>
      <c r="AF287" t="s">
        <v>2762</v>
      </c>
    </row>
    <row r="288" spans="1:32" x14ac:dyDescent="0.45">
      <c r="A288" t="s">
        <v>2763</v>
      </c>
      <c r="B288" t="s">
        <v>2764</v>
      </c>
      <c r="C288" t="s">
        <v>2765</v>
      </c>
      <c r="D288" t="s">
        <v>2766</v>
      </c>
      <c r="F288" t="s">
        <v>2767</v>
      </c>
      <c r="H288" t="s">
        <v>2756</v>
      </c>
      <c r="J288" t="s">
        <v>8</v>
      </c>
      <c r="K288" t="s">
        <v>3</v>
      </c>
      <c r="L288" t="s">
        <v>3</v>
      </c>
      <c r="M288" t="s">
        <v>373</v>
      </c>
      <c r="N288" t="s">
        <v>3</v>
      </c>
      <c r="O288" t="s">
        <v>3</v>
      </c>
      <c r="P288" t="s">
        <v>3</v>
      </c>
      <c r="Q288" t="s">
        <v>8</v>
      </c>
      <c r="R288" t="s">
        <v>373</v>
      </c>
      <c r="S288" t="s">
        <v>8</v>
      </c>
      <c r="T288" t="s">
        <v>2763</v>
      </c>
      <c r="U288" t="s">
        <v>3</v>
      </c>
      <c r="V288" t="s">
        <v>3</v>
      </c>
      <c r="W288" t="s">
        <v>735</v>
      </c>
      <c r="AA288" t="s">
        <v>3</v>
      </c>
      <c r="AB288" t="s">
        <v>8</v>
      </c>
      <c r="AC288" t="s">
        <v>3</v>
      </c>
      <c r="AD288" t="s">
        <v>8</v>
      </c>
      <c r="AE288" t="s">
        <v>67</v>
      </c>
      <c r="AF288" t="s">
        <v>2768</v>
      </c>
    </row>
    <row r="289" spans="1:32" x14ac:dyDescent="0.45">
      <c r="A289" t="s">
        <v>98</v>
      </c>
      <c r="B289" t="s">
        <v>2769</v>
      </c>
      <c r="C289" t="s">
        <v>2770</v>
      </c>
      <c r="D289" t="s">
        <v>2771</v>
      </c>
      <c r="F289" t="s">
        <v>2767</v>
      </c>
      <c r="H289" t="s">
        <v>2756</v>
      </c>
      <c r="J289" t="s">
        <v>8</v>
      </c>
      <c r="K289" t="s">
        <v>3</v>
      </c>
      <c r="L289" t="s">
        <v>3</v>
      </c>
      <c r="M289" t="s">
        <v>373</v>
      </c>
      <c r="N289" t="s">
        <v>3</v>
      </c>
      <c r="O289" t="s">
        <v>3</v>
      </c>
      <c r="P289" t="s">
        <v>3</v>
      </c>
      <c r="Q289" t="s">
        <v>8</v>
      </c>
      <c r="R289" t="s">
        <v>373</v>
      </c>
      <c r="S289" t="s">
        <v>8</v>
      </c>
      <c r="T289" t="s">
        <v>98</v>
      </c>
      <c r="U289" t="s">
        <v>3</v>
      </c>
      <c r="V289" t="s">
        <v>3</v>
      </c>
      <c r="W289" t="s">
        <v>758</v>
      </c>
      <c r="AA289" t="s">
        <v>8</v>
      </c>
      <c r="AB289" t="s">
        <v>8</v>
      </c>
      <c r="AC289" t="s">
        <v>3</v>
      </c>
      <c r="AD289" t="s">
        <v>8</v>
      </c>
      <c r="AE289" t="s">
        <v>67</v>
      </c>
      <c r="AF289" t="s">
        <v>2772</v>
      </c>
    </row>
    <row r="290" spans="1:32" x14ac:dyDescent="0.45">
      <c r="A290" t="s">
        <v>2773</v>
      </c>
      <c r="B290" t="s">
        <v>2759</v>
      </c>
      <c r="C290" t="s">
        <v>2760</v>
      </c>
      <c r="D290" t="s">
        <v>2774</v>
      </c>
      <c r="F290" t="s">
        <v>2767</v>
      </c>
      <c r="H290" t="s">
        <v>2756</v>
      </c>
      <c r="J290" t="s">
        <v>8</v>
      </c>
      <c r="K290" t="s">
        <v>3</v>
      </c>
      <c r="L290" t="s">
        <v>3</v>
      </c>
      <c r="M290" t="s">
        <v>373</v>
      </c>
      <c r="N290" t="s">
        <v>3</v>
      </c>
      <c r="O290" t="s">
        <v>3</v>
      </c>
      <c r="P290" t="s">
        <v>3</v>
      </c>
      <c r="Q290" t="s">
        <v>8</v>
      </c>
      <c r="R290" t="s">
        <v>373</v>
      </c>
      <c r="S290" t="s">
        <v>8</v>
      </c>
      <c r="T290" t="s">
        <v>2773</v>
      </c>
      <c r="U290" t="s">
        <v>3</v>
      </c>
      <c r="V290" t="s">
        <v>3</v>
      </c>
      <c r="W290" t="s">
        <v>758</v>
      </c>
      <c r="AA290" t="s">
        <v>3</v>
      </c>
      <c r="AB290" t="s">
        <v>8</v>
      </c>
      <c r="AC290" t="s">
        <v>3</v>
      </c>
      <c r="AD290" t="s">
        <v>8</v>
      </c>
      <c r="AE290" t="s">
        <v>67</v>
      </c>
      <c r="AF290" t="s">
        <v>2775</v>
      </c>
    </row>
    <row r="291" spans="1:32" x14ac:dyDescent="0.45">
      <c r="A291" t="s">
        <v>95</v>
      </c>
      <c r="B291" t="s">
        <v>2776</v>
      </c>
      <c r="C291" t="s">
        <v>2777</v>
      </c>
      <c r="D291" t="s">
        <v>25</v>
      </c>
      <c r="E291" t="s">
        <v>1532</v>
      </c>
      <c r="F291" t="s">
        <v>2778</v>
      </c>
      <c r="H291" t="s">
        <v>2779</v>
      </c>
      <c r="I291" t="s">
        <v>2779</v>
      </c>
      <c r="J291" t="s">
        <v>8</v>
      </c>
      <c r="K291" t="s">
        <v>3</v>
      </c>
      <c r="L291" t="s">
        <v>3</v>
      </c>
      <c r="M291" t="s">
        <v>373</v>
      </c>
      <c r="N291" t="s">
        <v>3</v>
      </c>
      <c r="O291" t="s">
        <v>3</v>
      </c>
      <c r="P291" t="s">
        <v>3</v>
      </c>
      <c r="Q291" t="s">
        <v>8</v>
      </c>
      <c r="R291" t="s">
        <v>373</v>
      </c>
      <c r="S291" t="s">
        <v>8</v>
      </c>
      <c r="T291" t="s">
        <v>95</v>
      </c>
      <c r="U291" t="s">
        <v>3</v>
      </c>
      <c r="V291" t="s">
        <v>3</v>
      </c>
      <c r="W291" t="s">
        <v>705</v>
      </c>
      <c r="AA291" t="s">
        <v>8</v>
      </c>
      <c r="AB291" t="s">
        <v>8</v>
      </c>
      <c r="AC291" t="s">
        <v>3</v>
      </c>
      <c r="AD291" t="s">
        <v>8</v>
      </c>
      <c r="AE291" t="s">
        <v>67</v>
      </c>
      <c r="AF291" t="s">
        <v>2780</v>
      </c>
    </row>
    <row r="292" spans="1:32" x14ac:dyDescent="0.45">
      <c r="A292" t="s">
        <v>2781</v>
      </c>
      <c r="B292" t="s">
        <v>2782</v>
      </c>
      <c r="C292" t="s">
        <v>2783</v>
      </c>
      <c r="D292" t="s">
        <v>2784</v>
      </c>
      <c r="E292" t="s">
        <v>1532</v>
      </c>
      <c r="F292" t="s">
        <v>2778</v>
      </c>
      <c r="H292" t="s">
        <v>2779</v>
      </c>
      <c r="I292" t="s">
        <v>2779</v>
      </c>
      <c r="J292" t="s">
        <v>8</v>
      </c>
      <c r="K292" t="s">
        <v>3</v>
      </c>
      <c r="L292" t="s">
        <v>3</v>
      </c>
      <c r="M292" t="s">
        <v>373</v>
      </c>
      <c r="N292" t="s">
        <v>3</v>
      </c>
      <c r="O292" t="s">
        <v>3</v>
      </c>
      <c r="P292" t="s">
        <v>3</v>
      </c>
      <c r="Q292" t="s">
        <v>8</v>
      </c>
      <c r="R292" t="s">
        <v>373</v>
      </c>
      <c r="S292" t="s">
        <v>8</v>
      </c>
      <c r="T292" t="s">
        <v>2781</v>
      </c>
      <c r="U292" t="s">
        <v>3</v>
      </c>
      <c r="V292" t="s">
        <v>3</v>
      </c>
      <c r="W292" t="s">
        <v>705</v>
      </c>
      <c r="AA292" t="s">
        <v>8</v>
      </c>
      <c r="AB292" t="s">
        <v>8</v>
      </c>
      <c r="AC292" t="s">
        <v>3</v>
      </c>
      <c r="AD292" t="s">
        <v>8</v>
      </c>
      <c r="AE292" t="s">
        <v>67</v>
      </c>
      <c r="AF292" t="s">
        <v>2785</v>
      </c>
    </row>
    <row r="293" spans="1:32" x14ac:dyDescent="0.45">
      <c r="A293" t="s">
        <v>2786</v>
      </c>
      <c r="B293" t="s">
        <v>2776</v>
      </c>
      <c r="C293" t="s">
        <v>2777</v>
      </c>
      <c r="D293" t="s">
        <v>25</v>
      </c>
      <c r="E293" t="s">
        <v>1532</v>
      </c>
      <c r="F293" t="s">
        <v>2778</v>
      </c>
      <c r="H293" t="s">
        <v>2779</v>
      </c>
      <c r="I293" t="s">
        <v>2779</v>
      </c>
      <c r="J293" t="s">
        <v>8</v>
      </c>
      <c r="K293" t="s">
        <v>3</v>
      </c>
      <c r="L293" t="s">
        <v>3</v>
      </c>
      <c r="M293" t="s">
        <v>373</v>
      </c>
      <c r="N293" t="s">
        <v>3</v>
      </c>
      <c r="O293" t="s">
        <v>3</v>
      </c>
      <c r="P293" t="s">
        <v>3</v>
      </c>
      <c r="Q293" t="s">
        <v>8</v>
      </c>
      <c r="R293" t="s">
        <v>373</v>
      </c>
      <c r="S293" t="s">
        <v>8</v>
      </c>
      <c r="T293" t="s">
        <v>2786</v>
      </c>
      <c r="U293" t="s">
        <v>3</v>
      </c>
      <c r="V293" t="s">
        <v>3</v>
      </c>
      <c r="W293" t="s">
        <v>1546</v>
      </c>
      <c r="AA293" t="s">
        <v>8</v>
      </c>
      <c r="AB293" t="s">
        <v>8</v>
      </c>
      <c r="AC293" t="s">
        <v>3</v>
      </c>
      <c r="AD293" t="s">
        <v>8</v>
      </c>
      <c r="AE293" t="s">
        <v>67</v>
      </c>
      <c r="AF293" t="s">
        <v>2787</v>
      </c>
    </row>
    <row r="294" spans="1:32" x14ac:dyDescent="0.45">
      <c r="A294" t="s">
        <v>2788</v>
      </c>
      <c r="B294" t="s">
        <v>2789</v>
      </c>
      <c r="C294" t="s">
        <v>2790</v>
      </c>
      <c r="D294" t="s">
        <v>2789</v>
      </c>
      <c r="E294" t="s">
        <v>2791</v>
      </c>
      <c r="F294" t="s">
        <v>2792</v>
      </c>
      <c r="H294" t="s">
        <v>2793</v>
      </c>
      <c r="I294" t="s">
        <v>2794</v>
      </c>
      <c r="J294" t="s">
        <v>8</v>
      </c>
      <c r="K294" t="s">
        <v>3</v>
      </c>
      <c r="L294" t="s">
        <v>3</v>
      </c>
      <c r="M294" t="s">
        <v>373</v>
      </c>
      <c r="N294" t="s">
        <v>3</v>
      </c>
      <c r="O294" t="s">
        <v>3</v>
      </c>
      <c r="P294" t="s">
        <v>3</v>
      </c>
      <c r="Q294" t="s">
        <v>8</v>
      </c>
      <c r="R294" t="s">
        <v>373</v>
      </c>
      <c r="S294" t="s">
        <v>8</v>
      </c>
      <c r="T294" t="s">
        <v>2788</v>
      </c>
      <c r="U294" t="s">
        <v>3</v>
      </c>
      <c r="V294" t="s">
        <v>3</v>
      </c>
      <c r="W294" t="s">
        <v>2795</v>
      </c>
      <c r="X294" t="s">
        <v>1031</v>
      </c>
      <c r="Y294" t="s">
        <v>2796</v>
      </c>
      <c r="Z294" t="s">
        <v>1552</v>
      </c>
      <c r="AA294" t="s">
        <v>3</v>
      </c>
      <c r="AB294" t="s">
        <v>8</v>
      </c>
      <c r="AC294" t="s">
        <v>3</v>
      </c>
      <c r="AD294" t="s">
        <v>8</v>
      </c>
      <c r="AE294" t="s">
        <v>67</v>
      </c>
      <c r="AF294" t="s">
        <v>2797</v>
      </c>
    </row>
    <row r="295" spans="1:32" x14ac:dyDescent="0.45">
      <c r="A295" t="s">
        <v>2798</v>
      </c>
      <c r="B295" t="s">
        <v>2799</v>
      </c>
      <c r="C295" t="s">
        <v>2800</v>
      </c>
      <c r="D295" t="s">
        <v>2799</v>
      </c>
      <c r="E295" t="s">
        <v>2801</v>
      </c>
      <c r="F295" t="s">
        <v>2802</v>
      </c>
      <c r="H295" t="s">
        <v>2793</v>
      </c>
      <c r="I295" t="s">
        <v>2794</v>
      </c>
      <c r="J295" t="s">
        <v>8</v>
      </c>
      <c r="K295" t="s">
        <v>3</v>
      </c>
      <c r="L295" t="s">
        <v>3</v>
      </c>
      <c r="M295" t="s">
        <v>373</v>
      </c>
      <c r="N295" t="s">
        <v>3</v>
      </c>
      <c r="O295" t="s">
        <v>3</v>
      </c>
      <c r="P295" t="s">
        <v>3</v>
      </c>
      <c r="Q295" t="s">
        <v>8</v>
      </c>
      <c r="R295" t="s">
        <v>373</v>
      </c>
      <c r="S295" t="s">
        <v>8</v>
      </c>
      <c r="T295" t="s">
        <v>2798</v>
      </c>
      <c r="U295" t="s">
        <v>3</v>
      </c>
      <c r="V295" t="s">
        <v>3</v>
      </c>
      <c r="W295" t="s">
        <v>2803</v>
      </c>
      <c r="AA295" t="s">
        <v>3</v>
      </c>
      <c r="AB295" t="s">
        <v>8</v>
      </c>
      <c r="AC295" t="s">
        <v>3</v>
      </c>
      <c r="AD295" t="s">
        <v>8</v>
      </c>
      <c r="AE295" t="s">
        <v>67</v>
      </c>
      <c r="AF295" t="s">
        <v>2804</v>
      </c>
    </row>
    <row r="296" spans="1:32" x14ac:dyDescent="0.45">
      <c r="A296" t="s">
        <v>2805</v>
      </c>
      <c r="B296" t="s">
        <v>2806</v>
      </c>
      <c r="C296" t="s">
        <v>2807</v>
      </c>
      <c r="D296" t="s">
        <v>2808</v>
      </c>
      <c r="E296" t="s">
        <v>2809</v>
      </c>
      <c r="F296" t="s">
        <v>2810</v>
      </c>
      <c r="H296" t="s">
        <v>2811</v>
      </c>
      <c r="I296" t="s">
        <v>2812</v>
      </c>
      <c r="J296" t="s">
        <v>8</v>
      </c>
      <c r="K296" t="s">
        <v>3</v>
      </c>
      <c r="L296" t="s">
        <v>3</v>
      </c>
      <c r="M296" t="s">
        <v>373</v>
      </c>
      <c r="N296" t="s">
        <v>3</v>
      </c>
      <c r="O296" t="s">
        <v>3</v>
      </c>
      <c r="P296" t="s">
        <v>3</v>
      </c>
      <c r="Q296" t="s">
        <v>8</v>
      </c>
      <c r="R296" t="s">
        <v>373</v>
      </c>
      <c r="S296" t="s">
        <v>8</v>
      </c>
      <c r="T296" t="s">
        <v>2805</v>
      </c>
      <c r="U296" t="s">
        <v>3</v>
      </c>
      <c r="V296" t="s">
        <v>3</v>
      </c>
      <c r="W296" t="s">
        <v>129</v>
      </c>
      <c r="AA296" t="s">
        <v>8</v>
      </c>
      <c r="AB296" t="s">
        <v>8</v>
      </c>
      <c r="AC296" t="s">
        <v>3</v>
      </c>
      <c r="AD296" t="s">
        <v>8</v>
      </c>
      <c r="AE296" t="s">
        <v>67</v>
      </c>
      <c r="AF296" t="s">
        <v>2813</v>
      </c>
    </row>
    <row r="297" spans="1:32" x14ac:dyDescent="0.45">
      <c r="A297" t="s">
        <v>2814</v>
      </c>
      <c r="B297" t="s">
        <v>2815</v>
      </c>
      <c r="C297" t="s">
        <v>2816</v>
      </c>
      <c r="D297" t="s">
        <v>2815</v>
      </c>
      <c r="E297" t="s">
        <v>2609</v>
      </c>
      <c r="F297" t="s">
        <v>2817</v>
      </c>
      <c r="H297" t="s">
        <v>2818</v>
      </c>
      <c r="J297" t="s">
        <v>8</v>
      </c>
      <c r="K297" t="s">
        <v>3</v>
      </c>
      <c r="L297" t="s">
        <v>3</v>
      </c>
      <c r="M297" t="s">
        <v>373</v>
      </c>
      <c r="N297" t="s">
        <v>3</v>
      </c>
      <c r="O297" t="s">
        <v>3</v>
      </c>
      <c r="P297" t="s">
        <v>3</v>
      </c>
      <c r="Q297" t="s">
        <v>8</v>
      </c>
      <c r="R297" t="s">
        <v>373</v>
      </c>
      <c r="S297" t="s">
        <v>8</v>
      </c>
      <c r="T297" t="s">
        <v>2814</v>
      </c>
      <c r="U297" t="s">
        <v>3</v>
      </c>
      <c r="V297" t="s">
        <v>3</v>
      </c>
      <c r="W297" t="s">
        <v>247</v>
      </c>
      <c r="AA297" t="s">
        <v>3</v>
      </c>
      <c r="AB297" t="s">
        <v>8</v>
      </c>
      <c r="AC297" t="s">
        <v>3</v>
      </c>
      <c r="AD297" t="s">
        <v>8</v>
      </c>
      <c r="AE297" t="s">
        <v>97</v>
      </c>
      <c r="AF297" t="s">
        <v>2819</v>
      </c>
    </row>
    <row r="298" spans="1:32" x14ac:dyDescent="0.45">
      <c r="A298" t="s">
        <v>2820</v>
      </c>
      <c r="B298" t="s">
        <v>2815</v>
      </c>
      <c r="C298" t="s">
        <v>2816</v>
      </c>
      <c r="D298" t="s">
        <v>2815</v>
      </c>
      <c r="E298" t="s">
        <v>2609</v>
      </c>
      <c r="F298" t="s">
        <v>2821</v>
      </c>
      <c r="H298" t="s">
        <v>2818</v>
      </c>
      <c r="J298" t="s">
        <v>8</v>
      </c>
      <c r="K298" t="s">
        <v>3</v>
      </c>
      <c r="L298" t="s">
        <v>3</v>
      </c>
      <c r="M298" t="s">
        <v>373</v>
      </c>
      <c r="N298" t="s">
        <v>3</v>
      </c>
      <c r="O298" t="s">
        <v>3</v>
      </c>
      <c r="P298" t="s">
        <v>3</v>
      </c>
      <c r="Q298" t="s">
        <v>8</v>
      </c>
      <c r="R298" t="s">
        <v>373</v>
      </c>
      <c r="S298" t="s">
        <v>8</v>
      </c>
      <c r="T298" t="s">
        <v>2820</v>
      </c>
      <c r="U298" t="s">
        <v>3</v>
      </c>
      <c r="V298" t="s">
        <v>3</v>
      </c>
      <c r="W298" t="s">
        <v>249</v>
      </c>
      <c r="AA298" t="s">
        <v>3</v>
      </c>
      <c r="AB298" t="s">
        <v>8</v>
      </c>
      <c r="AC298" t="s">
        <v>3</v>
      </c>
      <c r="AD298" t="s">
        <v>8</v>
      </c>
      <c r="AE298" t="s">
        <v>97</v>
      </c>
      <c r="AF298" t="s">
        <v>2822</v>
      </c>
    </row>
    <row r="299" spans="1:32" x14ac:dyDescent="0.45">
      <c r="A299" t="s">
        <v>2823</v>
      </c>
      <c r="B299" t="s">
        <v>2824</v>
      </c>
      <c r="C299" t="s">
        <v>2825</v>
      </c>
      <c r="D299" t="s">
        <v>2826</v>
      </c>
      <c r="E299" t="s">
        <v>2609</v>
      </c>
      <c r="F299" t="s">
        <v>2817</v>
      </c>
      <c r="H299" t="s">
        <v>2818</v>
      </c>
      <c r="J299" t="s">
        <v>8</v>
      </c>
      <c r="K299" t="s">
        <v>3</v>
      </c>
      <c r="L299" t="s">
        <v>3</v>
      </c>
      <c r="M299" t="s">
        <v>373</v>
      </c>
      <c r="N299" t="s">
        <v>3</v>
      </c>
      <c r="O299" t="s">
        <v>3</v>
      </c>
      <c r="P299" t="s">
        <v>3</v>
      </c>
      <c r="Q299" t="s">
        <v>8</v>
      </c>
      <c r="R299" t="s">
        <v>373</v>
      </c>
      <c r="S299" t="s">
        <v>8</v>
      </c>
      <c r="T299" t="s">
        <v>2823</v>
      </c>
      <c r="U299" t="s">
        <v>3</v>
      </c>
      <c r="V299" t="s">
        <v>3</v>
      </c>
      <c r="W299" t="s">
        <v>3</v>
      </c>
      <c r="AA299" t="s">
        <v>3</v>
      </c>
      <c r="AB299" t="s">
        <v>8</v>
      </c>
      <c r="AC299" t="s">
        <v>3</v>
      </c>
      <c r="AD299" t="s">
        <v>8</v>
      </c>
      <c r="AE299" t="s">
        <v>97</v>
      </c>
      <c r="AF299" t="s">
        <v>2827</v>
      </c>
    </row>
    <row r="300" spans="1:32" x14ac:dyDescent="0.45">
      <c r="A300" t="s">
        <v>2828</v>
      </c>
      <c r="B300" t="s">
        <v>2829</v>
      </c>
      <c r="C300" t="s">
        <v>2830</v>
      </c>
      <c r="D300" t="s">
        <v>2829</v>
      </c>
      <c r="E300" t="s">
        <v>2831</v>
      </c>
      <c r="F300" t="s">
        <v>2832</v>
      </c>
      <c r="H300" t="s">
        <v>2833</v>
      </c>
      <c r="J300" t="s">
        <v>8</v>
      </c>
      <c r="K300" t="s">
        <v>3</v>
      </c>
      <c r="L300" t="s">
        <v>3</v>
      </c>
      <c r="M300" t="s">
        <v>373</v>
      </c>
      <c r="N300" t="s">
        <v>3</v>
      </c>
      <c r="O300" t="s">
        <v>3</v>
      </c>
      <c r="P300" t="s">
        <v>3</v>
      </c>
      <c r="Q300" t="s">
        <v>8</v>
      </c>
      <c r="R300" t="s">
        <v>373</v>
      </c>
      <c r="S300" t="s">
        <v>8</v>
      </c>
      <c r="T300" t="s">
        <v>2828</v>
      </c>
      <c r="U300" t="s">
        <v>3</v>
      </c>
      <c r="V300" t="s">
        <v>3</v>
      </c>
      <c r="W300" t="s">
        <v>247</v>
      </c>
      <c r="AA300" t="s">
        <v>3</v>
      </c>
      <c r="AB300" t="s">
        <v>8</v>
      </c>
      <c r="AC300" t="s">
        <v>3</v>
      </c>
      <c r="AD300" t="s">
        <v>8</v>
      </c>
      <c r="AE300" t="s">
        <v>67</v>
      </c>
      <c r="AF300" t="s">
        <v>2834</v>
      </c>
    </row>
    <row r="301" spans="1:32" x14ac:dyDescent="0.45">
      <c r="A301" t="s">
        <v>2835</v>
      </c>
      <c r="B301" t="s">
        <v>2836</v>
      </c>
      <c r="C301" t="s">
        <v>2837</v>
      </c>
      <c r="D301" t="s">
        <v>2836</v>
      </c>
      <c r="E301" t="s">
        <v>2838</v>
      </c>
      <c r="F301" t="s">
        <v>2839</v>
      </c>
      <c r="H301" t="s">
        <v>2840</v>
      </c>
      <c r="J301" t="s">
        <v>8</v>
      </c>
      <c r="K301" t="s">
        <v>3</v>
      </c>
      <c r="L301" t="s">
        <v>3</v>
      </c>
      <c r="M301" t="s">
        <v>373</v>
      </c>
      <c r="N301" t="s">
        <v>3</v>
      </c>
      <c r="O301" t="s">
        <v>3</v>
      </c>
      <c r="P301" t="s">
        <v>3</v>
      </c>
      <c r="Q301" t="s">
        <v>8</v>
      </c>
      <c r="R301" t="s">
        <v>373</v>
      </c>
      <c r="S301" t="s">
        <v>8</v>
      </c>
      <c r="T301" t="s">
        <v>2835</v>
      </c>
      <c r="U301" t="s">
        <v>3</v>
      </c>
      <c r="V301" t="s">
        <v>3</v>
      </c>
      <c r="W301" t="s">
        <v>2841</v>
      </c>
      <c r="AA301" t="s">
        <v>3</v>
      </c>
      <c r="AB301" t="s">
        <v>8</v>
      </c>
      <c r="AC301" t="s">
        <v>3</v>
      </c>
      <c r="AD301" t="s">
        <v>8</v>
      </c>
      <c r="AE301" t="s">
        <v>105</v>
      </c>
      <c r="AF301" t="s">
        <v>2842</v>
      </c>
    </row>
    <row r="302" spans="1:32" x14ac:dyDescent="0.45">
      <c r="A302" t="s">
        <v>2843</v>
      </c>
      <c r="B302" t="s">
        <v>2844</v>
      </c>
      <c r="C302" t="s">
        <v>2845</v>
      </c>
      <c r="D302" t="s">
        <v>2844</v>
      </c>
      <c r="E302" t="s">
        <v>2846</v>
      </c>
      <c r="F302" t="s">
        <v>2847</v>
      </c>
      <c r="H302" t="s">
        <v>2848</v>
      </c>
      <c r="I302" t="s">
        <v>2849</v>
      </c>
      <c r="J302" t="s">
        <v>8</v>
      </c>
      <c r="K302" t="s">
        <v>3</v>
      </c>
      <c r="L302" t="s">
        <v>3</v>
      </c>
      <c r="M302" t="s">
        <v>373</v>
      </c>
      <c r="N302" t="s">
        <v>3</v>
      </c>
      <c r="O302" t="s">
        <v>3</v>
      </c>
      <c r="P302" t="s">
        <v>3</v>
      </c>
      <c r="Q302" t="s">
        <v>8</v>
      </c>
      <c r="R302" t="s">
        <v>373</v>
      </c>
      <c r="S302" t="s">
        <v>8</v>
      </c>
      <c r="T302" t="s">
        <v>2843</v>
      </c>
      <c r="U302" t="s">
        <v>3</v>
      </c>
      <c r="V302" t="s">
        <v>3</v>
      </c>
      <c r="W302" t="s">
        <v>2850</v>
      </c>
      <c r="X302" t="s">
        <v>1031</v>
      </c>
      <c r="Y302" t="s">
        <v>2851</v>
      </c>
      <c r="AA302" t="s">
        <v>8</v>
      </c>
      <c r="AB302" t="s">
        <v>8</v>
      </c>
      <c r="AC302" t="s">
        <v>3</v>
      </c>
      <c r="AD302" t="s">
        <v>8</v>
      </c>
      <c r="AE302" t="s">
        <v>67</v>
      </c>
      <c r="AF302" t="s">
        <v>2852</v>
      </c>
    </row>
    <row r="303" spans="1:32" x14ac:dyDescent="0.45">
      <c r="A303" t="s">
        <v>2853</v>
      </c>
      <c r="B303" t="s">
        <v>2854</v>
      </c>
      <c r="C303" t="s">
        <v>2855</v>
      </c>
      <c r="D303" t="s">
        <v>2854</v>
      </c>
      <c r="E303" t="s">
        <v>2846</v>
      </c>
      <c r="F303" t="s">
        <v>2847</v>
      </c>
      <c r="J303" t="s">
        <v>8</v>
      </c>
      <c r="K303" t="s">
        <v>3</v>
      </c>
      <c r="L303" t="s">
        <v>3</v>
      </c>
      <c r="M303" t="s">
        <v>373</v>
      </c>
      <c r="N303" t="s">
        <v>3</v>
      </c>
      <c r="O303" t="s">
        <v>3</v>
      </c>
      <c r="P303" t="s">
        <v>3</v>
      </c>
      <c r="Q303" t="s">
        <v>8</v>
      </c>
      <c r="R303" t="s">
        <v>373</v>
      </c>
      <c r="S303" t="s">
        <v>8</v>
      </c>
      <c r="T303" t="s">
        <v>2853</v>
      </c>
      <c r="U303" t="s">
        <v>3</v>
      </c>
      <c r="V303" t="s">
        <v>3</v>
      </c>
      <c r="W303" t="s">
        <v>2850</v>
      </c>
      <c r="AA303" t="s">
        <v>8</v>
      </c>
      <c r="AB303" t="s">
        <v>8</v>
      </c>
      <c r="AC303" t="s">
        <v>3</v>
      </c>
      <c r="AD303" t="s">
        <v>8</v>
      </c>
      <c r="AE303" t="s">
        <v>67</v>
      </c>
      <c r="AF303" t="s">
        <v>2856</v>
      </c>
    </row>
    <row r="304" spans="1:32" x14ac:dyDescent="0.45">
      <c r="A304" t="s">
        <v>2857</v>
      </c>
      <c r="B304" t="s">
        <v>2858</v>
      </c>
      <c r="C304" t="s">
        <v>2859</v>
      </c>
      <c r="D304" t="s">
        <v>2860</v>
      </c>
      <c r="E304" t="s">
        <v>2846</v>
      </c>
      <c r="F304" t="s">
        <v>2847</v>
      </c>
      <c r="H304" t="s">
        <v>2861</v>
      </c>
      <c r="I304" t="s">
        <v>2849</v>
      </c>
      <c r="J304" t="s">
        <v>8</v>
      </c>
      <c r="K304" t="s">
        <v>3</v>
      </c>
      <c r="L304" t="s">
        <v>3</v>
      </c>
      <c r="M304" t="s">
        <v>373</v>
      </c>
      <c r="N304" t="s">
        <v>3</v>
      </c>
      <c r="O304" t="s">
        <v>3</v>
      </c>
      <c r="P304" t="s">
        <v>3</v>
      </c>
      <c r="Q304" t="s">
        <v>8</v>
      </c>
      <c r="R304" t="s">
        <v>373</v>
      </c>
      <c r="S304" t="s">
        <v>8</v>
      </c>
      <c r="T304" t="s">
        <v>2857</v>
      </c>
      <c r="U304" t="s">
        <v>3</v>
      </c>
      <c r="V304" t="s">
        <v>3</v>
      </c>
      <c r="W304" t="s">
        <v>2850</v>
      </c>
      <c r="AA304" t="s">
        <v>8</v>
      </c>
      <c r="AB304" t="s">
        <v>8</v>
      </c>
      <c r="AC304" t="s">
        <v>3</v>
      </c>
      <c r="AD304" t="s">
        <v>8</v>
      </c>
      <c r="AE304" t="s">
        <v>67</v>
      </c>
      <c r="AF304" t="s">
        <v>2862</v>
      </c>
    </row>
    <row r="305" spans="1:32" x14ac:dyDescent="0.45">
      <c r="A305" t="s">
        <v>2863</v>
      </c>
      <c r="B305" t="s">
        <v>2864</v>
      </c>
      <c r="C305" t="s">
        <v>2865</v>
      </c>
      <c r="D305" t="s">
        <v>2866</v>
      </c>
      <c r="E305" t="s">
        <v>2846</v>
      </c>
      <c r="F305" t="s">
        <v>2847</v>
      </c>
      <c r="H305" t="s">
        <v>2848</v>
      </c>
      <c r="I305" t="s">
        <v>2849</v>
      </c>
      <c r="J305" t="s">
        <v>8</v>
      </c>
      <c r="K305" t="s">
        <v>3</v>
      </c>
      <c r="L305" t="s">
        <v>3</v>
      </c>
      <c r="M305" t="s">
        <v>373</v>
      </c>
      <c r="N305" t="s">
        <v>3</v>
      </c>
      <c r="O305" t="s">
        <v>3</v>
      </c>
      <c r="P305" t="s">
        <v>3</v>
      </c>
      <c r="Q305" t="s">
        <v>8</v>
      </c>
      <c r="R305" t="s">
        <v>373</v>
      </c>
      <c r="S305" t="s">
        <v>8</v>
      </c>
      <c r="T305" t="s">
        <v>2863</v>
      </c>
      <c r="U305" t="s">
        <v>3</v>
      </c>
      <c r="V305" t="s">
        <v>3</v>
      </c>
      <c r="W305" t="s">
        <v>2850</v>
      </c>
      <c r="Z305" t="s">
        <v>1552</v>
      </c>
      <c r="AA305" t="s">
        <v>8</v>
      </c>
      <c r="AB305" t="s">
        <v>8</v>
      </c>
      <c r="AC305" t="s">
        <v>3</v>
      </c>
      <c r="AD305" t="s">
        <v>8</v>
      </c>
      <c r="AE305" t="s">
        <v>67</v>
      </c>
      <c r="AF305" t="s">
        <v>2867</v>
      </c>
    </row>
    <row r="306" spans="1:32" x14ac:dyDescent="0.45">
      <c r="A306" t="s">
        <v>2868</v>
      </c>
      <c r="B306" t="s">
        <v>2869</v>
      </c>
      <c r="C306" t="s">
        <v>2870</v>
      </c>
      <c r="D306" t="s">
        <v>2869</v>
      </c>
      <c r="E306" t="s">
        <v>2846</v>
      </c>
      <c r="F306" t="s">
        <v>2847</v>
      </c>
      <c r="H306" t="s">
        <v>2848</v>
      </c>
      <c r="I306" t="s">
        <v>2849</v>
      </c>
      <c r="J306" t="s">
        <v>8</v>
      </c>
      <c r="K306" t="s">
        <v>3</v>
      </c>
      <c r="L306" t="s">
        <v>3</v>
      </c>
      <c r="M306" t="s">
        <v>373</v>
      </c>
      <c r="N306" t="s">
        <v>3</v>
      </c>
      <c r="O306" t="s">
        <v>3</v>
      </c>
      <c r="P306" t="s">
        <v>3</v>
      </c>
      <c r="Q306" t="s">
        <v>8</v>
      </c>
      <c r="R306" t="s">
        <v>373</v>
      </c>
      <c r="S306" t="s">
        <v>8</v>
      </c>
      <c r="T306" t="s">
        <v>2868</v>
      </c>
      <c r="U306" t="s">
        <v>3</v>
      </c>
      <c r="V306" t="s">
        <v>3</v>
      </c>
      <c r="W306" t="s">
        <v>2850</v>
      </c>
      <c r="AA306" t="s">
        <v>8</v>
      </c>
      <c r="AB306" t="s">
        <v>8</v>
      </c>
      <c r="AC306" t="s">
        <v>3</v>
      </c>
      <c r="AD306" t="s">
        <v>8</v>
      </c>
      <c r="AE306" t="s">
        <v>67</v>
      </c>
      <c r="AF306" t="s">
        <v>2871</v>
      </c>
    </row>
    <row r="307" spans="1:32" x14ac:dyDescent="0.45">
      <c r="A307" t="s">
        <v>2872</v>
      </c>
      <c r="B307" t="s">
        <v>2873</v>
      </c>
      <c r="C307" t="s">
        <v>2874</v>
      </c>
      <c r="D307" t="s">
        <v>2873</v>
      </c>
      <c r="E307" t="s">
        <v>2875</v>
      </c>
      <c r="F307" t="s">
        <v>2876</v>
      </c>
      <c r="H307" t="s">
        <v>2877</v>
      </c>
      <c r="I307" t="s">
        <v>2878</v>
      </c>
      <c r="J307" t="s">
        <v>8</v>
      </c>
      <c r="K307" t="s">
        <v>3</v>
      </c>
      <c r="L307" t="s">
        <v>3</v>
      </c>
      <c r="M307" t="s">
        <v>373</v>
      </c>
      <c r="N307" t="s">
        <v>3</v>
      </c>
      <c r="O307" t="s">
        <v>3</v>
      </c>
      <c r="P307" t="s">
        <v>3</v>
      </c>
      <c r="Q307" t="s">
        <v>8</v>
      </c>
      <c r="R307" t="s">
        <v>373</v>
      </c>
      <c r="S307" t="s">
        <v>8</v>
      </c>
      <c r="T307" t="s">
        <v>2872</v>
      </c>
      <c r="U307" t="s">
        <v>3</v>
      </c>
      <c r="V307" t="s">
        <v>3</v>
      </c>
      <c r="W307" t="s">
        <v>303</v>
      </c>
      <c r="AA307" t="s">
        <v>8</v>
      </c>
      <c r="AB307" t="s">
        <v>8</v>
      </c>
      <c r="AC307" t="s">
        <v>3</v>
      </c>
      <c r="AD307" t="s">
        <v>8</v>
      </c>
      <c r="AE307" t="s">
        <v>67</v>
      </c>
      <c r="AF307" t="s">
        <v>2879</v>
      </c>
    </row>
    <row r="308" spans="1:32" x14ac:dyDescent="0.45">
      <c r="A308" t="s">
        <v>2880</v>
      </c>
      <c r="B308" t="s">
        <v>2881</v>
      </c>
      <c r="C308" t="s">
        <v>2882</v>
      </c>
      <c r="D308" t="s">
        <v>2883</v>
      </c>
      <c r="E308" t="s">
        <v>2875</v>
      </c>
      <c r="F308" t="s">
        <v>2884</v>
      </c>
      <c r="H308" t="s">
        <v>2877</v>
      </c>
      <c r="I308" t="s">
        <v>2878</v>
      </c>
      <c r="J308" t="s">
        <v>8</v>
      </c>
      <c r="K308" t="s">
        <v>3</v>
      </c>
      <c r="L308" t="s">
        <v>3</v>
      </c>
      <c r="M308" t="s">
        <v>373</v>
      </c>
      <c r="N308" t="s">
        <v>3</v>
      </c>
      <c r="O308" t="s">
        <v>3</v>
      </c>
      <c r="P308" t="s">
        <v>3</v>
      </c>
      <c r="Q308" t="s">
        <v>8</v>
      </c>
      <c r="R308" t="s">
        <v>373</v>
      </c>
      <c r="S308" t="s">
        <v>8</v>
      </c>
      <c r="T308" t="s">
        <v>2880</v>
      </c>
      <c r="U308" t="s">
        <v>3</v>
      </c>
      <c r="V308" t="s">
        <v>3</v>
      </c>
      <c r="W308" t="s">
        <v>306</v>
      </c>
      <c r="AA308" t="s">
        <v>8</v>
      </c>
      <c r="AB308" t="s">
        <v>8</v>
      </c>
      <c r="AC308" t="s">
        <v>3</v>
      </c>
      <c r="AD308" t="s">
        <v>8</v>
      </c>
      <c r="AE308" t="s">
        <v>67</v>
      </c>
      <c r="AF308" t="s">
        <v>2885</v>
      </c>
    </row>
    <row r="309" spans="1:32" x14ac:dyDescent="0.45">
      <c r="A309" t="s">
        <v>2886</v>
      </c>
      <c r="B309" t="s">
        <v>2887</v>
      </c>
      <c r="C309" t="s">
        <v>2888</v>
      </c>
      <c r="D309" t="s">
        <v>2883</v>
      </c>
      <c r="E309" t="s">
        <v>2875</v>
      </c>
      <c r="F309" t="s">
        <v>2884</v>
      </c>
      <c r="H309" t="s">
        <v>2877</v>
      </c>
      <c r="I309" t="s">
        <v>2878</v>
      </c>
      <c r="J309" t="s">
        <v>8</v>
      </c>
      <c r="K309" t="s">
        <v>3</v>
      </c>
      <c r="L309" t="s">
        <v>3</v>
      </c>
      <c r="M309" t="s">
        <v>373</v>
      </c>
      <c r="N309" t="s">
        <v>3</v>
      </c>
      <c r="O309" t="s">
        <v>3</v>
      </c>
      <c r="P309" t="s">
        <v>3</v>
      </c>
      <c r="Q309" t="s">
        <v>8</v>
      </c>
      <c r="R309" t="s">
        <v>373</v>
      </c>
      <c r="S309" t="s">
        <v>8</v>
      </c>
      <c r="T309" t="s">
        <v>2886</v>
      </c>
      <c r="U309" t="s">
        <v>3</v>
      </c>
      <c r="V309" t="s">
        <v>3</v>
      </c>
      <c r="W309" t="s">
        <v>306</v>
      </c>
      <c r="AA309" t="s">
        <v>8</v>
      </c>
      <c r="AB309" t="s">
        <v>3</v>
      </c>
      <c r="AC309" t="s">
        <v>3</v>
      </c>
      <c r="AD309" t="s">
        <v>8</v>
      </c>
      <c r="AE309" t="s">
        <v>67</v>
      </c>
      <c r="AF309" t="s">
        <v>2889</v>
      </c>
    </row>
    <row r="310" spans="1:32" x14ac:dyDescent="0.45">
      <c r="A310" t="s">
        <v>2890</v>
      </c>
      <c r="B310" t="s">
        <v>2891</v>
      </c>
      <c r="C310" t="s">
        <v>2892</v>
      </c>
      <c r="D310" t="s">
        <v>2893</v>
      </c>
      <c r="E310" t="s">
        <v>2875</v>
      </c>
      <c r="F310" t="s">
        <v>2876</v>
      </c>
      <c r="H310" t="s">
        <v>2877</v>
      </c>
      <c r="I310" t="s">
        <v>2878</v>
      </c>
      <c r="J310" t="s">
        <v>8</v>
      </c>
      <c r="K310" t="s">
        <v>3</v>
      </c>
      <c r="L310" t="s">
        <v>3</v>
      </c>
      <c r="M310" t="s">
        <v>373</v>
      </c>
      <c r="N310" t="s">
        <v>3</v>
      </c>
      <c r="O310" t="s">
        <v>3</v>
      </c>
      <c r="P310" t="s">
        <v>3</v>
      </c>
      <c r="Q310" t="s">
        <v>8</v>
      </c>
      <c r="R310" t="s">
        <v>373</v>
      </c>
      <c r="S310" t="s">
        <v>8</v>
      </c>
      <c r="T310" t="s">
        <v>2890</v>
      </c>
      <c r="U310" t="s">
        <v>3</v>
      </c>
      <c r="V310" t="s">
        <v>3</v>
      </c>
      <c r="W310" t="s">
        <v>303</v>
      </c>
      <c r="AA310" t="s">
        <v>8</v>
      </c>
      <c r="AB310" t="s">
        <v>8</v>
      </c>
      <c r="AC310" t="s">
        <v>3</v>
      </c>
      <c r="AD310" t="s">
        <v>8</v>
      </c>
      <c r="AE310" t="s">
        <v>67</v>
      </c>
      <c r="AF310" t="s">
        <v>2894</v>
      </c>
    </row>
    <row r="311" spans="1:32" x14ac:dyDescent="0.45">
      <c r="A311" t="s">
        <v>91</v>
      </c>
      <c r="B311" t="s">
        <v>23</v>
      </c>
      <c r="C311" t="s">
        <v>2895</v>
      </c>
      <c r="D311" t="s">
        <v>23</v>
      </c>
      <c r="E311" t="s">
        <v>2896</v>
      </c>
      <c r="F311" t="s">
        <v>2897</v>
      </c>
      <c r="H311" t="s">
        <v>2898</v>
      </c>
      <c r="I311" t="s">
        <v>2899</v>
      </c>
      <c r="J311" t="s">
        <v>8</v>
      </c>
      <c r="K311" t="s">
        <v>3</v>
      </c>
      <c r="L311" t="s">
        <v>3</v>
      </c>
      <c r="M311" t="s">
        <v>373</v>
      </c>
      <c r="N311" t="s">
        <v>3</v>
      </c>
      <c r="O311" t="s">
        <v>3</v>
      </c>
      <c r="P311" t="s">
        <v>3</v>
      </c>
      <c r="Q311" t="s">
        <v>8</v>
      </c>
      <c r="R311" t="s">
        <v>373</v>
      </c>
      <c r="S311" t="s">
        <v>8</v>
      </c>
      <c r="T311" t="s">
        <v>91</v>
      </c>
      <c r="U311" t="s">
        <v>3</v>
      </c>
      <c r="V311" t="s">
        <v>3</v>
      </c>
      <c r="W311" t="s">
        <v>642</v>
      </c>
      <c r="X311" t="s">
        <v>1634</v>
      </c>
      <c r="Y311" t="s">
        <v>1635</v>
      </c>
      <c r="AA311" t="s">
        <v>8</v>
      </c>
      <c r="AB311" t="s">
        <v>8</v>
      </c>
      <c r="AC311" t="s">
        <v>3</v>
      </c>
      <c r="AD311" t="s">
        <v>8</v>
      </c>
      <c r="AE311" t="s">
        <v>67</v>
      </c>
      <c r="AF311" t="s">
        <v>2900</v>
      </c>
    </row>
    <row r="312" spans="1:32" x14ac:dyDescent="0.45">
      <c r="A312" t="s">
        <v>2901</v>
      </c>
      <c r="B312" t="s">
        <v>2902</v>
      </c>
      <c r="C312" t="s">
        <v>2903</v>
      </c>
      <c r="D312" t="s">
        <v>23</v>
      </c>
      <c r="E312" t="s">
        <v>2896</v>
      </c>
      <c r="F312" t="s">
        <v>2897</v>
      </c>
      <c r="H312" t="s">
        <v>2898</v>
      </c>
      <c r="I312" t="s">
        <v>2899</v>
      </c>
      <c r="J312" t="s">
        <v>8</v>
      </c>
      <c r="K312" t="s">
        <v>3</v>
      </c>
      <c r="L312" t="s">
        <v>3</v>
      </c>
      <c r="M312" t="s">
        <v>373</v>
      </c>
      <c r="N312" t="s">
        <v>3</v>
      </c>
      <c r="O312" t="s">
        <v>3</v>
      </c>
      <c r="P312" t="s">
        <v>3</v>
      </c>
      <c r="Q312" t="s">
        <v>8</v>
      </c>
      <c r="R312" t="s">
        <v>373</v>
      </c>
      <c r="S312" t="s">
        <v>8</v>
      </c>
      <c r="T312" t="s">
        <v>2901</v>
      </c>
      <c r="U312" t="s">
        <v>3</v>
      </c>
      <c r="V312" t="s">
        <v>3</v>
      </c>
      <c r="W312" t="s">
        <v>642</v>
      </c>
      <c r="AA312" t="s">
        <v>8</v>
      </c>
      <c r="AB312" t="s">
        <v>8</v>
      </c>
      <c r="AC312" t="s">
        <v>3</v>
      </c>
      <c r="AD312" t="s">
        <v>8</v>
      </c>
      <c r="AE312" t="s">
        <v>62</v>
      </c>
      <c r="AF312" t="s">
        <v>2904</v>
      </c>
    </row>
    <row r="313" spans="1:32" x14ac:dyDescent="0.45">
      <c r="A313" t="s">
        <v>2905</v>
      </c>
      <c r="B313" t="s">
        <v>2906</v>
      </c>
      <c r="C313" t="s">
        <v>2907</v>
      </c>
      <c r="D313" t="s">
        <v>2906</v>
      </c>
      <c r="E313" t="s">
        <v>2896</v>
      </c>
      <c r="F313" t="s">
        <v>2897</v>
      </c>
      <c r="H313" t="s">
        <v>2898</v>
      </c>
      <c r="I313" t="s">
        <v>2899</v>
      </c>
      <c r="J313" t="s">
        <v>8</v>
      </c>
      <c r="K313" t="s">
        <v>3</v>
      </c>
      <c r="L313" t="s">
        <v>3</v>
      </c>
      <c r="M313" t="s">
        <v>373</v>
      </c>
      <c r="N313" t="s">
        <v>3</v>
      </c>
      <c r="O313" t="s">
        <v>3</v>
      </c>
      <c r="P313" t="s">
        <v>3</v>
      </c>
      <c r="Q313" t="s">
        <v>8</v>
      </c>
      <c r="R313" t="s">
        <v>373</v>
      </c>
      <c r="S313" t="s">
        <v>8</v>
      </c>
      <c r="T313" t="s">
        <v>2905</v>
      </c>
      <c r="U313" t="s">
        <v>3</v>
      </c>
      <c r="V313" t="s">
        <v>3</v>
      </c>
      <c r="W313" t="s">
        <v>642</v>
      </c>
      <c r="AA313" t="s">
        <v>8</v>
      </c>
      <c r="AB313" t="s">
        <v>8</v>
      </c>
      <c r="AC313" t="s">
        <v>3</v>
      </c>
      <c r="AD313" t="s">
        <v>8</v>
      </c>
      <c r="AE313" t="s">
        <v>62</v>
      </c>
      <c r="AF313" t="s">
        <v>2908</v>
      </c>
    </row>
    <row r="314" spans="1:32" x14ac:dyDescent="0.45">
      <c r="A314" t="s">
        <v>108</v>
      </c>
      <c r="B314" t="s">
        <v>30</v>
      </c>
      <c r="C314" t="s">
        <v>2909</v>
      </c>
      <c r="D314" t="s">
        <v>30</v>
      </c>
      <c r="E314" t="s">
        <v>2910</v>
      </c>
      <c r="F314" t="s">
        <v>2911</v>
      </c>
      <c r="H314" t="s">
        <v>2912</v>
      </c>
      <c r="I314" t="s">
        <v>2913</v>
      </c>
      <c r="J314" t="s">
        <v>8</v>
      </c>
      <c r="K314" t="s">
        <v>3</v>
      </c>
      <c r="L314" t="s">
        <v>3</v>
      </c>
      <c r="M314" t="s">
        <v>373</v>
      </c>
      <c r="N314" t="s">
        <v>3</v>
      </c>
      <c r="O314" t="s">
        <v>3</v>
      </c>
      <c r="P314" t="s">
        <v>3</v>
      </c>
      <c r="Q314" t="s">
        <v>8</v>
      </c>
      <c r="R314" t="s">
        <v>373</v>
      </c>
      <c r="S314" t="s">
        <v>8</v>
      </c>
      <c r="T314" t="s">
        <v>108</v>
      </c>
      <c r="U314" t="s">
        <v>3</v>
      </c>
      <c r="V314" t="s">
        <v>3</v>
      </c>
      <c r="W314" t="s">
        <v>2443</v>
      </c>
      <c r="X314" t="s">
        <v>1031</v>
      </c>
      <c r="Y314" t="s">
        <v>67</v>
      </c>
      <c r="AA314" t="s">
        <v>3</v>
      </c>
      <c r="AB314" t="s">
        <v>8</v>
      </c>
      <c r="AC314" t="s">
        <v>3</v>
      </c>
      <c r="AD314" t="s">
        <v>8</v>
      </c>
      <c r="AE314" t="s">
        <v>67</v>
      </c>
      <c r="AF314" t="s">
        <v>2914</v>
      </c>
    </row>
    <row r="315" spans="1:32" x14ac:dyDescent="0.45">
      <c r="A315" t="s">
        <v>2915</v>
      </c>
      <c r="B315" t="s">
        <v>2916</v>
      </c>
      <c r="C315" t="s">
        <v>2917</v>
      </c>
      <c r="D315" t="s">
        <v>2916</v>
      </c>
      <c r="E315" t="s">
        <v>2910</v>
      </c>
      <c r="F315" t="s">
        <v>2918</v>
      </c>
      <c r="H315" t="s">
        <v>2919</v>
      </c>
      <c r="I315" t="s">
        <v>2920</v>
      </c>
      <c r="J315" t="s">
        <v>8</v>
      </c>
      <c r="K315" t="s">
        <v>3</v>
      </c>
      <c r="L315" t="s">
        <v>3</v>
      </c>
      <c r="M315" t="s">
        <v>373</v>
      </c>
      <c r="N315" t="s">
        <v>3</v>
      </c>
      <c r="O315" t="s">
        <v>3</v>
      </c>
      <c r="P315" t="s">
        <v>3</v>
      </c>
      <c r="Q315" t="s">
        <v>3</v>
      </c>
      <c r="R315" t="s">
        <v>373</v>
      </c>
      <c r="S315" t="s">
        <v>8</v>
      </c>
      <c r="T315" t="s">
        <v>2915</v>
      </c>
      <c r="U315" t="s">
        <v>3</v>
      </c>
      <c r="V315" t="s">
        <v>3</v>
      </c>
      <c r="W315" t="s">
        <v>2443</v>
      </c>
      <c r="AA315" t="s">
        <v>3</v>
      </c>
      <c r="AB315" t="s">
        <v>8</v>
      </c>
      <c r="AC315" t="s">
        <v>3</v>
      </c>
      <c r="AD315" t="s">
        <v>8</v>
      </c>
      <c r="AE315" t="s">
        <v>102</v>
      </c>
      <c r="AF315" t="s">
        <v>2921</v>
      </c>
    </row>
    <row r="316" spans="1:32" x14ac:dyDescent="0.45">
      <c r="A316" t="s">
        <v>2922</v>
      </c>
      <c r="B316" t="s">
        <v>2923</v>
      </c>
      <c r="C316" t="s">
        <v>2924</v>
      </c>
      <c r="D316" t="s">
        <v>2925</v>
      </c>
      <c r="E316" t="s">
        <v>2910</v>
      </c>
      <c r="F316" t="s">
        <v>2926</v>
      </c>
      <c r="H316" t="s">
        <v>2912</v>
      </c>
      <c r="I316" t="s">
        <v>2927</v>
      </c>
      <c r="J316" t="s">
        <v>8</v>
      </c>
      <c r="K316" t="s">
        <v>3</v>
      </c>
      <c r="L316" t="s">
        <v>3</v>
      </c>
      <c r="M316" t="s">
        <v>373</v>
      </c>
      <c r="N316" t="s">
        <v>3</v>
      </c>
      <c r="O316" t="s">
        <v>3</v>
      </c>
      <c r="P316" t="s">
        <v>3</v>
      </c>
      <c r="Q316" t="s">
        <v>8</v>
      </c>
      <c r="R316" t="s">
        <v>373</v>
      </c>
      <c r="S316" t="s">
        <v>8</v>
      </c>
      <c r="T316" t="s">
        <v>2922</v>
      </c>
      <c r="U316" t="s">
        <v>3</v>
      </c>
      <c r="V316" t="s">
        <v>3</v>
      </c>
      <c r="W316" t="s">
        <v>2928</v>
      </c>
      <c r="AA316" t="s">
        <v>3</v>
      </c>
      <c r="AB316" t="s">
        <v>8</v>
      </c>
      <c r="AC316" t="s">
        <v>3</v>
      </c>
      <c r="AD316" t="s">
        <v>8</v>
      </c>
      <c r="AE316" t="s">
        <v>67</v>
      </c>
      <c r="AF316" t="s">
        <v>2929</v>
      </c>
    </row>
    <row r="317" spans="1:32" x14ac:dyDescent="0.45">
      <c r="A317" t="s">
        <v>2930</v>
      </c>
      <c r="B317" t="s">
        <v>2931</v>
      </c>
      <c r="C317" t="s">
        <v>2932</v>
      </c>
      <c r="D317" t="s">
        <v>30</v>
      </c>
      <c r="E317" t="s">
        <v>2910</v>
      </c>
      <c r="F317" t="s">
        <v>2911</v>
      </c>
      <c r="H317" t="s">
        <v>2912</v>
      </c>
      <c r="I317" t="s">
        <v>2913</v>
      </c>
      <c r="J317" t="s">
        <v>8</v>
      </c>
      <c r="K317" t="s">
        <v>3</v>
      </c>
      <c r="L317" t="s">
        <v>3</v>
      </c>
      <c r="M317" t="s">
        <v>373</v>
      </c>
      <c r="N317" t="s">
        <v>3</v>
      </c>
      <c r="O317" t="s">
        <v>3</v>
      </c>
      <c r="P317" t="s">
        <v>3</v>
      </c>
      <c r="Q317" t="s">
        <v>8</v>
      </c>
      <c r="R317" t="s">
        <v>373</v>
      </c>
      <c r="S317" t="s">
        <v>8</v>
      </c>
      <c r="T317" t="s">
        <v>2930</v>
      </c>
      <c r="U317" t="s">
        <v>3</v>
      </c>
      <c r="V317" t="s">
        <v>3</v>
      </c>
      <c r="W317" t="s">
        <v>2443</v>
      </c>
      <c r="AA317" t="s">
        <v>3</v>
      </c>
      <c r="AB317" t="s">
        <v>8</v>
      </c>
      <c r="AC317" t="s">
        <v>3</v>
      </c>
      <c r="AD317" t="s">
        <v>8</v>
      </c>
      <c r="AE317" t="s">
        <v>67</v>
      </c>
      <c r="AF317" t="s">
        <v>2933</v>
      </c>
    </row>
    <row r="318" spans="1:32" x14ac:dyDescent="0.45">
      <c r="A318" t="s">
        <v>2934</v>
      </c>
      <c r="B318" t="s">
        <v>2033</v>
      </c>
      <c r="C318" t="s">
        <v>2935</v>
      </c>
      <c r="D318" t="s">
        <v>2936</v>
      </c>
      <c r="E318" t="s">
        <v>2910</v>
      </c>
      <c r="F318" t="s">
        <v>2918</v>
      </c>
      <c r="H318" t="s">
        <v>2912</v>
      </c>
      <c r="I318" t="s">
        <v>2913</v>
      </c>
      <c r="J318" t="s">
        <v>8</v>
      </c>
      <c r="K318" t="s">
        <v>3</v>
      </c>
      <c r="L318" t="s">
        <v>3</v>
      </c>
      <c r="M318" t="s">
        <v>373</v>
      </c>
      <c r="N318" t="s">
        <v>3</v>
      </c>
      <c r="O318" t="s">
        <v>3</v>
      </c>
      <c r="P318" t="s">
        <v>3</v>
      </c>
      <c r="Q318" t="s">
        <v>8</v>
      </c>
      <c r="R318" t="s">
        <v>373</v>
      </c>
      <c r="S318" t="s">
        <v>8</v>
      </c>
      <c r="T318" t="s">
        <v>2934</v>
      </c>
      <c r="U318" t="s">
        <v>3</v>
      </c>
      <c r="V318" t="s">
        <v>3</v>
      </c>
      <c r="W318" t="s">
        <v>873</v>
      </c>
      <c r="AA318" t="s">
        <v>3</v>
      </c>
      <c r="AB318" t="s">
        <v>8</v>
      </c>
      <c r="AC318" t="s">
        <v>3</v>
      </c>
      <c r="AD318" t="s">
        <v>8</v>
      </c>
      <c r="AE318" t="s">
        <v>97</v>
      </c>
      <c r="AF318" t="s">
        <v>2937</v>
      </c>
    </row>
    <row r="319" spans="1:32" x14ac:dyDescent="0.45">
      <c r="A319" t="s">
        <v>2938</v>
      </c>
      <c r="B319" t="s">
        <v>2939</v>
      </c>
      <c r="C319" t="s">
        <v>2940</v>
      </c>
      <c r="D319" t="s">
        <v>2941</v>
      </c>
      <c r="E319" t="s">
        <v>2910</v>
      </c>
      <c r="F319" t="s">
        <v>2918</v>
      </c>
      <c r="H319" t="s">
        <v>2912</v>
      </c>
      <c r="I319" t="s">
        <v>2927</v>
      </c>
      <c r="J319" t="s">
        <v>8</v>
      </c>
      <c r="K319" t="s">
        <v>3</v>
      </c>
      <c r="L319" t="s">
        <v>3</v>
      </c>
      <c r="M319" t="s">
        <v>373</v>
      </c>
      <c r="N319" t="s">
        <v>3</v>
      </c>
      <c r="O319" t="s">
        <v>3</v>
      </c>
      <c r="P319" t="s">
        <v>3</v>
      </c>
      <c r="Q319" t="s">
        <v>67</v>
      </c>
      <c r="R319" t="s">
        <v>373</v>
      </c>
      <c r="S319" t="s">
        <v>8</v>
      </c>
      <c r="T319" t="s">
        <v>2938</v>
      </c>
      <c r="U319" t="s">
        <v>3</v>
      </c>
      <c r="V319" t="s">
        <v>3</v>
      </c>
      <c r="W319" t="s">
        <v>2928</v>
      </c>
      <c r="AA319" t="s">
        <v>3</v>
      </c>
      <c r="AB319" t="s">
        <v>8</v>
      </c>
      <c r="AC319" t="s">
        <v>3</v>
      </c>
      <c r="AD319" t="s">
        <v>8</v>
      </c>
      <c r="AE319" t="s">
        <v>67</v>
      </c>
      <c r="AF319" t="s">
        <v>2942</v>
      </c>
    </row>
    <row r="320" spans="1:32" x14ac:dyDescent="0.45">
      <c r="A320" t="s">
        <v>2943</v>
      </c>
      <c r="B320" t="s">
        <v>2944</v>
      </c>
      <c r="C320" t="s">
        <v>2945</v>
      </c>
      <c r="D320" t="s">
        <v>2946</v>
      </c>
      <c r="E320" t="s">
        <v>2910</v>
      </c>
      <c r="F320" t="s">
        <v>2918</v>
      </c>
      <c r="H320" t="s">
        <v>2912</v>
      </c>
      <c r="I320" t="s">
        <v>2927</v>
      </c>
      <c r="J320" t="s">
        <v>8</v>
      </c>
      <c r="K320" t="s">
        <v>3</v>
      </c>
      <c r="L320" t="s">
        <v>3</v>
      </c>
      <c r="M320" t="s">
        <v>373</v>
      </c>
      <c r="N320" t="s">
        <v>3</v>
      </c>
      <c r="O320" t="s">
        <v>3</v>
      </c>
      <c r="P320" t="s">
        <v>3</v>
      </c>
      <c r="Q320" t="s">
        <v>8</v>
      </c>
      <c r="R320" t="s">
        <v>373</v>
      </c>
      <c r="S320" t="s">
        <v>8</v>
      </c>
      <c r="T320" t="s">
        <v>2943</v>
      </c>
      <c r="U320" t="s">
        <v>3</v>
      </c>
      <c r="V320" t="s">
        <v>3</v>
      </c>
      <c r="W320" t="s">
        <v>2928</v>
      </c>
      <c r="AA320" t="s">
        <v>3</v>
      </c>
      <c r="AB320" t="s">
        <v>8</v>
      </c>
      <c r="AC320" t="s">
        <v>3</v>
      </c>
      <c r="AD320" t="s">
        <v>8</v>
      </c>
      <c r="AE320" t="s">
        <v>67</v>
      </c>
      <c r="AF320" t="s">
        <v>2947</v>
      </c>
    </row>
    <row r="321" spans="1:32" x14ac:dyDescent="0.45">
      <c r="A321" t="s">
        <v>2948</v>
      </c>
      <c r="B321" t="s">
        <v>2949</v>
      </c>
      <c r="C321" t="s">
        <v>2950</v>
      </c>
      <c r="D321" t="s">
        <v>2951</v>
      </c>
      <c r="E321" t="s">
        <v>2910</v>
      </c>
      <c r="F321" t="s">
        <v>2926</v>
      </c>
      <c r="H321" t="s">
        <v>2912</v>
      </c>
      <c r="I321" t="s">
        <v>2927</v>
      </c>
      <c r="J321" t="s">
        <v>8</v>
      </c>
      <c r="K321" t="s">
        <v>3</v>
      </c>
      <c r="L321" t="s">
        <v>3</v>
      </c>
      <c r="M321" t="s">
        <v>373</v>
      </c>
      <c r="N321" t="s">
        <v>3</v>
      </c>
      <c r="O321" t="s">
        <v>3</v>
      </c>
      <c r="P321" t="s">
        <v>3</v>
      </c>
      <c r="Q321" t="s">
        <v>8</v>
      </c>
      <c r="R321" t="s">
        <v>373</v>
      </c>
      <c r="S321" t="s">
        <v>8</v>
      </c>
      <c r="T321" t="s">
        <v>2948</v>
      </c>
      <c r="U321" t="s">
        <v>3</v>
      </c>
      <c r="V321" t="s">
        <v>3</v>
      </c>
      <c r="W321" t="s">
        <v>2928</v>
      </c>
      <c r="AA321" t="s">
        <v>3</v>
      </c>
      <c r="AB321" t="s">
        <v>8</v>
      </c>
      <c r="AC321" t="s">
        <v>3</v>
      </c>
      <c r="AD321" t="s">
        <v>8</v>
      </c>
      <c r="AE321" t="s">
        <v>67</v>
      </c>
      <c r="AF321" t="s">
        <v>2952</v>
      </c>
    </row>
    <row r="322" spans="1:32" x14ac:dyDescent="0.45">
      <c r="A322" t="s">
        <v>2953</v>
      </c>
      <c r="B322" t="s">
        <v>2954</v>
      </c>
      <c r="C322" t="s">
        <v>2955</v>
      </c>
      <c r="D322" t="s">
        <v>2954</v>
      </c>
      <c r="E322" t="s">
        <v>1532</v>
      </c>
      <c r="F322" t="s">
        <v>2956</v>
      </c>
      <c r="H322" t="s">
        <v>2957</v>
      </c>
      <c r="I322" t="s">
        <v>2958</v>
      </c>
      <c r="J322" t="s">
        <v>8</v>
      </c>
      <c r="K322" t="s">
        <v>3</v>
      </c>
      <c r="L322" t="s">
        <v>3</v>
      </c>
      <c r="M322" t="s">
        <v>373</v>
      </c>
      <c r="N322" t="s">
        <v>3</v>
      </c>
      <c r="O322" t="s">
        <v>3</v>
      </c>
      <c r="P322" t="s">
        <v>3</v>
      </c>
      <c r="Q322" t="s">
        <v>8</v>
      </c>
      <c r="R322" t="s">
        <v>373</v>
      </c>
      <c r="S322" t="s">
        <v>8</v>
      </c>
      <c r="T322" t="s">
        <v>2953</v>
      </c>
      <c r="U322" t="s">
        <v>3</v>
      </c>
      <c r="V322" t="s">
        <v>3</v>
      </c>
      <c r="W322" t="s">
        <v>2928</v>
      </c>
      <c r="AA322" t="s">
        <v>3</v>
      </c>
      <c r="AB322" t="s">
        <v>8</v>
      </c>
      <c r="AC322" t="s">
        <v>3</v>
      </c>
      <c r="AD322" t="s">
        <v>8</v>
      </c>
      <c r="AE322" t="s">
        <v>67</v>
      </c>
      <c r="AF322" t="s">
        <v>2959</v>
      </c>
    </row>
    <row r="323" spans="1:32" x14ac:dyDescent="0.45">
      <c r="A323" t="s">
        <v>2960</v>
      </c>
      <c r="B323" t="s">
        <v>2961</v>
      </c>
      <c r="C323" t="s">
        <v>2962</v>
      </c>
      <c r="D323" t="s">
        <v>2963</v>
      </c>
      <c r="E323" t="s">
        <v>2910</v>
      </c>
      <c r="F323" t="s">
        <v>2918</v>
      </c>
      <c r="H323" t="s">
        <v>2912</v>
      </c>
      <c r="I323" t="s">
        <v>2927</v>
      </c>
      <c r="J323" t="s">
        <v>8</v>
      </c>
      <c r="K323" t="s">
        <v>3</v>
      </c>
      <c r="L323" t="s">
        <v>3</v>
      </c>
      <c r="M323" t="s">
        <v>373</v>
      </c>
      <c r="N323" t="s">
        <v>3</v>
      </c>
      <c r="O323" t="s">
        <v>3</v>
      </c>
      <c r="P323" t="s">
        <v>3</v>
      </c>
      <c r="Q323" t="s">
        <v>8</v>
      </c>
      <c r="R323" t="s">
        <v>373</v>
      </c>
      <c r="S323" t="s">
        <v>8</v>
      </c>
      <c r="T323" t="s">
        <v>2960</v>
      </c>
      <c r="U323" t="s">
        <v>3</v>
      </c>
      <c r="V323" t="s">
        <v>3</v>
      </c>
      <c r="W323" t="s">
        <v>2928</v>
      </c>
      <c r="AA323" t="s">
        <v>3</v>
      </c>
      <c r="AB323" t="s">
        <v>8</v>
      </c>
      <c r="AC323" t="s">
        <v>3</v>
      </c>
      <c r="AD323" t="s">
        <v>8</v>
      </c>
      <c r="AE323" t="s">
        <v>69</v>
      </c>
      <c r="AF323" t="s">
        <v>2964</v>
      </c>
    </row>
    <row r="324" spans="1:32" x14ac:dyDescent="0.45">
      <c r="A324" t="s">
        <v>2965</v>
      </c>
      <c r="B324" t="s">
        <v>2966</v>
      </c>
      <c r="C324" t="s">
        <v>2967</v>
      </c>
      <c r="D324" t="s">
        <v>2966</v>
      </c>
      <c r="E324" t="s">
        <v>2910</v>
      </c>
      <c r="F324" t="s">
        <v>2918</v>
      </c>
      <c r="H324" t="s">
        <v>2919</v>
      </c>
      <c r="I324" t="s">
        <v>2920</v>
      </c>
      <c r="J324" t="s">
        <v>8</v>
      </c>
      <c r="K324" t="s">
        <v>3</v>
      </c>
      <c r="L324" t="s">
        <v>3</v>
      </c>
      <c r="M324" t="s">
        <v>373</v>
      </c>
      <c r="N324" t="s">
        <v>3</v>
      </c>
      <c r="O324" t="s">
        <v>3</v>
      </c>
      <c r="P324" t="s">
        <v>3</v>
      </c>
      <c r="Q324" t="s">
        <v>3</v>
      </c>
      <c r="R324" t="s">
        <v>373</v>
      </c>
      <c r="S324" t="s">
        <v>8</v>
      </c>
      <c r="T324" t="s">
        <v>2965</v>
      </c>
      <c r="U324" t="s">
        <v>3</v>
      </c>
      <c r="V324" t="s">
        <v>3</v>
      </c>
      <c r="W324" t="s">
        <v>2443</v>
      </c>
      <c r="AA324" t="s">
        <v>3</v>
      </c>
      <c r="AB324" t="s">
        <v>3</v>
      </c>
      <c r="AC324" t="s">
        <v>3</v>
      </c>
      <c r="AD324" t="s">
        <v>8</v>
      </c>
      <c r="AE324" t="s">
        <v>67</v>
      </c>
      <c r="AF324" t="s">
        <v>2968</v>
      </c>
    </row>
    <row r="325" spans="1:32" x14ac:dyDescent="0.45">
      <c r="A325" t="s">
        <v>2969</v>
      </c>
      <c r="B325" t="s">
        <v>2970</v>
      </c>
      <c r="C325" t="s">
        <v>2971</v>
      </c>
      <c r="D325" t="s">
        <v>2970</v>
      </c>
      <c r="E325" t="s">
        <v>2972</v>
      </c>
      <c r="F325" t="s">
        <v>2973</v>
      </c>
      <c r="H325" t="s">
        <v>2974</v>
      </c>
      <c r="I325" t="s">
        <v>2975</v>
      </c>
      <c r="J325" t="s">
        <v>8</v>
      </c>
      <c r="K325" t="s">
        <v>3</v>
      </c>
      <c r="L325" t="s">
        <v>3</v>
      </c>
      <c r="M325" t="s">
        <v>373</v>
      </c>
      <c r="N325" t="s">
        <v>3</v>
      </c>
      <c r="O325" t="s">
        <v>3</v>
      </c>
      <c r="P325" t="s">
        <v>3</v>
      </c>
      <c r="Q325" t="s">
        <v>8</v>
      </c>
      <c r="R325" t="s">
        <v>373</v>
      </c>
      <c r="S325" t="s">
        <v>8</v>
      </c>
      <c r="T325" t="s">
        <v>2969</v>
      </c>
      <c r="U325" t="s">
        <v>3</v>
      </c>
      <c r="V325" t="s">
        <v>3</v>
      </c>
      <c r="W325" t="s">
        <v>636</v>
      </c>
      <c r="AA325" t="s">
        <v>3</v>
      </c>
      <c r="AB325" t="s">
        <v>8</v>
      </c>
      <c r="AC325" t="s">
        <v>3</v>
      </c>
      <c r="AD325" t="s">
        <v>8</v>
      </c>
      <c r="AE325" t="s">
        <v>105</v>
      </c>
      <c r="AF325" t="s">
        <v>2976</v>
      </c>
    </row>
    <row r="326" spans="1:32" x14ac:dyDescent="0.45">
      <c r="A326" t="s">
        <v>2977</v>
      </c>
      <c r="B326" t="s">
        <v>2970</v>
      </c>
      <c r="C326" t="s">
        <v>2971</v>
      </c>
      <c r="D326" t="s">
        <v>2970</v>
      </c>
      <c r="E326" t="s">
        <v>2972</v>
      </c>
      <c r="F326" t="s">
        <v>2973</v>
      </c>
      <c r="H326" t="s">
        <v>2974</v>
      </c>
      <c r="I326" t="s">
        <v>2975</v>
      </c>
      <c r="J326" t="s">
        <v>8</v>
      </c>
      <c r="K326" t="s">
        <v>3</v>
      </c>
      <c r="L326" t="s">
        <v>3</v>
      </c>
      <c r="M326" t="s">
        <v>373</v>
      </c>
      <c r="N326" t="s">
        <v>3</v>
      </c>
      <c r="O326" t="s">
        <v>3</v>
      </c>
      <c r="P326" t="s">
        <v>3</v>
      </c>
      <c r="Q326" t="s">
        <v>8</v>
      </c>
      <c r="R326" t="s">
        <v>373</v>
      </c>
      <c r="S326" t="s">
        <v>8</v>
      </c>
      <c r="T326" t="s">
        <v>2977</v>
      </c>
      <c r="U326" t="s">
        <v>3</v>
      </c>
      <c r="V326" t="s">
        <v>3</v>
      </c>
      <c r="W326" t="s">
        <v>636</v>
      </c>
      <c r="AA326" t="s">
        <v>3</v>
      </c>
      <c r="AB326" t="s">
        <v>8</v>
      </c>
      <c r="AC326" t="s">
        <v>3</v>
      </c>
      <c r="AD326" t="s">
        <v>8</v>
      </c>
      <c r="AE326" t="s">
        <v>8</v>
      </c>
      <c r="AF326" t="s">
        <v>2978</v>
      </c>
    </row>
    <row r="327" spans="1:32" x14ac:dyDescent="0.45">
      <c r="A327" t="s">
        <v>2979</v>
      </c>
      <c r="B327" t="s">
        <v>2980</v>
      </c>
      <c r="C327" t="s">
        <v>2981</v>
      </c>
      <c r="D327" t="s">
        <v>2980</v>
      </c>
      <c r="F327" t="s">
        <v>2982</v>
      </c>
      <c r="H327" t="s">
        <v>2983</v>
      </c>
      <c r="I327" t="s">
        <v>2984</v>
      </c>
      <c r="J327" t="s">
        <v>8</v>
      </c>
      <c r="K327" t="s">
        <v>3</v>
      </c>
      <c r="L327" t="s">
        <v>3</v>
      </c>
      <c r="M327" t="s">
        <v>373</v>
      </c>
      <c r="N327" t="s">
        <v>3</v>
      </c>
      <c r="O327" t="s">
        <v>3</v>
      </c>
      <c r="P327" t="s">
        <v>3</v>
      </c>
      <c r="Q327" t="s">
        <v>8</v>
      </c>
      <c r="R327" t="s">
        <v>373</v>
      </c>
      <c r="S327" t="s">
        <v>8</v>
      </c>
      <c r="T327" t="s">
        <v>2979</v>
      </c>
      <c r="U327" t="s">
        <v>3</v>
      </c>
      <c r="V327" t="s">
        <v>3</v>
      </c>
      <c r="W327" t="s">
        <v>2985</v>
      </c>
      <c r="AA327" t="s">
        <v>3</v>
      </c>
      <c r="AB327" t="s">
        <v>8</v>
      </c>
      <c r="AC327" t="s">
        <v>3</v>
      </c>
      <c r="AD327" t="s">
        <v>8</v>
      </c>
      <c r="AE327" t="s">
        <v>102</v>
      </c>
      <c r="AF327" t="s">
        <v>2986</v>
      </c>
    </row>
    <row r="328" spans="1:32" x14ac:dyDescent="0.45">
      <c r="A328" t="s">
        <v>2987</v>
      </c>
      <c r="B328" t="s">
        <v>2980</v>
      </c>
      <c r="C328" t="s">
        <v>2981</v>
      </c>
      <c r="D328" t="s">
        <v>2980</v>
      </c>
      <c r="F328" t="s">
        <v>2982</v>
      </c>
      <c r="J328" t="s">
        <v>8</v>
      </c>
      <c r="K328" t="s">
        <v>3</v>
      </c>
      <c r="L328" t="s">
        <v>3</v>
      </c>
      <c r="M328" t="s">
        <v>373</v>
      </c>
      <c r="N328" t="s">
        <v>3</v>
      </c>
      <c r="O328" t="s">
        <v>3</v>
      </c>
      <c r="P328" t="s">
        <v>3</v>
      </c>
      <c r="Q328" t="s">
        <v>8</v>
      </c>
      <c r="R328" t="s">
        <v>373</v>
      </c>
      <c r="S328" t="s">
        <v>8</v>
      </c>
      <c r="T328" t="s">
        <v>2987</v>
      </c>
      <c r="U328" t="s">
        <v>3</v>
      </c>
      <c r="V328" t="s">
        <v>3</v>
      </c>
      <c r="W328" t="s">
        <v>3</v>
      </c>
      <c r="AA328" t="s">
        <v>3</v>
      </c>
      <c r="AB328" t="s">
        <v>8</v>
      </c>
      <c r="AC328" t="s">
        <v>3</v>
      </c>
      <c r="AD328" t="s">
        <v>8</v>
      </c>
      <c r="AE328" t="s">
        <v>97</v>
      </c>
      <c r="AF328" t="s">
        <v>2988</v>
      </c>
    </row>
    <row r="329" spans="1:32" x14ac:dyDescent="0.45">
      <c r="A329" t="s">
        <v>2989</v>
      </c>
      <c r="B329" t="s">
        <v>2990</v>
      </c>
      <c r="C329" t="s">
        <v>2991</v>
      </c>
      <c r="D329" t="s">
        <v>2992</v>
      </c>
      <c r="E329" t="s">
        <v>2993</v>
      </c>
      <c r="F329" t="s">
        <v>2994</v>
      </c>
      <c r="H329" t="s">
        <v>2995</v>
      </c>
      <c r="I329" t="s">
        <v>2996</v>
      </c>
      <c r="J329" t="s">
        <v>8</v>
      </c>
      <c r="K329" t="s">
        <v>3</v>
      </c>
      <c r="L329" t="s">
        <v>3</v>
      </c>
      <c r="M329" t="s">
        <v>373</v>
      </c>
      <c r="N329" t="s">
        <v>3</v>
      </c>
      <c r="O329" t="s">
        <v>3</v>
      </c>
      <c r="P329" t="s">
        <v>3</v>
      </c>
      <c r="Q329" t="s">
        <v>8</v>
      </c>
      <c r="R329" t="s">
        <v>373</v>
      </c>
      <c r="S329" t="s">
        <v>8</v>
      </c>
      <c r="T329" t="s">
        <v>2989</v>
      </c>
      <c r="U329" t="s">
        <v>3</v>
      </c>
      <c r="V329" t="s">
        <v>3</v>
      </c>
      <c r="W329" t="s">
        <v>531</v>
      </c>
      <c r="AA329" t="s">
        <v>3</v>
      </c>
      <c r="AB329" t="s">
        <v>8</v>
      </c>
      <c r="AC329" t="s">
        <v>3</v>
      </c>
      <c r="AD329" t="s">
        <v>8</v>
      </c>
      <c r="AE329" t="s">
        <v>102</v>
      </c>
      <c r="AF329" t="s">
        <v>2997</v>
      </c>
    </row>
    <row r="330" spans="1:32" x14ac:dyDescent="0.45">
      <c r="A330" t="s">
        <v>2998</v>
      </c>
      <c r="B330" t="s">
        <v>2999</v>
      </c>
      <c r="C330" t="s">
        <v>3000</v>
      </c>
      <c r="D330" t="s">
        <v>3001</v>
      </c>
      <c r="E330" t="s">
        <v>3002</v>
      </c>
      <c r="F330" t="s">
        <v>2994</v>
      </c>
      <c r="H330" t="s">
        <v>3002</v>
      </c>
      <c r="I330" t="s">
        <v>3003</v>
      </c>
      <c r="J330" t="s">
        <v>8</v>
      </c>
      <c r="K330" t="s">
        <v>3</v>
      </c>
      <c r="L330" t="s">
        <v>3</v>
      </c>
      <c r="M330" t="s">
        <v>373</v>
      </c>
      <c r="N330" t="s">
        <v>3</v>
      </c>
      <c r="O330" t="s">
        <v>3</v>
      </c>
      <c r="P330" t="s">
        <v>3</v>
      </c>
      <c r="Q330" t="s">
        <v>8</v>
      </c>
      <c r="R330" t="s">
        <v>373</v>
      </c>
      <c r="S330" t="s">
        <v>8</v>
      </c>
      <c r="T330" t="s">
        <v>2998</v>
      </c>
      <c r="U330" t="s">
        <v>3</v>
      </c>
      <c r="V330" t="s">
        <v>3</v>
      </c>
      <c r="W330" t="s">
        <v>531</v>
      </c>
      <c r="AA330" t="s">
        <v>3</v>
      </c>
      <c r="AB330" t="s">
        <v>8</v>
      </c>
      <c r="AC330" t="s">
        <v>3</v>
      </c>
      <c r="AD330" t="s">
        <v>8</v>
      </c>
      <c r="AE330" t="s">
        <v>97</v>
      </c>
      <c r="AF330" t="s">
        <v>3004</v>
      </c>
    </row>
    <row r="331" spans="1:32" x14ac:dyDescent="0.45">
      <c r="A331" t="s">
        <v>3005</v>
      </c>
      <c r="B331" t="s">
        <v>3006</v>
      </c>
      <c r="C331" t="s">
        <v>3007</v>
      </c>
      <c r="D331" t="s">
        <v>3008</v>
      </c>
      <c r="E331" t="s">
        <v>3009</v>
      </c>
      <c r="F331" t="s">
        <v>3010</v>
      </c>
      <c r="H331" t="s">
        <v>3011</v>
      </c>
      <c r="I331" t="s">
        <v>3012</v>
      </c>
      <c r="J331" t="s">
        <v>8</v>
      </c>
      <c r="K331" t="s">
        <v>3</v>
      </c>
      <c r="L331" t="s">
        <v>3</v>
      </c>
      <c r="M331" t="s">
        <v>373</v>
      </c>
      <c r="N331" t="s">
        <v>3</v>
      </c>
      <c r="O331" t="s">
        <v>3</v>
      </c>
      <c r="P331" t="s">
        <v>3</v>
      </c>
      <c r="Q331" t="s">
        <v>8</v>
      </c>
      <c r="R331" t="s">
        <v>373</v>
      </c>
      <c r="S331" t="s">
        <v>8</v>
      </c>
      <c r="T331" t="s">
        <v>3005</v>
      </c>
      <c r="U331" t="s">
        <v>3</v>
      </c>
      <c r="V331" t="s">
        <v>3</v>
      </c>
      <c r="W331" t="s">
        <v>923</v>
      </c>
      <c r="Z331" t="s">
        <v>1552</v>
      </c>
      <c r="AA331" t="s">
        <v>3</v>
      </c>
      <c r="AB331" t="s">
        <v>8</v>
      </c>
      <c r="AC331" t="s">
        <v>3</v>
      </c>
      <c r="AD331" t="s">
        <v>8</v>
      </c>
      <c r="AE331" t="s">
        <v>67</v>
      </c>
      <c r="AF331" t="s">
        <v>3013</v>
      </c>
    </row>
    <row r="332" spans="1:32" x14ac:dyDescent="0.45">
      <c r="A332" t="s">
        <v>3014</v>
      </c>
      <c r="B332" t="s">
        <v>3015</v>
      </c>
      <c r="C332" t="s">
        <v>3016</v>
      </c>
      <c r="D332" t="s">
        <v>3017</v>
      </c>
      <c r="E332" t="s">
        <v>3018</v>
      </c>
      <c r="F332" t="s">
        <v>3019</v>
      </c>
      <c r="H332" t="s">
        <v>3020</v>
      </c>
      <c r="I332" t="s">
        <v>3021</v>
      </c>
      <c r="J332" t="s">
        <v>8</v>
      </c>
      <c r="K332" t="s">
        <v>3</v>
      </c>
      <c r="L332" t="s">
        <v>3</v>
      </c>
      <c r="M332" t="s">
        <v>373</v>
      </c>
      <c r="N332" t="s">
        <v>3</v>
      </c>
      <c r="O332" t="s">
        <v>3</v>
      </c>
      <c r="P332" t="s">
        <v>3</v>
      </c>
      <c r="Q332" t="s">
        <v>8</v>
      </c>
      <c r="R332" t="s">
        <v>373</v>
      </c>
      <c r="S332" t="s">
        <v>8</v>
      </c>
      <c r="T332" t="s">
        <v>3014</v>
      </c>
      <c r="U332" t="s">
        <v>3</v>
      </c>
      <c r="V332" t="s">
        <v>3</v>
      </c>
      <c r="W332" t="s">
        <v>249</v>
      </c>
      <c r="Z332" t="s">
        <v>1552</v>
      </c>
      <c r="AA332" t="s">
        <v>8</v>
      </c>
      <c r="AB332" t="s">
        <v>8</v>
      </c>
      <c r="AC332" t="s">
        <v>3</v>
      </c>
      <c r="AD332" t="s">
        <v>8</v>
      </c>
      <c r="AE332" t="s">
        <v>67</v>
      </c>
      <c r="AF332" t="s">
        <v>3022</v>
      </c>
    </row>
    <row r="333" spans="1:32" x14ac:dyDescent="0.45">
      <c r="A333" t="s">
        <v>3023</v>
      </c>
      <c r="B333" t="s">
        <v>3024</v>
      </c>
      <c r="C333" t="s">
        <v>3025</v>
      </c>
      <c r="D333" t="s">
        <v>3024</v>
      </c>
      <c r="E333" t="s">
        <v>3018</v>
      </c>
      <c r="F333" t="s">
        <v>3019</v>
      </c>
      <c r="H333" t="s">
        <v>3020</v>
      </c>
      <c r="I333" t="s">
        <v>3021</v>
      </c>
      <c r="J333" t="s">
        <v>8</v>
      </c>
      <c r="K333" t="s">
        <v>3</v>
      </c>
      <c r="L333" t="s">
        <v>3</v>
      </c>
      <c r="M333" t="s">
        <v>373</v>
      </c>
      <c r="N333" t="s">
        <v>3</v>
      </c>
      <c r="O333" t="s">
        <v>3</v>
      </c>
      <c r="P333" t="s">
        <v>3</v>
      </c>
      <c r="Q333" t="s">
        <v>8</v>
      </c>
      <c r="R333" t="s">
        <v>373</v>
      </c>
      <c r="S333" t="s">
        <v>8</v>
      </c>
      <c r="T333" t="s">
        <v>3014</v>
      </c>
      <c r="U333" t="s">
        <v>3</v>
      </c>
      <c r="V333" t="s">
        <v>3</v>
      </c>
      <c r="W333" t="s">
        <v>249</v>
      </c>
      <c r="Z333" t="s">
        <v>1552</v>
      </c>
      <c r="AA333" t="s">
        <v>8</v>
      </c>
      <c r="AB333" t="s">
        <v>8</v>
      </c>
      <c r="AC333" t="s">
        <v>3</v>
      </c>
      <c r="AD333" t="s">
        <v>8</v>
      </c>
      <c r="AE333" t="s">
        <v>67</v>
      </c>
      <c r="AF333" t="s">
        <v>3026</v>
      </c>
    </row>
    <row r="334" spans="1:32" x14ac:dyDescent="0.45">
      <c r="A334" t="s">
        <v>3027</v>
      </c>
      <c r="B334" t="s">
        <v>3015</v>
      </c>
      <c r="C334" t="s">
        <v>3028</v>
      </c>
      <c r="D334" t="s">
        <v>3017</v>
      </c>
      <c r="E334" t="s">
        <v>3018</v>
      </c>
      <c r="F334" t="s">
        <v>3019</v>
      </c>
      <c r="H334" t="s">
        <v>3020</v>
      </c>
      <c r="I334" t="s">
        <v>3021</v>
      </c>
      <c r="J334" t="s">
        <v>8</v>
      </c>
      <c r="K334" t="s">
        <v>3</v>
      </c>
      <c r="L334" t="s">
        <v>3</v>
      </c>
      <c r="M334" t="s">
        <v>373</v>
      </c>
      <c r="N334" t="s">
        <v>3</v>
      </c>
      <c r="O334" t="s">
        <v>3</v>
      </c>
      <c r="P334" t="s">
        <v>3</v>
      </c>
      <c r="Q334" t="s">
        <v>8</v>
      </c>
      <c r="R334" t="s">
        <v>373</v>
      </c>
      <c r="S334" t="s">
        <v>8</v>
      </c>
      <c r="T334" t="s">
        <v>3027</v>
      </c>
      <c r="U334" t="s">
        <v>3</v>
      </c>
      <c r="V334" t="s">
        <v>3</v>
      </c>
      <c r="W334" t="s">
        <v>249</v>
      </c>
      <c r="Z334" t="s">
        <v>1552</v>
      </c>
      <c r="AA334" t="s">
        <v>8</v>
      </c>
      <c r="AB334" t="s">
        <v>8</v>
      </c>
      <c r="AC334" t="s">
        <v>3</v>
      </c>
      <c r="AD334" t="s">
        <v>8</v>
      </c>
      <c r="AE334" t="s">
        <v>67</v>
      </c>
      <c r="AF334" t="s">
        <v>3029</v>
      </c>
    </row>
    <row r="335" spans="1:32" x14ac:dyDescent="0.45">
      <c r="A335" t="s">
        <v>3030</v>
      </c>
      <c r="B335" t="s">
        <v>3015</v>
      </c>
      <c r="C335" t="s">
        <v>3031</v>
      </c>
      <c r="D335" t="s">
        <v>3032</v>
      </c>
      <c r="E335" t="s">
        <v>3018</v>
      </c>
      <c r="F335" t="s">
        <v>3019</v>
      </c>
      <c r="H335" t="s">
        <v>3020</v>
      </c>
      <c r="I335" t="s">
        <v>3021</v>
      </c>
      <c r="J335" t="s">
        <v>8</v>
      </c>
      <c r="K335" t="s">
        <v>3</v>
      </c>
      <c r="L335" t="s">
        <v>3</v>
      </c>
      <c r="M335" t="s">
        <v>373</v>
      </c>
      <c r="N335" t="s">
        <v>3</v>
      </c>
      <c r="O335" t="s">
        <v>3</v>
      </c>
      <c r="P335" t="s">
        <v>3</v>
      </c>
      <c r="Q335" t="s">
        <v>8</v>
      </c>
      <c r="R335" t="s">
        <v>373</v>
      </c>
      <c r="S335" t="s">
        <v>8</v>
      </c>
      <c r="T335" t="s">
        <v>3030</v>
      </c>
      <c r="U335" t="s">
        <v>3</v>
      </c>
      <c r="V335" t="s">
        <v>3</v>
      </c>
      <c r="W335" t="s">
        <v>249</v>
      </c>
      <c r="AA335" t="s">
        <v>8</v>
      </c>
      <c r="AB335" t="s">
        <v>8</v>
      </c>
      <c r="AC335" t="s">
        <v>3</v>
      </c>
      <c r="AD335" t="s">
        <v>8</v>
      </c>
      <c r="AE335" t="s">
        <v>67</v>
      </c>
      <c r="AF335" t="s">
        <v>3033</v>
      </c>
    </row>
    <row r="336" spans="1:32" x14ac:dyDescent="0.45">
      <c r="A336" t="s">
        <v>3034</v>
      </c>
      <c r="B336" t="s">
        <v>3035</v>
      </c>
      <c r="C336" t="s">
        <v>3036</v>
      </c>
      <c r="D336" t="s">
        <v>3037</v>
      </c>
      <c r="E336" t="s">
        <v>2183</v>
      </c>
      <c r="F336" t="s">
        <v>3038</v>
      </c>
      <c r="H336" t="s">
        <v>3039</v>
      </c>
      <c r="I336" t="s">
        <v>3040</v>
      </c>
      <c r="J336" t="s">
        <v>8</v>
      </c>
      <c r="K336" t="s">
        <v>3</v>
      </c>
      <c r="L336" t="s">
        <v>3</v>
      </c>
      <c r="M336" t="s">
        <v>373</v>
      </c>
      <c r="N336" t="s">
        <v>3</v>
      </c>
      <c r="O336" t="s">
        <v>3</v>
      </c>
      <c r="P336" t="s">
        <v>3</v>
      </c>
      <c r="Q336" t="s">
        <v>8</v>
      </c>
      <c r="R336" t="s">
        <v>373</v>
      </c>
      <c r="S336" t="s">
        <v>8</v>
      </c>
      <c r="T336" t="s">
        <v>3034</v>
      </c>
      <c r="U336" t="s">
        <v>3</v>
      </c>
      <c r="V336" t="s">
        <v>3</v>
      </c>
      <c r="W336" t="s">
        <v>253</v>
      </c>
      <c r="Z336" t="s">
        <v>1552</v>
      </c>
      <c r="AA336" t="s">
        <v>3</v>
      </c>
      <c r="AB336" t="s">
        <v>8</v>
      </c>
      <c r="AC336" t="s">
        <v>3</v>
      </c>
      <c r="AD336" t="s">
        <v>8</v>
      </c>
      <c r="AE336" t="s">
        <v>67</v>
      </c>
      <c r="AF336" t="s">
        <v>3041</v>
      </c>
    </row>
    <row r="337" spans="1:32" x14ac:dyDescent="0.45">
      <c r="A337" t="s">
        <v>3042</v>
      </c>
      <c r="B337" t="s">
        <v>3035</v>
      </c>
      <c r="C337" t="s">
        <v>3043</v>
      </c>
      <c r="D337" t="s">
        <v>3037</v>
      </c>
      <c r="E337" t="s">
        <v>2183</v>
      </c>
      <c r="F337" t="s">
        <v>3038</v>
      </c>
      <c r="H337" t="s">
        <v>3039</v>
      </c>
      <c r="I337" t="s">
        <v>3040</v>
      </c>
      <c r="J337" t="s">
        <v>8</v>
      </c>
      <c r="K337" t="s">
        <v>3</v>
      </c>
      <c r="L337" t="s">
        <v>3</v>
      </c>
      <c r="M337" t="s">
        <v>373</v>
      </c>
      <c r="N337" t="s">
        <v>3</v>
      </c>
      <c r="O337" t="s">
        <v>3</v>
      </c>
      <c r="P337" t="s">
        <v>3</v>
      </c>
      <c r="Q337" t="s">
        <v>8</v>
      </c>
      <c r="R337" t="s">
        <v>373</v>
      </c>
      <c r="S337" t="s">
        <v>8</v>
      </c>
      <c r="T337" t="s">
        <v>3042</v>
      </c>
      <c r="U337" t="s">
        <v>3</v>
      </c>
      <c r="V337" t="s">
        <v>3</v>
      </c>
      <c r="W337" t="s">
        <v>253</v>
      </c>
      <c r="Z337" t="s">
        <v>1552</v>
      </c>
      <c r="AA337" t="s">
        <v>3</v>
      </c>
      <c r="AB337" t="s">
        <v>8</v>
      </c>
      <c r="AC337" t="s">
        <v>3</v>
      </c>
      <c r="AD337" t="s">
        <v>8</v>
      </c>
      <c r="AE337" t="s">
        <v>67</v>
      </c>
      <c r="AF337" t="s">
        <v>3044</v>
      </c>
    </row>
    <row r="338" spans="1:32" x14ac:dyDescent="0.45">
      <c r="A338" t="s">
        <v>3045</v>
      </c>
      <c r="B338" t="s">
        <v>3035</v>
      </c>
      <c r="C338" t="s">
        <v>3043</v>
      </c>
      <c r="D338" t="s">
        <v>3037</v>
      </c>
      <c r="E338" t="s">
        <v>2183</v>
      </c>
      <c r="F338" t="s">
        <v>3038</v>
      </c>
      <c r="H338" t="s">
        <v>3039</v>
      </c>
      <c r="I338" t="s">
        <v>3040</v>
      </c>
      <c r="J338" t="s">
        <v>8</v>
      </c>
      <c r="K338" t="s">
        <v>3</v>
      </c>
      <c r="L338" t="s">
        <v>3</v>
      </c>
      <c r="M338" t="s">
        <v>373</v>
      </c>
      <c r="N338" t="s">
        <v>3</v>
      </c>
      <c r="O338" t="s">
        <v>3</v>
      </c>
      <c r="P338" t="s">
        <v>3</v>
      </c>
      <c r="Q338" t="s">
        <v>8</v>
      </c>
      <c r="R338" t="s">
        <v>373</v>
      </c>
      <c r="S338" t="s">
        <v>8</v>
      </c>
      <c r="T338" t="s">
        <v>3045</v>
      </c>
      <c r="U338" t="s">
        <v>3</v>
      </c>
      <c r="V338" t="s">
        <v>3</v>
      </c>
      <c r="W338" t="s">
        <v>253</v>
      </c>
      <c r="AA338" t="s">
        <v>3</v>
      </c>
      <c r="AB338" t="s">
        <v>8</v>
      </c>
      <c r="AC338" t="s">
        <v>3</v>
      </c>
      <c r="AD338" t="s">
        <v>8</v>
      </c>
      <c r="AE338" t="s">
        <v>67</v>
      </c>
      <c r="AF338" t="s">
        <v>3046</v>
      </c>
    </row>
    <row r="339" spans="1:32" x14ac:dyDescent="0.45">
      <c r="A339" t="s">
        <v>3047</v>
      </c>
      <c r="B339" t="s">
        <v>3048</v>
      </c>
      <c r="C339" t="s">
        <v>3043</v>
      </c>
      <c r="D339" t="s">
        <v>3049</v>
      </c>
      <c r="E339" t="s">
        <v>3050</v>
      </c>
      <c r="F339" t="s">
        <v>3051</v>
      </c>
      <c r="H339" t="s">
        <v>3052</v>
      </c>
      <c r="I339" t="s">
        <v>3053</v>
      </c>
      <c r="J339" t="s">
        <v>8</v>
      </c>
      <c r="K339" t="s">
        <v>3</v>
      </c>
      <c r="L339" t="s">
        <v>3</v>
      </c>
      <c r="M339" t="s">
        <v>373</v>
      </c>
      <c r="N339" t="s">
        <v>3</v>
      </c>
      <c r="O339" t="s">
        <v>3</v>
      </c>
      <c r="P339" t="s">
        <v>3</v>
      </c>
      <c r="Q339" t="s">
        <v>8</v>
      </c>
      <c r="R339" t="s">
        <v>373</v>
      </c>
      <c r="S339" t="s">
        <v>8</v>
      </c>
      <c r="T339" t="s">
        <v>3047</v>
      </c>
      <c r="U339" t="s">
        <v>3</v>
      </c>
      <c r="V339" t="s">
        <v>3</v>
      </c>
      <c r="W339" t="s">
        <v>255</v>
      </c>
      <c r="Z339" t="s">
        <v>1552</v>
      </c>
      <c r="AA339" t="s">
        <v>3</v>
      </c>
      <c r="AB339" t="s">
        <v>8</v>
      </c>
      <c r="AC339" t="s">
        <v>3</v>
      </c>
      <c r="AD339" t="s">
        <v>8</v>
      </c>
      <c r="AE339" t="s">
        <v>8</v>
      </c>
      <c r="AF339" t="s">
        <v>3054</v>
      </c>
    </row>
    <row r="340" spans="1:32" x14ac:dyDescent="0.45">
      <c r="A340" t="s">
        <v>3055</v>
      </c>
      <c r="B340" t="s">
        <v>3048</v>
      </c>
      <c r="C340" t="s">
        <v>3036</v>
      </c>
      <c r="D340" t="s">
        <v>3049</v>
      </c>
      <c r="E340" t="s">
        <v>3050</v>
      </c>
      <c r="F340" t="s">
        <v>3051</v>
      </c>
      <c r="H340" t="s">
        <v>3052</v>
      </c>
      <c r="I340" t="s">
        <v>3053</v>
      </c>
      <c r="J340" t="s">
        <v>8</v>
      </c>
      <c r="K340" t="s">
        <v>3</v>
      </c>
      <c r="L340" t="s">
        <v>3</v>
      </c>
      <c r="M340" t="s">
        <v>373</v>
      </c>
      <c r="N340" t="s">
        <v>3</v>
      </c>
      <c r="O340" t="s">
        <v>3</v>
      </c>
      <c r="P340" t="s">
        <v>3</v>
      </c>
      <c r="Q340" t="s">
        <v>8</v>
      </c>
      <c r="R340" t="s">
        <v>373</v>
      </c>
      <c r="S340" t="s">
        <v>8</v>
      </c>
      <c r="T340" t="s">
        <v>3055</v>
      </c>
      <c r="U340" t="s">
        <v>3</v>
      </c>
      <c r="V340" t="s">
        <v>3</v>
      </c>
      <c r="W340" t="s">
        <v>255</v>
      </c>
      <c r="Z340" t="s">
        <v>1552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3056</v>
      </c>
    </row>
    <row r="341" spans="1:32" x14ac:dyDescent="0.45">
      <c r="A341" t="s">
        <v>3057</v>
      </c>
      <c r="B341" t="s">
        <v>3048</v>
      </c>
      <c r="C341" t="s">
        <v>3043</v>
      </c>
      <c r="D341" t="s">
        <v>3049</v>
      </c>
      <c r="E341" t="s">
        <v>3050</v>
      </c>
      <c r="F341" t="s">
        <v>3051</v>
      </c>
      <c r="H341" t="s">
        <v>3052</v>
      </c>
      <c r="I341" t="s">
        <v>3053</v>
      </c>
      <c r="J341" t="s">
        <v>8</v>
      </c>
      <c r="K341" t="s">
        <v>3</v>
      </c>
      <c r="L341" t="s">
        <v>3</v>
      </c>
      <c r="M341" t="s">
        <v>373</v>
      </c>
      <c r="N341" t="s">
        <v>3</v>
      </c>
      <c r="O341" t="s">
        <v>3</v>
      </c>
      <c r="P341" t="s">
        <v>3</v>
      </c>
      <c r="Q341" t="s">
        <v>8</v>
      </c>
      <c r="R341" t="s">
        <v>373</v>
      </c>
      <c r="S341" t="s">
        <v>8</v>
      </c>
      <c r="T341" t="s">
        <v>3057</v>
      </c>
      <c r="U341" t="s">
        <v>3</v>
      </c>
      <c r="V341" t="s">
        <v>3</v>
      </c>
      <c r="W341" t="s">
        <v>3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3058</v>
      </c>
    </row>
    <row r="342" spans="1:32" x14ac:dyDescent="0.45">
      <c r="A342" t="s">
        <v>3059</v>
      </c>
      <c r="B342" t="s">
        <v>3048</v>
      </c>
      <c r="C342" t="s">
        <v>3043</v>
      </c>
      <c r="D342" t="s">
        <v>3049</v>
      </c>
      <c r="E342" t="s">
        <v>3050</v>
      </c>
      <c r="F342" t="s">
        <v>3051</v>
      </c>
      <c r="H342" t="s">
        <v>3052</v>
      </c>
      <c r="I342" t="s">
        <v>3053</v>
      </c>
      <c r="J342" t="s">
        <v>8</v>
      </c>
      <c r="K342" t="s">
        <v>3</v>
      </c>
      <c r="L342" t="s">
        <v>3</v>
      </c>
      <c r="M342" t="s">
        <v>373</v>
      </c>
      <c r="N342" t="s">
        <v>3</v>
      </c>
      <c r="O342" t="s">
        <v>3</v>
      </c>
      <c r="P342" t="s">
        <v>3</v>
      </c>
      <c r="Q342" t="s">
        <v>8</v>
      </c>
      <c r="R342" t="s">
        <v>373</v>
      </c>
      <c r="S342" t="s">
        <v>8</v>
      </c>
      <c r="T342" t="s">
        <v>3060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67</v>
      </c>
      <c r="AF342" t="s">
        <v>3061</v>
      </c>
    </row>
    <row r="343" spans="1:32" x14ac:dyDescent="0.45">
      <c r="A343" t="s">
        <v>3062</v>
      </c>
      <c r="B343" t="s">
        <v>3063</v>
      </c>
      <c r="C343" t="s">
        <v>3064</v>
      </c>
      <c r="D343" t="s">
        <v>3065</v>
      </c>
      <c r="E343" t="s">
        <v>1532</v>
      </c>
      <c r="F343" t="s">
        <v>3066</v>
      </c>
      <c r="H343" t="s">
        <v>3067</v>
      </c>
      <c r="J343" t="s">
        <v>8</v>
      </c>
      <c r="K343" t="s">
        <v>3</v>
      </c>
      <c r="L343" t="s">
        <v>3</v>
      </c>
      <c r="M343" t="s">
        <v>373</v>
      </c>
      <c r="N343" t="s">
        <v>3</v>
      </c>
      <c r="O343" t="s">
        <v>3</v>
      </c>
      <c r="P343" t="s">
        <v>3</v>
      </c>
      <c r="Q343" t="s">
        <v>8</v>
      </c>
      <c r="R343" t="s">
        <v>373</v>
      </c>
      <c r="S343" t="s">
        <v>8</v>
      </c>
      <c r="T343" t="s">
        <v>3062</v>
      </c>
      <c r="U343" t="s">
        <v>3</v>
      </c>
      <c r="V343" t="s">
        <v>3</v>
      </c>
      <c r="W343" t="s">
        <v>717</v>
      </c>
      <c r="Z343" t="s">
        <v>1552</v>
      </c>
      <c r="AA343" t="s">
        <v>8</v>
      </c>
      <c r="AB343" t="s">
        <v>8</v>
      </c>
      <c r="AC343" t="s">
        <v>3</v>
      </c>
      <c r="AD343" t="s">
        <v>8</v>
      </c>
      <c r="AE343" t="s">
        <v>67</v>
      </c>
      <c r="AF343" t="s">
        <v>3068</v>
      </c>
    </row>
    <row r="344" spans="1:32" x14ac:dyDescent="0.45">
      <c r="A344" t="s">
        <v>3069</v>
      </c>
      <c r="B344" t="s">
        <v>3063</v>
      </c>
      <c r="C344" t="s">
        <v>3064</v>
      </c>
      <c r="D344" t="s">
        <v>3065</v>
      </c>
      <c r="E344" t="s">
        <v>1532</v>
      </c>
      <c r="F344" t="s">
        <v>3066</v>
      </c>
      <c r="H344" t="s">
        <v>3067</v>
      </c>
      <c r="J344" t="s">
        <v>8</v>
      </c>
      <c r="K344" t="s">
        <v>3</v>
      </c>
      <c r="L344" t="s">
        <v>3</v>
      </c>
      <c r="M344" t="s">
        <v>373</v>
      </c>
      <c r="N344" t="s">
        <v>3</v>
      </c>
      <c r="O344" t="s">
        <v>3</v>
      </c>
      <c r="P344" t="s">
        <v>3</v>
      </c>
      <c r="Q344" t="s">
        <v>8</v>
      </c>
      <c r="R344" t="s">
        <v>373</v>
      </c>
      <c r="S344" t="s">
        <v>8</v>
      </c>
      <c r="T344" t="s">
        <v>3069</v>
      </c>
      <c r="U344" t="s">
        <v>3</v>
      </c>
      <c r="V344" t="s">
        <v>3</v>
      </c>
      <c r="W344" t="s">
        <v>717</v>
      </c>
      <c r="Z344" t="s">
        <v>1552</v>
      </c>
      <c r="AA344" t="s">
        <v>3</v>
      </c>
      <c r="AB344" t="s">
        <v>8</v>
      </c>
      <c r="AC344" t="s">
        <v>3</v>
      </c>
      <c r="AD344" t="s">
        <v>8</v>
      </c>
      <c r="AE344" t="s">
        <v>67</v>
      </c>
      <c r="AF344" t="s">
        <v>3070</v>
      </c>
    </row>
    <row r="345" spans="1:32" x14ac:dyDescent="0.45">
      <c r="A345" t="s">
        <v>3071</v>
      </c>
      <c r="B345" t="s">
        <v>3063</v>
      </c>
      <c r="C345" t="s">
        <v>3064</v>
      </c>
      <c r="D345" t="s">
        <v>3065</v>
      </c>
      <c r="E345" t="s">
        <v>1532</v>
      </c>
      <c r="F345" t="s">
        <v>3066</v>
      </c>
      <c r="H345" t="s">
        <v>3067</v>
      </c>
      <c r="J345" t="s">
        <v>8</v>
      </c>
      <c r="K345" t="s">
        <v>3</v>
      </c>
      <c r="L345" t="s">
        <v>3</v>
      </c>
      <c r="M345" t="s">
        <v>373</v>
      </c>
      <c r="N345" t="s">
        <v>3</v>
      </c>
      <c r="O345" t="s">
        <v>3</v>
      </c>
      <c r="P345" t="s">
        <v>3</v>
      </c>
      <c r="Q345" t="s">
        <v>8</v>
      </c>
      <c r="R345" t="s">
        <v>373</v>
      </c>
      <c r="S345" t="s">
        <v>8</v>
      </c>
      <c r="T345" t="s">
        <v>3071</v>
      </c>
      <c r="U345" t="s">
        <v>3</v>
      </c>
      <c r="V345" t="s">
        <v>3</v>
      </c>
      <c r="W345" t="s">
        <v>717</v>
      </c>
      <c r="Z345" t="s">
        <v>1552</v>
      </c>
      <c r="AA345" t="s">
        <v>3</v>
      </c>
      <c r="AB345" t="s">
        <v>8</v>
      </c>
      <c r="AC345" t="s">
        <v>3</v>
      </c>
      <c r="AD345" t="s">
        <v>8</v>
      </c>
      <c r="AE345" t="s">
        <v>67</v>
      </c>
      <c r="AF345" t="s">
        <v>3072</v>
      </c>
    </row>
    <row r="346" spans="1:32" x14ac:dyDescent="0.45">
      <c r="A346" t="s">
        <v>3073</v>
      </c>
      <c r="B346" t="s">
        <v>3074</v>
      </c>
      <c r="C346" t="s">
        <v>3075</v>
      </c>
      <c r="D346" t="s">
        <v>3076</v>
      </c>
      <c r="E346" t="s">
        <v>2066</v>
      </c>
      <c r="F346" t="s">
        <v>3077</v>
      </c>
      <c r="H346" t="s">
        <v>3078</v>
      </c>
      <c r="I346" t="s">
        <v>3079</v>
      </c>
      <c r="J346" t="s">
        <v>8</v>
      </c>
      <c r="K346" t="s">
        <v>3</v>
      </c>
      <c r="L346" t="s">
        <v>3</v>
      </c>
      <c r="M346" t="s">
        <v>373</v>
      </c>
      <c r="N346" t="s">
        <v>3</v>
      </c>
      <c r="O346" t="s">
        <v>3</v>
      </c>
      <c r="P346" t="s">
        <v>3</v>
      </c>
      <c r="Q346" t="s">
        <v>8</v>
      </c>
      <c r="R346" t="s">
        <v>373</v>
      </c>
      <c r="S346" t="s">
        <v>8</v>
      </c>
      <c r="T346" t="s">
        <v>3073</v>
      </c>
      <c r="U346" t="s">
        <v>3</v>
      </c>
      <c r="V346" t="s">
        <v>3</v>
      </c>
      <c r="W346" t="s">
        <v>3</v>
      </c>
      <c r="AA346" t="s">
        <v>8</v>
      </c>
      <c r="AB346" t="s">
        <v>8</v>
      </c>
      <c r="AC346" t="s">
        <v>3</v>
      </c>
      <c r="AD346" t="s">
        <v>8</v>
      </c>
      <c r="AE346" t="s">
        <v>67</v>
      </c>
      <c r="AF346" t="s">
        <v>3080</v>
      </c>
    </row>
    <row r="347" spans="1:32" x14ac:dyDescent="0.45">
      <c r="A347" t="s">
        <v>3081</v>
      </c>
      <c r="B347" t="s">
        <v>3082</v>
      </c>
      <c r="C347" t="s">
        <v>3083</v>
      </c>
      <c r="D347" t="s">
        <v>3082</v>
      </c>
      <c r="E347" t="s">
        <v>2066</v>
      </c>
      <c r="F347" t="s">
        <v>3077</v>
      </c>
      <c r="H347" t="s">
        <v>3078</v>
      </c>
      <c r="I347" t="s">
        <v>3079</v>
      </c>
      <c r="J347" t="s">
        <v>8</v>
      </c>
      <c r="K347" t="s">
        <v>3</v>
      </c>
      <c r="L347" t="s">
        <v>3</v>
      </c>
      <c r="M347" t="s">
        <v>373</v>
      </c>
      <c r="N347" t="s">
        <v>3</v>
      </c>
      <c r="O347" t="s">
        <v>3</v>
      </c>
      <c r="P347" t="s">
        <v>3</v>
      </c>
      <c r="Q347" t="s">
        <v>8</v>
      </c>
      <c r="R347" t="s">
        <v>373</v>
      </c>
      <c r="S347" t="s">
        <v>8</v>
      </c>
      <c r="T347" t="s">
        <v>3073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67</v>
      </c>
      <c r="AF347" t="s">
        <v>3084</v>
      </c>
    </row>
    <row r="348" spans="1:32" x14ac:dyDescent="0.45">
      <c r="A348" t="s">
        <v>3085</v>
      </c>
      <c r="B348" t="s">
        <v>3086</v>
      </c>
      <c r="C348" t="s">
        <v>3087</v>
      </c>
      <c r="D348" t="s">
        <v>3086</v>
      </c>
      <c r="E348" t="s">
        <v>2066</v>
      </c>
      <c r="F348" t="s">
        <v>3077</v>
      </c>
      <c r="J348" t="s">
        <v>8</v>
      </c>
      <c r="K348" t="s">
        <v>3</v>
      </c>
      <c r="L348" t="s">
        <v>3</v>
      </c>
      <c r="M348" t="s">
        <v>373</v>
      </c>
      <c r="N348" t="s">
        <v>3</v>
      </c>
      <c r="O348" t="s">
        <v>3</v>
      </c>
      <c r="P348" t="s">
        <v>3</v>
      </c>
      <c r="Q348" t="s">
        <v>8</v>
      </c>
      <c r="R348" t="s">
        <v>373</v>
      </c>
      <c r="S348" t="s">
        <v>8</v>
      </c>
      <c r="T348" t="s">
        <v>3085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67</v>
      </c>
      <c r="AF348" t="s">
        <v>3088</v>
      </c>
    </row>
    <row r="349" spans="1:32" x14ac:dyDescent="0.45">
      <c r="A349" t="s">
        <v>3089</v>
      </c>
      <c r="B349" t="s">
        <v>3090</v>
      </c>
      <c r="C349" t="s">
        <v>3091</v>
      </c>
      <c r="D349" t="s">
        <v>3092</v>
      </c>
      <c r="E349" t="s">
        <v>2304</v>
      </c>
      <c r="F349" t="s">
        <v>3093</v>
      </c>
      <c r="G349" t="s">
        <v>3094</v>
      </c>
      <c r="H349" t="s">
        <v>3095</v>
      </c>
      <c r="I349" t="s">
        <v>3096</v>
      </c>
      <c r="J349" t="s">
        <v>8</v>
      </c>
      <c r="K349" t="s">
        <v>3</v>
      </c>
      <c r="L349" t="s">
        <v>3</v>
      </c>
      <c r="M349" t="s">
        <v>373</v>
      </c>
      <c r="N349" t="s">
        <v>3</v>
      </c>
      <c r="O349" t="s">
        <v>3</v>
      </c>
      <c r="P349" t="s">
        <v>3</v>
      </c>
      <c r="Q349" t="s">
        <v>8</v>
      </c>
      <c r="R349" t="s">
        <v>373</v>
      </c>
      <c r="S349" t="s">
        <v>8</v>
      </c>
      <c r="T349" t="s">
        <v>3089</v>
      </c>
      <c r="U349" t="s">
        <v>3</v>
      </c>
      <c r="V349" t="s">
        <v>3</v>
      </c>
      <c r="W349" t="s">
        <v>705</v>
      </c>
      <c r="AA349" t="s">
        <v>8</v>
      </c>
      <c r="AB349" t="s">
        <v>8</v>
      </c>
      <c r="AC349" t="s">
        <v>3</v>
      </c>
      <c r="AD349" t="s">
        <v>8</v>
      </c>
      <c r="AE349" t="s">
        <v>67</v>
      </c>
      <c r="AF349" t="s">
        <v>3097</v>
      </c>
    </row>
    <row r="350" spans="1:32" x14ac:dyDescent="0.45">
      <c r="A350" t="s">
        <v>3098</v>
      </c>
      <c r="B350" t="s">
        <v>3099</v>
      </c>
      <c r="C350" t="s">
        <v>3100</v>
      </c>
      <c r="D350" t="s">
        <v>3101</v>
      </c>
      <c r="E350" t="s">
        <v>3102</v>
      </c>
      <c r="F350" t="s">
        <v>3103</v>
      </c>
      <c r="H350" t="s">
        <v>3104</v>
      </c>
      <c r="J350" t="s">
        <v>8</v>
      </c>
      <c r="K350" t="s">
        <v>3</v>
      </c>
      <c r="L350" t="s">
        <v>3</v>
      </c>
      <c r="M350" t="s">
        <v>373</v>
      </c>
      <c r="N350" t="s">
        <v>3</v>
      </c>
      <c r="O350" t="s">
        <v>3</v>
      </c>
      <c r="P350" t="s">
        <v>3</v>
      </c>
      <c r="Q350" t="s">
        <v>8</v>
      </c>
      <c r="R350" t="s">
        <v>373</v>
      </c>
      <c r="S350" t="s">
        <v>8</v>
      </c>
      <c r="T350" t="s">
        <v>3098</v>
      </c>
      <c r="U350" t="s">
        <v>3</v>
      </c>
      <c r="V350" t="s">
        <v>3</v>
      </c>
      <c r="W350" t="s">
        <v>3</v>
      </c>
      <c r="AA350" t="s">
        <v>3</v>
      </c>
      <c r="AB350" t="s">
        <v>8</v>
      </c>
      <c r="AC350" t="s">
        <v>3</v>
      </c>
      <c r="AD350" t="s">
        <v>8</v>
      </c>
      <c r="AE350" t="s">
        <v>67</v>
      </c>
      <c r="AF350" t="s">
        <v>3105</v>
      </c>
    </row>
    <row r="351" spans="1:32" x14ac:dyDescent="0.45">
      <c r="A351" t="s">
        <v>3106</v>
      </c>
      <c r="B351" t="s">
        <v>3099</v>
      </c>
      <c r="C351" t="s">
        <v>3100</v>
      </c>
      <c r="D351" t="s">
        <v>3101</v>
      </c>
      <c r="E351" t="s">
        <v>3102</v>
      </c>
      <c r="F351" t="s">
        <v>3103</v>
      </c>
      <c r="H351" t="s">
        <v>3104</v>
      </c>
      <c r="J351" t="s">
        <v>8</v>
      </c>
      <c r="K351" t="s">
        <v>3</v>
      </c>
      <c r="L351" t="s">
        <v>3</v>
      </c>
      <c r="M351" t="s">
        <v>373</v>
      </c>
      <c r="N351" t="s">
        <v>3</v>
      </c>
      <c r="O351" t="s">
        <v>3</v>
      </c>
      <c r="P351" t="s">
        <v>3</v>
      </c>
      <c r="Q351" t="s">
        <v>8</v>
      </c>
      <c r="R351" t="s">
        <v>373</v>
      </c>
      <c r="S351" t="s">
        <v>8</v>
      </c>
      <c r="T351" t="s">
        <v>3106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105</v>
      </c>
      <c r="AF351" t="s">
        <v>3107</v>
      </c>
    </row>
    <row r="352" spans="1:32" x14ac:dyDescent="0.45">
      <c r="A352" t="s">
        <v>3108</v>
      </c>
      <c r="B352" t="s">
        <v>3109</v>
      </c>
      <c r="C352" t="s">
        <v>3110</v>
      </c>
      <c r="D352" t="s">
        <v>3109</v>
      </c>
      <c r="E352" t="s">
        <v>3111</v>
      </c>
      <c r="F352" t="s">
        <v>3112</v>
      </c>
      <c r="H352" t="s">
        <v>3113</v>
      </c>
      <c r="I352" t="s">
        <v>3114</v>
      </c>
      <c r="J352" t="s">
        <v>8</v>
      </c>
      <c r="K352" t="s">
        <v>3</v>
      </c>
      <c r="L352" t="s">
        <v>3</v>
      </c>
      <c r="M352" t="s">
        <v>373</v>
      </c>
      <c r="N352" t="s">
        <v>3</v>
      </c>
      <c r="O352" t="s">
        <v>3</v>
      </c>
      <c r="P352" t="s">
        <v>3</v>
      </c>
      <c r="Q352" t="s">
        <v>8</v>
      </c>
      <c r="R352" t="s">
        <v>373</v>
      </c>
      <c r="S352" t="s">
        <v>8</v>
      </c>
      <c r="T352" t="s">
        <v>3108</v>
      </c>
      <c r="U352" t="s">
        <v>3</v>
      </c>
      <c r="V352" t="s">
        <v>3</v>
      </c>
      <c r="W352" t="s">
        <v>930</v>
      </c>
      <c r="AA352" t="s">
        <v>8</v>
      </c>
      <c r="AB352" t="s">
        <v>8</v>
      </c>
      <c r="AC352" t="s">
        <v>3</v>
      </c>
      <c r="AD352" t="s">
        <v>8</v>
      </c>
      <c r="AE352" t="s">
        <v>67</v>
      </c>
      <c r="AF352" t="s">
        <v>3115</v>
      </c>
    </row>
    <row r="353" spans="1:32" x14ac:dyDescent="0.45">
      <c r="A353" t="s">
        <v>3116</v>
      </c>
      <c r="B353" t="s">
        <v>3117</v>
      </c>
      <c r="C353" t="s">
        <v>3118</v>
      </c>
      <c r="D353" t="s">
        <v>3119</v>
      </c>
      <c r="E353" t="s">
        <v>3120</v>
      </c>
      <c r="F353" t="s">
        <v>3121</v>
      </c>
      <c r="H353" t="s">
        <v>3122</v>
      </c>
      <c r="I353" t="s">
        <v>3123</v>
      </c>
      <c r="J353" t="s">
        <v>8</v>
      </c>
      <c r="K353" t="s">
        <v>3</v>
      </c>
      <c r="L353" t="s">
        <v>3</v>
      </c>
      <c r="M353" t="s">
        <v>373</v>
      </c>
      <c r="N353" t="s">
        <v>3</v>
      </c>
      <c r="O353" t="s">
        <v>3</v>
      </c>
      <c r="P353" t="s">
        <v>3</v>
      </c>
      <c r="Q353" t="s">
        <v>8</v>
      </c>
      <c r="R353" t="s">
        <v>373</v>
      </c>
      <c r="S353" t="s">
        <v>8</v>
      </c>
      <c r="T353" t="s">
        <v>3116</v>
      </c>
      <c r="U353" t="s">
        <v>3</v>
      </c>
      <c r="V353" t="s">
        <v>3</v>
      </c>
      <c r="W353" t="s">
        <v>3</v>
      </c>
      <c r="AA353" t="s">
        <v>3</v>
      </c>
      <c r="AB353" t="s">
        <v>8</v>
      </c>
      <c r="AC353" t="s">
        <v>3</v>
      </c>
      <c r="AD353" t="s">
        <v>8</v>
      </c>
      <c r="AE353" t="s">
        <v>67</v>
      </c>
      <c r="AF353" t="s">
        <v>3124</v>
      </c>
    </row>
    <row r="354" spans="1:32" x14ac:dyDescent="0.45">
      <c r="A354" t="s">
        <v>3125</v>
      </c>
      <c r="B354" t="s">
        <v>3126</v>
      </c>
      <c r="C354" t="s">
        <v>3127</v>
      </c>
      <c r="D354" t="s">
        <v>3128</v>
      </c>
      <c r="J354" t="s">
        <v>8</v>
      </c>
      <c r="K354" t="s">
        <v>3</v>
      </c>
      <c r="L354" t="s">
        <v>3</v>
      </c>
      <c r="M354" t="s">
        <v>373</v>
      </c>
      <c r="N354" t="s">
        <v>3</v>
      </c>
      <c r="O354" t="s">
        <v>3</v>
      </c>
      <c r="P354" t="s">
        <v>3</v>
      </c>
      <c r="Q354" t="s">
        <v>8</v>
      </c>
      <c r="R354" t="s">
        <v>373</v>
      </c>
      <c r="S354" t="s">
        <v>8</v>
      </c>
      <c r="T354" t="s">
        <v>3125</v>
      </c>
      <c r="U354" t="s">
        <v>3</v>
      </c>
      <c r="V354" t="s">
        <v>3</v>
      </c>
      <c r="W354" t="s">
        <v>930</v>
      </c>
      <c r="AA354" t="s">
        <v>3</v>
      </c>
      <c r="AB354" t="s">
        <v>8</v>
      </c>
      <c r="AC354" t="s">
        <v>3</v>
      </c>
      <c r="AD354" t="s">
        <v>8</v>
      </c>
      <c r="AE354" t="s">
        <v>67</v>
      </c>
      <c r="AF354" t="s">
        <v>3129</v>
      </c>
    </row>
    <row r="355" spans="1:32" x14ac:dyDescent="0.45">
      <c r="A355" t="s">
        <v>3130</v>
      </c>
      <c r="B355" t="s">
        <v>3131</v>
      </c>
      <c r="C355" t="s">
        <v>3132</v>
      </c>
      <c r="D355" t="s">
        <v>3131</v>
      </c>
      <c r="E355" t="s">
        <v>3133</v>
      </c>
      <c r="F355" t="s">
        <v>3134</v>
      </c>
      <c r="I355" t="s">
        <v>3135</v>
      </c>
      <c r="J355" t="s">
        <v>8</v>
      </c>
      <c r="K355" t="s">
        <v>3</v>
      </c>
      <c r="L355" t="s">
        <v>3</v>
      </c>
      <c r="M355" t="s">
        <v>373</v>
      </c>
      <c r="N355" t="s">
        <v>3</v>
      </c>
      <c r="O355" t="s">
        <v>3</v>
      </c>
      <c r="P355" t="s">
        <v>3</v>
      </c>
      <c r="Q355" t="s">
        <v>8</v>
      </c>
      <c r="R355" t="s">
        <v>373</v>
      </c>
      <c r="S355" t="s">
        <v>8</v>
      </c>
      <c r="T355" t="s">
        <v>3130</v>
      </c>
      <c r="U355" t="s">
        <v>3</v>
      </c>
      <c r="V355" t="s">
        <v>3</v>
      </c>
      <c r="W355" t="s">
        <v>3136</v>
      </c>
      <c r="AA355" t="s">
        <v>8</v>
      </c>
      <c r="AB355" t="s">
        <v>8</v>
      </c>
      <c r="AC355" t="s">
        <v>3</v>
      </c>
      <c r="AD355" t="s">
        <v>8</v>
      </c>
      <c r="AE355" t="s">
        <v>97</v>
      </c>
      <c r="AF355" t="s">
        <v>3137</v>
      </c>
    </row>
    <row r="356" spans="1:32" x14ac:dyDescent="0.45">
      <c r="A356" t="s">
        <v>3138</v>
      </c>
      <c r="B356" t="s">
        <v>3139</v>
      </c>
      <c r="C356" t="s">
        <v>3140</v>
      </c>
      <c r="D356" t="s">
        <v>3141</v>
      </c>
      <c r="E356" t="s">
        <v>3142</v>
      </c>
      <c r="F356" t="s">
        <v>3143</v>
      </c>
      <c r="H356" t="s">
        <v>3144</v>
      </c>
      <c r="I356" t="s">
        <v>3145</v>
      </c>
      <c r="J356" t="s">
        <v>8</v>
      </c>
      <c r="K356" t="s">
        <v>3</v>
      </c>
      <c r="L356" t="s">
        <v>3</v>
      </c>
      <c r="M356" t="s">
        <v>373</v>
      </c>
      <c r="N356" t="s">
        <v>3</v>
      </c>
      <c r="O356" t="s">
        <v>3</v>
      </c>
      <c r="P356" t="s">
        <v>3</v>
      </c>
      <c r="Q356" t="s">
        <v>8</v>
      </c>
      <c r="R356" t="s">
        <v>373</v>
      </c>
      <c r="S356" t="s">
        <v>8</v>
      </c>
      <c r="T356" t="s">
        <v>3138</v>
      </c>
      <c r="U356" t="s">
        <v>3</v>
      </c>
      <c r="V356" t="s">
        <v>3</v>
      </c>
      <c r="W356" t="s">
        <v>3</v>
      </c>
      <c r="AA356" t="s">
        <v>8</v>
      </c>
      <c r="AB356" t="s">
        <v>8</v>
      </c>
      <c r="AC356" t="s">
        <v>3</v>
      </c>
      <c r="AD356" t="s">
        <v>8</v>
      </c>
      <c r="AE356" t="s">
        <v>97</v>
      </c>
      <c r="AF356" t="s">
        <v>3146</v>
      </c>
    </row>
    <row r="357" spans="1:32" x14ac:dyDescent="0.45">
      <c r="A357" t="s">
        <v>3147</v>
      </c>
      <c r="B357" t="s">
        <v>3139</v>
      </c>
      <c r="C357" t="s">
        <v>3140</v>
      </c>
      <c r="D357" t="s">
        <v>3141</v>
      </c>
      <c r="E357" t="s">
        <v>3142</v>
      </c>
      <c r="F357" t="s">
        <v>3143</v>
      </c>
      <c r="H357" t="s">
        <v>3144</v>
      </c>
      <c r="I357" t="s">
        <v>3145</v>
      </c>
      <c r="J357" t="s">
        <v>8</v>
      </c>
      <c r="K357" t="s">
        <v>3</v>
      </c>
      <c r="L357" t="s">
        <v>3</v>
      </c>
      <c r="M357" t="s">
        <v>373</v>
      </c>
      <c r="N357" t="s">
        <v>3</v>
      </c>
      <c r="O357" t="s">
        <v>3</v>
      </c>
      <c r="P357" t="s">
        <v>3</v>
      </c>
      <c r="Q357" t="s">
        <v>8</v>
      </c>
      <c r="R357" t="s">
        <v>373</v>
      </c>
      <c r="S357" t="s">
        <v>8</v>
      </c>
      <c r="T357" t="s">
        <v>3138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97</v>
      </c>
      <c r="AF357" t="s">
        <v>3148</v>
      </c>
    </row>
    <row r="358" spans="1:32" x14ac:dyDescent="0.45">
      <c r="A358" t="s">
        <v>3149</v>
      </c>
      <c r="B358" t="s">
        <v>3150</v>
      </c>
      <c r="C358" t="s">
        <v>3151</v>
      </c>
      <c r="D358" t="s">
        <v>3152</v>
      </c>
      <c r="E358" t="s">
        <v>3153</v>
      </c>
      <c r="F358" t="s">
        <v>3154</v>
      </c>
      <c r="H358" t="s">
        <v>3155</v>
      </c>
      <c r="I358" t="s">
        <v>3155</v>
      </c>
      <c r="J358" t="s">
        <v>8</v>
      </c>
      <c r="K358" t="s">
        <v>3</v>
      </c>
      <c r="L358" t="s">
        <v>3</v>
      </c>
      <c r="M358" t="s">
        <v>373</v>
      </c>
      <c r="N358" t="s">
        <v>3</v>
      </c>
      <c r="O358" t="s">
        <v>3</v>
      </c>
      <c r="P358" t="s">
        <v>3</v>
      </c>
      <c r="Q358" t="s">
        <v>8</v>
      </c>
      <c r="R358" t="s">
        <v>373</v>
      </c>
      <c r="S358" t="s">
        <v>8</v>
      </c>
      <c r="T358" t="s">
        <v>3149</v>
      </c>
      <c r="U358" t="s">
        <v>3</v>
      </c>
      <c r="V358" t="s">
        <v>3</v>
      </c>
      <c r="W358" t="s">
        <v>876</v>
      </c>
      <c r="AA358" t="s">
        <v>8</v>
      </c>
      <c r="AB358" t="s">
        <v>8</v>
      </c>
      <c r="AC358" t="s">
        <v>3</v>
      </c>
      <c r="AD358" t="s">
        <v>8</v>
      </c>
      <c r="AE358" t="s">
        <v>67</v>
      </c>
      <c r="AF358" t="s">
        <v>3156</v>
      </c>
    </row>
    <row r="359" spans="1:32" x14ac:dyDescent="0.45">
      <c r="A359" t="s">
        <v>3157</v>
      </c>
      <c r="B359" t="s">
        <v>3150</v>
      </c>
      <c r="C359" t="s">
        <v>3151</v>
      </c>
      <c r="D359" t="s">
        <v>3152</v>
      </c>
      <c r="E359" t="s">
        <v>3153</v>
      </c>
      <c r="F359" t="s">
        <v>3154</v>
      </c>
      <c r="H359" t="s">
        <v>3155</v>
      </c>
      <c r="I359" t="s">
        <v>3155</v>
      </c>
      <c r="J359" t="s">
        <v>8</v>
      </c>
      <c r="K359" t="s">
        <v>3</v>
      </c>
      <c r="L359" t="s">
        <v>3</v>
      </c>
      <c r="M359" t="s">
        <v>373</v>
      </c>
      <c r="N359" t="s">
        <v>3</v>
      </c>
      <c r="O359" t="s">
        <v>3</v>
      </c>
      <c r="P359" t="s">
        <v>3</v>
      </c>
      <c r="Q359" t="s">
        <v>8</v>
      </c>
      <c r="R359" t="s">
        <v>373</v>
      </c>
      <c r="S359" t="s">
        <v>8</v>
      </c>
      <c r="T359" t="s">
        <v>3157</v>
      </c>
      <c r="U359" t="s">
        <v>3</v>
      </c>
      <c r="V359" t="s">
        <v>3</v>
      </c>
      <c r="W359" t="s">
        <v>876</v>
      </c>
      <c r="AA359" t="s">
        <v>8</v>
      </c>
      <c r="AB359" t="s">
        <v>8</v>
      </c>
      <c r="AC359" t="s">
        <v>3</v>
      </c>
      <c r="AD359" t="s">
        <v>8</v>
      </c>
      <c r="AE359" t="s">
        <v>67</v>
      </c>
      <c r="AF359" t="s">
        <v>3158</v>
      </c>
    </row>
    <row r="360" spans="1:32" x14ac:dyDescent="0.45">
      <c r="A360" t="s">
        <v>3159</v>
      </c>
      <c r="B360" t="s">
        <v>3160</v>
      </c>
      <c r="C360" t="s">
        <v>3161</v>
      </c>
      <c r="D360" t="s">
        <v>3160</v>
      </c>
      <c r="E360" t="s">
        <v>3162</v>
      </c>
      <c r="F360" t="s">
        <v>3163</v>
      </c>
      <c r="H360" t="s">
        <v>3164</v>
      </c>
      <c r="J360" t="s">
        <v>8</v>
      </c>
      <c r="K360" t="s">
        <v>3</v>
      </c>
      <c r="L360" t="s">
        <v>3</v>
      </c>
      <c r="M360" t="s">
        <v>373</v>
      </c>
      <c r="N360" t="s">
        <v>3</v>
      </c>
      <c r="O360" t="s">
        <v>3</v>
      </c>
      <c r="P360" t="s">
        <v>3</v>
      </c>
      <c r="Q360" t="s">
        <v>8</v>
      </c>
      <c r="R360" t="s">
        <v>373</v>
      </c>
      <c r="S360" t="s">
        <v>8</v>
      </c>
      <c r="T360" t="s">
        <v>3159</v>
      </c>
      <c r="U360" t="s">
        <v>3</v>
      </c>
      <c r="V360" t="s">
        <v>3</v>
      </c>
      <c r="W360" t="s">
        <v>3</v>
      </c>
      <c r="AA360" t="s">
        <v>8</v>
      </c>
      <c r="AB360" t="s">
        <v>8</v>
      </c>
      <c r="AC360" t="s">
        <v>3</v>
      </c>
      <c r="AD360" t="s">
        <v>8</v>
      </c>
      <c r="AE360" t="s">
        <v>67</v>
      </c>
      <c r="AF360" t="s">
        <v>3165</v>
      </c>
    </row>
    <row r="361" spans="1:32" x14ac:dyDescent="0.45">
      <c r="A361" t="s">
        <v>144</v>
      </c>
      <c r="B361" t="s">
        <v>656</v>
      </c>
      <c r="C361" t="s">
        <v>1552</v>
      </c>
      <c r="D361" t="s">
        <v>3166</v>
      </c>
      <c r="J361" t="s">
        <v>3</v>
      </c>
      <c r="K361" t="s">
        <v>3</v>
      </c>
      <c r="L361" t="s">
        <v>3</v>
      </c>
      <c r="M361" t="s">
        <v>373</v>
      </c>
      <c r="N361" t="s">
        <v>3</v>
      </c>
      <c r="O361" t="s">
        <v>3</v>
      </c>
      <c r="P361" t="s">
        <v>3</v>
      </c>
      <c r="Q361" t="s">
        <v>3</v>
      </c>
      <c r="R361" t="s">
        <v>373</v>
      </c>
      <c r="S361" t="s">
        <v>8</v>
      </c>
      <c r="T361" t="s">
        <v>144</v>
      </c>
      <c r="U361" t="s">
        <v>3</v>
      </c>
      <c r="V361" t="s">
        <v>3</v>
      </c>
      <c r="W361" t="s">
        <v>3167</v>
      </c>
      <c r="Z361" t="s">
        <v>1552</v>
      </c>
      <c r="AA361" t="s">
        <v>3</v>
      </c>
      <c r="AB361" t="s">
        <v>8</v>
      </c>
      <c r="AC361" t="s">
        <v>3</v>
      </c>
      <c r="AD361" t="s">
        <v>8</v>
      </c>
      <c r="AE361" t="s">
        <v>67</v>
      </c>
      <c r="AF361" t="s">
        <v>3168</v>
      </c>
    </row>
    <row r="362" spans="1:32" x14ac:dyDescent="0.45">
      <c r="A362" t="s">
        <v>145</v>
      </c>
      <c r="B362" t="s">
        <v>656</v>
      </c>
      <c r="C362" t="s">
        <v>1552</v>
      </c>
      <c r="D362"/>
      <c r="J362" t="s">
        <v>3</v>
      </c>
      <c r="K362" t="s">
        <v>3</v>
      </c>
      <c r="L362" t="s">
        <v>3</v>
      </c>
      <c r="M362" t="s">
        <v>373</v>
      </c>
      <c r="N362" t="s">
        <v>3</v>
      </c>
      <c r="O362" t="s">
        <v>3</v>
      </c>
      <c r="P362" t="s">
        <v>3</v>
      </c>
      <c r="Q362" t="s">
        <v>3</v>
      </c>
      <c r="R362" t="s">
        <v>373</v>
      </c>
      <c r="S362" t="s">
        <v>8</v>
      </c>
      <c r="T362" t="s">
        <v>145</v>
      </c>
      <c r="U362" t="s">
        <v>3</v>
      </c>
      <c r="V362" t="s">
        <v>3</v>
      </c>
      <c r="W362" t="s">
        <v>3169</v>
      </c>
      <c r="AA362" t="s">
        <v>3</v>
      </c>
      <c r="AB362" t="s">
        <v>8</v>
      </c>
      <c r="AC362" t="s">
        <v>3</v>
      </c>
      <c r="AD362" t="s">
        <v>8</v>
      </c>
      <c r="AE362" t="s">
        <v>67</v>
      </c>
      <c r="AF362" t="s">
        <v>3170</v>
      </c>
    </row>
    <row r="363" spans="1:32" x14ac:dyDescent="0.45">
      <c r="A363" t="s">
        <v>146</v>
      </c>
      <c r="B363" t="s">
        <v>656</v>
      </c>
      <c r="C363" t="s">
        <v>1552</v>
      </c>
      <c r="D363"/>
      <c r="J363" t="s">
        <v>3</v>
      </c>
      <c r="K363" t="s">
        <v>3</v>
      </c>
      <c r="L363" t="s">
        <v>3</v>
      </c>
      <c r="M363" t="s">
        <v>373</v>
      </c>
      <c r="N363" t="s">
        <v>3</v>
      </c>
      <c r="O363" t="s">
        <v>3</v>
      </c>
      <c r="P363" t="s">
        <v>3</v>
      </c>
      <c r="Q363" t="s">
        <v>3</v>
      </c>
      <c r="R363" t="s">
        <v>373</v>
      </c>
      <c r="S363" t="s">
        <v>8</v>
      </c>
      <c r="T363" t="s">
        <v>146</v>
      </c>
      <c r="U363" t="s">
        <v>3</v>
      </c>
      <c r="V363" t="s">
        <v>3</v>
      </c>
      <c r="W363" t="s">
        <v>3171</v>
      </c>
      <c r="AA363" t="s">
        <v>3</v>
      </c>
      <c r="AB363" t="s">
        <v>8</v>
      </c>
      <c r="AC363" t="s">
        <v>3</v>
      </c>
      <c r="AD363" t="s">
        <v>8</v>
      </c>
      <c r="AE363" t="s">
        <v>67</v>
      </c>
      <c r="AF363" t="s">
        <v>3172</v>
      </c>
    </row>
    <row r="364" spans="1:32" x14ac:dyDescent="0.45">
      <c r="A364" t="s">
        <v>3173</v>
      </c>
      <c r="B364" t="s">
        <v>1080</v>
      </c>
      <c r="C364" t="s">
        <v>1552</v>
      </c>
      <c r="D364"/>
      <c r="J364" t="s">
        <v>3</v>
      </c>
      <c r="K364" t="s">
        <v>3</v>
      </c>
      <c r="L364" t="s">
        <v>3</v>
      </c>
      <c r="M364" t="s">
        <v>3</v>
      </c>
      <c r="N364" t="s">
        <v>3</v>
      </c>
      <c r="O364" t="s">
        <v>3</v>
      </c>
      <c r="P364" t="s">
        <v>3</v>
      </c>
      <c r="Q364" t="s">
        <v>3</v>
      </c>
      <c r="R364" t="s">
        <v>373</v>
      </c>
      <c r="S364" t="s">
        <v>8</v>
      </c>
      <c r="T364" t="s">
        <v>3173</v>
      </c>
      <c r="U364" t="s">
        <v>3</v>
      </c>
      <c r="V364" t="s">
        <v>3</v>
      </c>
      <c r="W364" t="s">
        <v>3174</v>
      </c>
      <c r="AA364" t="s">
        <v>3</v>
      </c>
      <c r="AB364" t="s">
        <v>8</v>
      </c>
      <c r="AC364" t="s">
        <v>3</v>
      </c>
      <c r="AD364" t="s">
        <v>8</v>
      </c>
      <c r="AE364" t="s">
        <v>67</v>
      </c>
      <c r="AF364" t="s">
        <v>3175</v>
      </c>
    </row>
    <row r="365" spans="1:32" x14ac:dyDescent="0.45">
      <c r="A365" t="s">
        <v>3176</v>
      </c>
      <c r="B365" t="s">
        <v>1080</v>
      </c>
      <c r="C365" t="s">
        <v>1552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373</v>
      </c>
      <c r="S365" t="s">
        <v>8</v>
      </c>
      <c r="T365" t="s">
        <v>3176</v>
      </c>
      <c r="U365" t="s">
        <v>3</v>
      </c>
      <c r="V365" t="s">
        <v>3</v>
      </c>
      <c r="W365" t="s">
        <v>3177</v>
      </c>
      <c r="AA365" t="s">
        <v>3</v>
      </c>
      <c r="AB365" t="s">
        <v>8</v>
      </c>
      <c r="AC365" t="s">
        <v>3</v>
      </c>
      <c r="AD365" t="s">
        <v>8</v>
      </c>
      <c r="AE365" t="s">
        <v>67</v>
      </c>
      <c r="AF365" t="s">
        <v>3178</v>
      </c>
    </row>
    <row r="366" spans="1:32" x14ac:dyDescent="0.45">
      <c r="A366" t="s">
        <v>3179</v>
      </c>
      <c r="B366" t="s">
        <v>1080</v>
      </c>
      <c r="C366" t="s">
        <v>1552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373</v>
      </c>
      <c r="S366" t="s">
        <v>8</v>
      </c>
      <c r="T366" t="s">
        <v>3179</v>
      </c>
      <c r="U366" t="s">
        <v>3</v>
      </c>
      <c r="V366" t="s">
        <v>3</v>
      </c>
      <c r="W366" t="s">
        <v>3180</v>
      </c>
      <c r="AA366" t="s">
        <v>3</v>
      </c>
      <c r="AB366" t="s">
        <v>8</v>
      </c>
      <c r="AC366" t="s">
        <v>3</v>
      </c>
      <c r="AD366" t="s">
        <v>8</v>
      </c>
      <c r="AE366" t="s">
        <v>67</v>
      </c>
      <c r="AF366" t="s">
        <v>3181</v>
      </c>
    </row>
    <row r="367" spans="1:32" x14ac:dyDescent="0.45">
      <c r="A367" t="s">
        <v>3182</v>
      </c>
      <c r="B367" t="s">
        <v>3183</v>
      </c>
      <c r="C367" t="s">
        <v>3184</v>
      </c>
      <c r="D367" t="s">
        <v>3185</v>
      </c>
      <c r="E367" t="s">
        <v>3186</v>
      </c>
      <c r="F367" t="s">
        <v>3187</v>
      </c>
      <c r="H367" t="s">
        <v>3188</v>
      </c>
      <c r="I367" t="s">
        <v>3189</v>
      </c>
      <c r="J367" t="s">
        <v>8</v>
      </c>
      <c r="K367" t="s">
        <v>3</v>
      </c>
      <c r="L367" t="s">
        <v>3</v>
      </c>
      <c r="M367" t="s">
        <v>373</v>
      </c>
      <c r="N367" t="s">
        <v>3</v>
      </c>
      <c r="O367" t="s">
        <v>3</v>
      </c>
      <c r="P367" t="s">
        <v>3</v>
      </c>
      <c r="Q367" t="s">
        <v>8</v>
      </c>
      <c r="R367" t="s">
        <v>373</v>
      </c>
      <c r="S367" t="s">
        <v>8</v>
      </c>
      <c r="T367" t="s">
        <v>3182</v>
      </c>
      <c r="U367" t="s">
        <v>3</v>
      </c>
      <c r="V367" t="s">
        <v>3</v>
      </c>
      <c r="W367" t="s">
        <v>3</v>
      </c>
      <c r="Z367" t="s">
        <v>1552</v>
      </c>
      <c r="AA367" t="s">
        <v>3</v>
      </c>
      <c r="AB367" t="s">
        <v>8</v>
      </c>
      <c r="AC367" t="s">
        <v>3</v>
      </c>
      <c r="AD367" t="s">
        <v>8</v>
      </c>
      <c r="AE367" t="s">
        <v>67</v>
      </c>
      <c r="AF367" t="s">
        <v>3190</v>
      </c>
    </row>
    <row r="368" spans="1:32" x14ac:dyDescent="0.45">
      <c r="A368" t="s">
        <v>3191</v>
      </c>
      <c r="B368" t="s">
        <v>3192</v>
      </c>
      <c r="C368" t="s">
        <v>3193</v>
      </c>
      <c r="D368" t="s">
        <v>3194</v>
      </c>
      <c r="E368" t="s">
        <v>3186</v>
      </c>
      <c r="F368" t="s">
        <v>3187</v>
      </c>
      <c r="H368" t="s">
        <v>3188</v>
      </c>
      <c r="I368" t="s">
        <v>3195</v>
      </c>
      <c r="J368" t="s">
        <v>8</v>
      </c>
      <c r="K368" t="s">
        <v>3</v>
      </c>
      <c r="L368" t="s">
        <v>3</v>
      </c>
      <c r="M368" t="s">
        <v>373</v>
      </c>
      <c r="N368" t="s">
        <v>3</v>
      </c>
      <c r="O368" t="s">
        <v>3</v>
      </c>
      <c r="P368" t="s">
        <v>3</v>
      </c>
      <c r="Q368" t="s">
        <v>3</v>
      </c>
      <c r="R368" t="s">
        <v>373</v>
      </c>
      <c r="S368" t="s">
        <v>8</v>
      </c>
      <c r="T368" t="s">
        <v>3191</v>
      </c>
      <c r="U368" t="s">
        <v>3</v>
      </c>
      <c r="V368" t="s">
        <v>3</v>
      </c>
      <c r="W368" t="s">
        <v>3</v>
      </c>
      <c r="AA368" t="s">
        <v>3</v>
      </c>
      <c r="AB368" t="s">
        <v>8</v>
      </c>
      <c r="AC368" t="s">
        <v>3</v>
      </c>
      <c r="AD368" t="s">
        <v>8</v>
      </c>
      <c r="AE368" t="s">
        <v>72</v>
      </c>
      <c r="AF368" t="s">
        <v>3196</v>
      </c>
    </row>
    <row r="369" spans="1:32" x14ac:dyDescent="0.45">
      <c r="A369" t="s">
        <v>3197</v>
      </c>
      <c r="B369" t="s">
        <v>3198</v>
      </c>
      <c r="C369" t="s">
        <v>3199</v>
      </c>
      <c r="D369" t="s">
        <v>3200</v>
      </c>
      <c r="E369" t="s">
        <v>3201</v>
      </c>
      <c r="F369" t="s">
        <v>3202</v>
      </c>
      <c r="H369" t="s">
        <v>3203</v>
      </c>
      <c r="I369" t="s">
        <v>3204</v>
      </c>
      <c r="J369" t="s">
        <v>8</v>
      </c>
      <c r="K369" t="s">
        <v>3</v>
      </c>
      <c r="L369" t="s">
        <v>3</v>
      </c>
      <c r="M369" t="s">
        <v>373</v>
      </c>
      <c r="N369" t="s">
        <v>3</v>
      </c>
      <c r="O369" t="s">
        <v>3</v>
      </c>
      <c r="P369" t="s">
        <v>3</v>
      </c>
      <c r="Q369" t="s">
        <v>8</v>
      </c>
      <c r="R369" t="s">
        <v>373</v>
      </c>
      <c r="S369" t="s">
        <v>8</v>
      </c>
      <c r="T369" t="s">
        <v>3197</v>
      </c>
      <c r="U369" t="s">
        <v>3</v>
      </c>
      <c r="V369" t="s">
        <v>3</v>
      </c>
      <c r="W369" t="s">
        <v>938</v>
      </c>
      <c r="AA369" t="s">
        <v>8</v>
      </c>
      <c r="AB369" t="s">
        <v>8</v>
      </c>
      <c r="AC369" t="s">
        <v>3</v>
      </c>
      <c r="AD369" t="s">
        <v>8</v>
      </c>
      <c r="AE369" t="s">
        <v>67</v>
      </c>
      <c r="AF369" t="s">
        <v>3205</v>
      </c>
    </row>
    <row r="370" spans="1:32" x14ac:dyDescent="0.45">
      <c r="A370" t="s">
        <v>3206</v>
      </c>
      <c r="B370" t="s">
        <v>3198</v>
      </c>
      <c r="C370" t="s">
        <v>3199</v>
      </c>
      <c r="D370" t="s">
        <v>3200</v>
      </c>
      <c r="E370" t="s">
        <v>3201</v>
      </c>
      <c r="F370" t="s">
        <v>3202</v>
      </c>
      <c r="H370" t="s">
        <v>3203</v>
      </c>
      <c r="I370" t="s">
        <v>3204</v>
      </c>
      <c r="J370" t="s">
        <v>8</v>
      </c>
      <c r="K370" t="s">
        <v>3</v>
      </c>
      <c r="L370" t="s">
        <v>3</v>
      </c>
      <c r="M370" t="s">
        <v>373</v>
      </c>
      <c r="N370" t="s">
        <v>3</v>
      </c>
      <c r="O370" t="s">
        <v>3</v>
      </c>
      <c r="P370" t="s">
        <v>3</v>
      </c>
      <c r="Q370" t="s">
        <v>8</v>
      </c>
      <c r="R370" t="s">
        <v>373</v>
      </c>
      <c r="S370" t="s">
        <v>8</v>
      </c>
      <c r="T370" t="s">
        <v>3206</v>
      </c>
      <c r="U370" t="s">
        <v>3</v>
      </c>
      <c r="V370" t="s">
        <v>3</v>
      </c>
      <c r="W370" t="s">
        <v>938</v>
      </c>
      <c r="AA370" t="s">
        <v>3</v>
      </c>
      <c r="AB370" t="s">
        <v>8</v>
      </c>
      <c r="AC370" t="s">
        <v>3</v>
      </c>
      <c r="AD370" t="s">
        <v>8</v>
      </c>
      <c r="AE370" t="s">
        <v>67</v>
      </c>
      <c r="AF370" t="s">
        <v>3207</v>
      </c>
    </row>
    <row r="371" spans="1:32" x14ac:dyDescent="0.45">
      <c r="A371" t="s">
        <v>3208</v>
      </c>
      <c r="B371" t="s">
        <v>3209</v>
      </c>
      <c r="C371" t="s">
        <v>3210</v>
      </c>
      <c r="D371" t="s">
        <v>3209</v>
      </c>
      <c r="E371" t="s">
        <v>3211</v>
      </c>
      <c r="F371" t="s">
        <v>3212</v>
      </c>
      <c r="H371" t="s">
        <v>3213</v>
      </c>
      <c r="J371" t="s">
        <v>3</v>
      </c>
      <c r="K371" t="s">
        <v>3</v>
      </c>
      <c r="L371" t="s">
        <v>3</v>
      </c>
      <c r="M371" t="s">
        <v>373</v>
      </c>
      <c r="N371" t="s">
        <v>3</v>
      </c>
      <c r="O371" t="s">
        <v>3</v>
      </c>
      <c r="P371" t="s">
        <v>3</v>
      </c>
      <c r="Q371" t="s">
        <v>8</v>
      </c>
      <c r="R371" t="s">
        <v>373</v>
      </c>
      <c r="S371" t="s">
        <v>8</v>
      </c>
      <c r="T371" t="s">
        <v>3208</v>
      </c>
      <c r="U371" t="s">
        <v>3</v>
      </c>
      <c r="V371" t="s">
        <v>3</v>
      </c>
      <c r="W371" t="s">
        <v>3</v>
      </c>
      <c r="AA371" t="s">
        <v>8</v>
      </c>
      <c r="AB371" t="s">
        <v>8</v>
      </c>
      <c r="AC371" t="s">
        <v>3</v>
      </c>
      <c r="AD371" t="s">
        <v>8</v>
      </c>
      <c r="AE371" t="s">
        <v>67</v>
      </c>
      <c r="AF371" t="s">
        <v>3214</v>
      </c>
    </row>
    <row r="372" spans="1:32" x14ac:dyDescent="0.45">
      <c r="A372" t="s">
        <v>3215</v>
      </c>
      <c r="B372" t="s">
        <v>3216</v>
      </c>
      <c r="C372" t="s">
        <v>3217</v>
      </c>
      <c r="D372" t="s">
        <v>3216</v>
      </c>
      <c r="E372" t="s">
        <v>1562</v>
      </c>
      <c r="F372" t="s">
        <v>3218</v>
      </c>
      <c r="H372" t="s">
        <v>3219</v>
      </c>
      <c r="J372" t="s">
        <v>8</v>
      </c>
      <c r="K372" t="s">
        <v>3</v>
      </c>
      <c r="L372" t="s">
        <v>3</v>
      </c>
      <c r="M372" t="s">
        <v>373</v>
      </c>
      <c r="N372" t="s">
        <v>3</v>
      </c>
      <c r="O372" t="s">
        <v>3</v>
      </c>
      <c r="P372" t="s">
        <v>3</v>
      </c>
      <c r="Q372" t="s">
        <v>8</v>
      </c>
      <c r="R372" t="s">
        <v>373</v>
      </c>
      <c r="S372" t="s">
        <v>8</v>
      </c>
      <c r="T372" t="s">
        <v>3215</v>
      </c>
      <c r="U372" t="s">
        <v>3</v>
      </c>
      <c r="V372" t="s">
        <v>3</v>
      </c>
      <c r="W372" t="s">
        <v>359</v>
      </c>
      <c r="AA372" t="s">
        <v>8</v>
      </c>
      <c r="AB372" t="s">
        <v>8</v>
      </c>
      <c r="AC372" t="s">
        <v>3</v>
      </c>
      <c r="AD372" t="s">
        <v>8</v>
      </c>
      <c r="AE372" t="s">
        <v>67</v>
      </c>
      <c r="AF372" t="s">
        <v>3220</v>
      </c>
    </row>
    <row r="373" spans="1:32" x14ac:dyDescent="0.45">
      <c r="A373" t="s">
        <v>3221</v>
      </c>
      <c r="B373" t="s">
        <v>3222</v>
      </c>
      <c r="C373" t="s">
        <v>3223</v>
      </c>
      <c r="D373" t="s">
        <v>3216</v>
      </c>
      <c r="E373" t="s">
        <v>1562</v>
      </c>
      <c r="F373" t="s">
        <v>3218</v>
      </c>
      <c r="H373" t="s">
        <v>3219</v>
      </c>
      <c r="J373" t="s">
        <v>8</v>
      </c>
      <c r="K373" t="s">
        <v>3</v>
      </c>
      <c r="L373" t="s">
        <v>3</v>
      </c>
      <c r="M373" t="s">
        <v>373</v>
      </c>
      <c r="N373" t="s">
        <v>3</v>
      </c>
      <c r="O373" t="s">
        <v>3</v>
      </c>
      <c r="P373" t="s">
        <v>3</v>
      </c>
      <c r="Q373" t="s">
        <v>8</v>
      </c>
      <c r="R373" t="s">
        <v>373</v>
      </c>
      <c r="S373" t="s">
        <v>8</v>
      </c>
      <c r="T373" t="s">
        <v>3221</v>
      </c>
      <c r="U373" t="s">
        <v>3</v>
      </c>
      <c r="V373" t="s">
        <v>3</v>
      </c>
      <c r="W373" t="s">
        <v>359</v>
      </c>
      <c r="AA373" t="s">
        <v>8</v>
      </c>
      <c r="AB373" t="s">
        <v>8</v>
      </c>
      <c r="AC373" t="s">
        <v>3</v>
      </c>
      <c r="AD373" t="s">
        <v>8</v>
      </c>
      <c r="AE373" t="s">
        <v>67</v>
      </c>
      <c r="AF373" t="s">
        <v>3224</v>
      </c>
    </row>
    <row r="374" spans="1:32" x14ac:dyDescent="0.45">
      <c r="A374" t="s">
        <v>3225</v>
      </c>
      <c r="B374" t="s">
        <v>3226</v>
      </c>
      <c r="C374" t="s">
        <v>3227</v>
      </c>
      <c r="D374" t="s">
        <v>3228</v>
      </c>
      <c r="E374" t="s">
        <v>3229</v>
      </c>
      <c r="F374" t="s">
        <v>3230</v>
      </c>
      <c r="H374" t="s">
        <v>3231</v>
      </c>
      <c r="I374" t="s">
        <v>3232</v>
      </c>
      <c r="J374" t="s">
        <v>8</v>
      </c>
      <c r="K374" t="s">
        <v>3</v>
      </c>
      <c r="L374" t="s">
        <v>3</v>
      </c>
      <c r="M374" t="s">
        <v>373</v>
      </c>
      <c r="N374" t="s">
        <v>3</v>
      </c>
      <c r="O374" t="s">
        <v>3</v>
      </c>
      <c r="P374" t="s">
        <v>3</v>
      </c>
      <c r="Q374" t="s">
        <v>8</v>
      </c>
      <c r="R374" t="s">
        <v>373</v>
      </c>
      <c r="S374" t="s">
        <v>8</v>
      </c>
      <c r="T374" t="s">
        <v>3225</v>
      </c>
      <c r="U374" t="s">
        <v>3</v>
      </c>
      <c r="V374" t="s">
        <v>3</v>
      </c>
      <c r="W374" t="s">
        <v>948</v>
      </c>
      <c r="AA374" t="s">
        <v>8</v>
      </c>
      <c r="AB374" t="s">
        <v>8</v>
      </c>
      <c r="AC374" t="s">
        <v>3</v>
      </c>
      <c r="AD374" t="s">
        <v>8</v>
      </c>
      <c r="AE374" t="s">
        <v>67</v>
      </c>
      <c r="AF374" t="s">
        <v>3233</v>
      </c>
    </row>
    <row r="375" spans="1:32" x14ac:dyDescent="0.45">
      <c r="A375" t="s">
        <v>3234</v>
      </c>
      <c r="B375" t="s">
        <v>3235</v>
      </c>
      <c r="C375" t="s">
        <v>3236</v>
      </c>
      <c r="D375" t="s">
        <v>3237</v>
      </c>
      <c r="E375" t="s">
        <v>3238</v>
      </c>
      <c r="F375" t="s">
        <v>3239</v>
      </c>
      <c r="G375" t="s">
        <v>3240</v>
      </c>
      <c r="H375" t="s">
        <v>3241</v>
      </c>
      <c r="I375" t="s">
        <v>3242</v>
      </c>
      <c r="J375" t="s">
        <v>8</v>
      </c>
      <c r="K375" t="s">
        <v>3</v>
      </c>
      <c r="L375" t="s">
        <v>3</v>
      </c>
      <c r="M375" t="s">
        <v>373</v>
      </c>
      <c r="N375" t="s">
        <v>3</v>
      </c>
      <c r="O375" t="s">
        <v>3</v>
      </c>
      <c r="P375" t="s">
        <v>3</v>
      </c>
      <c r="Q375" t="s">
        <v>8</v>
      </c>
      <c r="R375" t="s">
        <v>373</v>
      </c>
      <c r="S375" t="s">
        <v>8</v>
      </c>
      <c r="T375" t="s">
        <v>3234</v>
      </c>
      <c r="U375" t="s">
        <v>3</v>
      </c>
      <c r="V375" t="s">
        <v>3</v>
      </c>
      <c r="W375" t="s">
        <v>948</v>
      </c>
      <c r="AA375" t="s">
        <v>3</v>
      </c>
      <c r="AB375" t="s">
        <v>8</v>
      </c>
      <c r="AC375" t="s">
        <v>3</v>
      </c>
      <c r="AD375" t="s">
        <v>8</v>
      </c>
      <c r="AE375" t="s">
        <v>67</v>
      </c>
      <c r="AF375" t="s">
        <v>3243</v>
      </c>
    </row>
    <row r="376" spans="1:32" x14ac:dyDescent="0.45">
      <c r="A376" t="s">
        <v>3244</v>
      </c>
      <c r="B376" t="s">
        <v>3245</v>
      </c>
      <c r="C376" t="s">
        <v>3246</v>
      </c>
      <c r="D376" t="s">
        <v>3245</v>
      </c>
      <c r="E376" t="s">
        <v>2594</v>
      </c>
      <c r="F376" t="s">
        <v>3247</v>
      </c>
      <c r="H376" t="s">
        <v>3248</v>
      </c>
      <c r="I376" t="s">
        <v>3249</v>
      </c>
      <c r="J376" t="s">
        <v>8</v>
      </c>
      <c r="K376" t="s">
        <v>3</v>
      </c>
      <c r="L376" t="s">
        <v>3</v>
      </c>
      <c r="M376" t="s">
        <v>373</v>
      </c>
      <c r="N376" t="s">
        <v>3</v>
      </c>
      <c r="O376" t="s">
        <v>3</v>
      </c>
      <c r="P376" t="s">
        <v>3</v>
      </c>
      <c r="Q376" t="s">
        <v>8</v>
      </c>
      <c r="R376" t="s">
        <v>373</v>
      </c>
      <c r="S376" t="s">
        <v>8</v>
      </c>
      <c r="T376" t="s">
        <v>3244</v>
      </c>
      <c r="U376" t="s">
        <v>3</v>
      </c>
      <c r="V376" t="s">
        <v>3</v>
      </c>
      <c r="W376" t="s">
        <v>3</v>
      </c>
      <c r="AA376" t="s">
        <v>8</v>
      </c>
      <c r="AB376" t="s">
        <v>8</v>
      </c>
      <c r="AC376" t="s">
        <v>3</v>
      </c>
      <c r="AD376" t="s">
        <v>8</v>
      </c>
      <c r="AE376" t="s">
        <v>62</v>
      </c>
      <c r="AF376" t="s">
        <v>3250</v>
      </c>
    </row>
    <row r="377" spans="1:32" x14ac:dyDescent="0.45">
      <c r="A377" t="s">
        <v>3251</v>
      </c>
      <c r="B377" t="s">
        <v>3252</v>
      </c>
      <c r="C377" t="s">
        <v>3253</v>
      </c>
      <c r="D377" t="s">
        <v>3245</v>
      </c>
      <c r="E377" t="s">
        <v>2594</v>
      </c>
      <c r="F377" t="s">
        <v>3247</v>
      </c>
      <c r="H377" t="s">
        <v>3248</v>
      </c>
      <c r="I377" t="s">
        <v>3249</v>
      </c>
      <c r="J377" t="s">
        <v>8</v>
      </c>
      <c r="K377" t="s">
        <v>3</v>
      </c>
      <c r="L377" t="s">
        <v>3</v>
      </c>
      <c r="M377" t="s">
        <v>373</v>
      </c>
      <c r="N377" t="s">
        <v>3</v>
      </c>
      <c r="O377" t="s">
        <v>3</v>
      </c>
      <c r="P377" t="s">
        <v>3</v>
      </c>
      <c r="Q377" t="s">
        <v>8</v>
      </c>
      <c r="R377" t="s">
        <v>373</v>
      </c>
      <c r="S377" t="s">
        <v>8</v>
      </c>
      <c r="T377" t="s">
        <v>3244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67</v>
      </c>
      <c r="AF377" t="s">
        <v>3254</v>
      </c>
    </row>
    <row r="378" spans="1:32" x14ac:dyDescent="0.45">
      <c r="A378" t="s">
        <v>3255</v>
      </c>
      <c r="B378" t="s">
        <v>3256</v>
      </c>
      <c r="C378" t="s">
        <v>3257</v>
      </c>
      <c r="D378" t="s">
        <v>3256</v>
      </c>
      <c r="E378" t="s">
        <v>3258</v>
      </c>
      <c r="F378" t="s">
        <v>3259</v>
      </c>
      <c r="H378" t="s">
        <v>3260</v>
      </c>
      <c r="I378" t="s">
        <v>3261</v>
      </c>
      <c r="J378" t="s">
        <v>8</v>
      </c>
      <c r="K378" t="s">
        <v>3</v>
      </c>
      <c r="L378" t="s">
        <v>3</v>
      </c>
      <c r="M378" t="s">
        <v>373</v>
      </c>
      <c r="N378" t="s">
        <v>3</v>
      </c>
      <c r="O378" t="s">
        <v>3</v>
      </c>
      <c r="P378" t="s">
        <v>3</v>
      </c>
      <c r="Q378" t="s">
        <v>8</v>
      </c>
      <c r="R378" t="s">
        <v>373</v>
      </c>
      <c r="S378" t="s">
        <v>8</v>
      </c>
      <c r="T378" t="s">
        <v>3255</v>
      </c>
      <c r="U378" t="s">
        <v>3</v>
      </c>
      <c r="V378" t="s">
        <v>3</v>
      </c>
      <c r="W378" t="s">
        <v>3262</v>
      </c>
      <c r="AA378" t="s">
        <v>8</v>
      </c>
      <c r="AB378" t="s">
        <v>8</v>
      </c>
      <c r="AC378" t="s">
        <v>3</v>
      </c>
      <c r="AD378" t="s">
        <v>8</v>
      </c>
      <c r="AE378" t="s">
        <v>97</v>
      </c>
      <c r="AF378" t="s">
        <v>3263</v>
      </c>
    </row>
    <row r="379" spans="1:32" x14ac:dyDescent="0.45">
      <c r="A379" t="s">
        <v>3264</v>
      </c>
      <c r="B379" t="s">
        <v>3256</v>
      </c>
      <c r="C379" t="s">
        <v>3257</v>
      </c>
      <c r="D379" t="s">
        <v>3256</v>
      </c>
      <c r="E379" t="s">
        <v>3258</v>
      </c>
      <c r="F379" t="s">
        <v>3259</v>
      </c>
      <c r="H379" t="s">
        <v>3260</v>
      </c>
      <c r="I379" t="s">
        <v>3261</v>
      </c>
      <c r="J379" t="s">
        <v>8</v>
      </c>
      <c r="K379" t="s">
        <v>3</v>
      </c>
      <c r="L379" t="s">
        <v>3</v>
      </c>
      <c r="M379" t="s">
        <v>373</v>
      </c>
      <c r="N379" t="s">
        <v>3</v>
      </c>
      <c r="O379" t="s">
        <v>3</v>
      </c>
      <c r="P379" t="s">
        <v>3</v>
      </c>
      <c r="Q379" t="s">
        <v>8</v>
      </c>
      <c r="R379" t="s">
        <v>373</v>
      </c>
      <c r="S379" t="s">
        <v>8</v>
      </c>
      <c r="T379" t="s">
        <v>3264</v>
      </c>
      <c r="U379" t="s">
        <v>3</v>
      </c>
      <c r="V379" t="s">
        <v>3</v>
      </c>
      <c r="W379" t="s">
        <v>3262</v>
      </c>
      <c r="AA379" t="s">
        <v>8</v>
      </c>
      <c r="AB379" t="s">
        <v>8</v>
      </c>
      <c r="AC379" t="s">
        <v>3</v>
      </c>
      <c r="AD379" t="s">
        <v>8</v>
      </c>
      <c r="AE379" t="s">
        <v>67</v>
      </c>
      <c r="AF379" t="s">
        <v>3265</v>
      </c>
    </row>
    <row r="380" spans="1:32" x14ac:dyDescent="0.45">
      <c r="A380" t="s">
        <v>3266</v>
      </c>
      <c r="B380" t="s">
        <v>3267</v>
      </c>
      <c r="C380" t="s">
        <v>3268</v>
      </c>
      <c r="D380" t="s">
        <v>3267</v>
      </c>
      <c r="E380" t="s">
        <v>3269</v>
      </c>
      <c r="F380" t="s">
        <v>3270</v>
      </c>
      <c r="H380" t="s">
        <v>3271</v>
      </c>
      <c r="I380" t="s">
        <v>3272</v>
      </c>
      <c r="J380" t="s">
        <v>8</v>
      </c>
      <c r="K380" t="s">
        <v>3</v>
      </c>
      <c r="L380" t="s">
        <v>3</v>
      </c>
      <c r="M380" t="s">
        <v>373</v>
      </c>
      <c r="N380" t="s">
        <v>3</v>
      </c>
      <c r="O380" t="s">
        <v>3</v>
      </c>
      <c r="P380" t="s">
        <v>3</v>
      </c>
      <c r="Q380" t="s">
        <v>8</v>
      </c>
      <c r="R380" t="s">
        <v>373</v>
      </c>
      <c r="S380" t="s">
        <v>8</v>
      </c>
      <c r="T380" t="s">
        <v>3266</v>
      </c>
      <c r="U380" t="s">
        <v>3</v>
      </c>
      <c r="V380" t="s">
        <v>3</v>
      </c>
      <c r="W380" t="s">
        <v>3</v>
      </c>
      <c r="AA380" t="s">
        <v>8</v>
      </c>
      <c r="AB380" t="s">
        <v>8</v>
      </c>
      <c r="AC380" t="s">
        <v>3</v>
      </c>
      <c r="AD380" t="s">
        <v>8</v>
      </c>
      <c r="AE380" t="s">
        <v>67</v>
      </c>
      <c r="AF380" t="s">
        <v>3273</v>
      </c>
    </row>
    <row r="381" spans="1:32" x14ac:dyDescent="0.45">
      <c r="A381" t="s">
        <v>3274</v>
      </c>
      <c r="B381" t="s">
        <v>3275</v>
      </c>
      <c r="C381" t="s">
        <v>3276</v>
      </c>
      <c r="D381" t="s">
        <v>3275</v>
      </c>
      <c r="E381" t="s">
        <v>3269</v>
      </c>
      <c r="F381" t="s">
        <v>3270</v>
      </c>
      <c r="H381" t="s">
        <v>3271</v>
      </c>
      <c r="I381" t="s">
        <v>3272</v>
      </c>
      <c r="J381" t="s">
        <v>8</v>
      </c>
      <c r="K381" t="s">
        <v>3</v>
      </c>
      <c r="L381" t="s">
        <v>3</v>
      </c>
      <c r="M381" t="s">
        <v>373</v>
      </c>
      <c r="N381" t="s">
        <v>3</v>
      </c>
      <c r="O381" t="s">
        <v>3</v>
      </c>
      <c r="P381" t="s">
        <v>3</v>
      </c>
      <c r="Q381" t="s">
        <v>8</v>
      </c>
      <c r="R381" t="s">
        <v>373</v>
      </c>
      <c r="S381" t="s">
        <v>8</v>
      </c>
      <c r="T381" t="s">
        <v>3274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67</v>
      </c>
      <c r="AF381" t="s">
        <v>3277</v>
      </c>
    </row>
    <row r="382" spans="1:32" x14ac:dyDescent="0.45">
      <c r="A382" t="s">
        <v>3278</v>
      </c>
      <c r="B382" t="s">
        <v>3279</v>
      </c>
      <c r="C382" t="s">
        <v>3280</v>
      </c>
      <c r="D382" t="s">
        <v>3279</v>
      </c>
      <c r="E382" t="s">
        <v>3269</v>
      </c>
      <c r="F382" t="s">
        <v>3270</v>
      </c>
      <c r="H382" t="s">
        <v>3271</v>
      </c>
      <c r="I382" t="s">
        <v>3272</v>
      </c>
      <c r="J382" t="s">
        <v>8</v>
      </c>
      <c r="K382" t="s">
        <v>3</v>
      </c>
      <c r="L382" t="s">
        <v>3</v>
      </c>
      <c r="M382" t="s">
        <v>373</v>
      </c>
      <c r="N382" t="s">
        <v>3</v>
      </c>
      <c r="O382" t="s">
        <v>3</v>
      </c>
      <c r="P382" t="s">
        <v>3</v>
      </c>
      <c r="Q382" t="s">
        <v>8</v>
      </c>
      <c r="R382" t="s">
        <v>373</v>
      </c>
      <c r="S382" t="s">
        <v>8</v>
      </c>
      <c r="T382" t="s">
        <v>3278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67</v>
      </c>
      <c r="AF382" t="s">
        <v>3281</v>
      </c>
    </row>
    <row r="383" spans="1:32" x14ac:dyDescent="0.45">
      <c r="A383" t="s">
        <v>3282</v>
      </c>
      <c r="B383" t="s">
        <v>3283</v>
      </c>
      <c r="C383" t="s">
        <v>3284</v>
      </c>
      <c r="D383" t="s">
        <v>3283</v>
      </c>
      <c r="E383" t="s">
        <v>3269</v>
      </c>
      <c r="F383" t="s">
        <v>3270</v>
      </c>
      <c r="H383" t="s">
        <v>3271</v>
      </c>
      <c r="I383" t="s">
        <v>3272</v>
      </c>
      <c r="J383" t="s">
        <v>8</v>
      </c>
      <c r="K383" t="s">
        <v>3</v>
      </c>
      <c r="L383" t="s">
        <v>3</v>
      </c>
      <c r="M383" t="s">
        <v>373</v>
      </c>
      <c r="N383" t="s">
        <v>3</v>
      </c>
      <c r="O383" t="s">
        <v>3</v>
      </c>
      <c r="P383" t="s">
        <v>3</v>
      </c>
      <c r="Q383" t="s">
        <v>8</v>
      </c>
      <c r="R383" t="s">
        <v>373</v>
      </c>
      <c r="S383" t="s">
        <v>8</v>
      </c>
      <c r="T383" t="s">
        <v>3282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67</v>
      </c>
      <c r="AF383" t="s">
        <v>3285</v>
      </c>
    </row>
    <row r="384" spans="1:32" x14ac:dyDescent="0.45">
      <c r="A384" t="s">
        <v>3286</v>
      </c>
      <c r="B384" t="s">
        <v>3287</v>
      </c>
      <c r="C384" t="s">
        <v>3288</v>
      </c>
      <c r="D384" t="s">
        <v>3287</v>
      </c>
      <c r="E384" t="s">
        <v>3269</v>
      </c>
      <c r="F384" t="s">
        <v>3270</v>
      </c>
      <c r="H384" t="s">
        <v>3271</v>
      </c>
      <c r="I384" t="s">
        <v>3272</v>
      </c>
      <c r="J384" t="s">
        <v>8</v>
      </c>
      <c r="K384" t="s">
        <v>3</v>
      </c>
      <c r="L384" t="s">
        <v>3</v>
      </c>
      <c r="M384" t="s">
        <v>373</v>
      </c>
      <c r="N384" t="s">
        <v>3</v>
      </c>
      <c r="O384" t="s">
        <v>3</v>
      </c>
      <c r="P384" t="s">
        <v>3</v>
      </c>
      <c r="Q384" t="s">
        <v>8</v>
      </c>
      <c r="R384" t="s">
        <v>373</v>
      </c>
      <c r="S384" t="s">
        <v>8</v>
      </c>
      <c r="T384" t="s">
        <v>3266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67</v>
      </c>
      <c r="AF384" t="s">
        <v>3289</v>
      </c>
    </row>
    <row r="385" spans="1:32" x14ac:dyDescent="0.45">
      <c r="A385" t="s">
        <v>3290</v>
      </c>
      <c r="B385" t="s">
        <v>3291</v>
      </c>
      <c r="C385" t="s">
        <v>3292</v>
      </c>
      <c r="D385" t="s">
        <v>3293</v>
      </c>
      <c r="E385" t="s">
        <v>3294</v>
      </c>
      <c r="F385" t="s">
        <v>3295</v>
      </c>
      <c r="H385" t="s">
        <v>3296</v>
      </c>
      <c r="I385" t="s">
        <v>3297</v>
      </c>
      <c r="J385" t="s">
        <v>8</v>
      </c>
      <c r="K385" t="s">
        <v>3</v>
      </c>
      <c r="L385" t="s">
        <v>3</v>
      </c>
      <c r="M385" t="s">
        <v>373</v>
      </c>
      <c r="N385" t="s">
        <v>3</v>
      </c>
      <c r="O385" t="s">
        <v>3</v>
      </c>
      <c r="P385" t="s">
        <v>3</v>
      </c>
      <c r="Q385" t="s">
        <v>8</v>
      </c>
      <c r="R385" t="s">
        <v>373</v>
      </c>
      <c r="S385" t="s">
        <v>8</v>
      </c>
      <c r="T385" t="s">
        <v>3290</v>
      </c>
      <c r="U385" t="s">
        <v>3</v>
      </c>
      <c r="V385" t="s">
        <v>3</v>
      </c>
      <c r="W385" t="s">
        <v>933</v>
      </c>
      <c r="AA385" t="s">
        <v>8</v>
      </c>
      <c r="AB385" t="s">
        <v>8</v>
      </c>
      <c r="AC385" t="s">
        <v>3</v>
      </c>
      <c r="AD385" t="s">
        <v>8</v>
      </c>
      <c r="AE385" t="s">
        <v>67</v>
      </c>
      <c r="AF385" t="s">
        <v>3298</v>
      </c>
    </row>
    <row r="386" spans="1:32" x14ac:dyDescent="0.45">
      <c r="A386" t="s">
        <v>3299</v>
      </c>
      <c r="B386" t="s">
        <v>3300</v>
      </c>
      <c r="C386" t="s">
        <v>3301</v>
      </c>
      <c r="D386" t="s">
        <v>27</v>
      </c>
      <c r="E386" t="s">
        <v>3302</v>
      </c>
      <c r="F386" t="s">
        <v>3303</v>
      </c>
      <c r="H386" t="s">
        <v>3304</v>
      </c>
      <c r="I386" t="s">
        <v>3305</v>
      </c>
      <c r="J386" t="s">
        <v>8</v>
      </c>
      <c r="K386" t="s">
        <v>3</v>
      </c>
      <c r="L386" t="s">
        <v>3</v>
      </c>
      <c r="M386" t="s">
        <v>373</v>
      </c>
      <c r="N386" t="s">
        <v>3</v>
      </c>
      <c r="O386" t="s">
        <v>3</v>
      </c>
      <c r="P386" t="s">
        <v>3</v>
      </c>
      <c r="Q386" t="s">
        <v>8</v>
      </c>
      <c r="R386" t="s">
        <v>373</v>
      </c>
      <c r="S386" t="s">
        <v>8</v>
      </c>
      <c r="T386" t="s">
        <v>3299</v>
      </c>
      <c r="U386" t="s">
        <v>3</v>
      </c>
      <c r="V386" t="s">
        <v>3</v>
      </c>
      <c r="W386" t="s">
        <v>2985</v>
      </c>
      <c r="AA386" t="s">
        <v>3</v>
      </c>
      <c r="AB386" t="s">
        <v>8</v>
      </c>
      <c r="AC386" t="s">
        <v>3</v>
      </c>
      <c r="AD386" t="s">
        <v>8</v>
      </c>
      <c r="AE386" t="s">
        <v>67</v>
      </c>
      <c r="AF386" t="s">
        <v>3306</v>
      </c>
    </row>
    <row r="387" spans="1:32" x14ac:dyDescent="0.45">
      <c r="A387" t="s">
        <v>3307</v>
      </c>
      <c r="B387" t="s">
        <v>3308</v>
      </c>
      <c r="C387" t="s">
        <v>3309</v>
      </c>
      <c r="D387" t="s">
        <v>3308</v>
      </c>
      <c r="E387" t="s">
        <v>1550</v>
      </c>
      <c r="F387" t="s">
        <v>3310</v>
      </c>
      <c r="H387" t="s">
        <v>3311</v>
      </c>
      <c r="I387" t="s">
        <v>3312</v>
      </c>
      <c r="J387" t="s">
        <v>8</v>
      </c>
      <c r="K387" t="s">
        <v>3</v>
      </c>
      <c r="L387" t="s">
        <v>3</v>
      </c>
      <c r="M387" t="s">
        <v>373</v>
      </c>
      <c r="N387" t="s">
        <v>3</v>
      </c>
      <c r="O387" t="s">
        <v>3</v>
      </c>
      <c r="P387" t="s">
        <v>3</v>
      </c>
      <c r="Q387" t="s">
        <v>8</v>
      </c>
      <c r="R387" t="s">
        <v>373</v>
      </c>
      <c r="S387" t="s">
        <v>8</v>
      </c>
      <c r="T387" t="s">
        <v>3307</v>
      </c>
      <c r="U387" t="s">
        <v>3</v>
      </c>
      <c r="V387" t="s">
        <v>3</v>
      </c>
      <c r="W387" t="s">
        <v>3313</v>
      </c>
      <c r="AA387" t="s">
        <v>3</v>
      </c>
      <c r="AB387" t="s">
        <v>8</v>
      </c>
      <c r="AC387" t="s">
        <v>3</v>
      </c>
      <c r="AD387" t="s">
        <v>8</v>
      </c>
      <c r="AE387" t="s">
        <v>67</v>
      </c>
      <c r="AF387" t="s">
        <v>3314</v>
      </c>
    </row>
    <row r="388" spans="1:32" x14ac:dyDescent="0.45">
      <c r="A388" t="s">
        <v>3315</v>
      </c>
      <c r="B388" t="s">
        <v>3308</v>
      </c>
      <c r="C388" t="s">
        <v>3309</v>
      </c>
      <c r="D388" t="s">
        <v>3308</v>
      </c>
      <c r="E388" t="s">
        <v>1550</v>
      </c>
      <c r="F388" t="s">
        <v>3310</v>
      </c>
      <c r="H388" t="s">
        <v>3311</v>
      </c>
      <c r="I388" t="s">
        <v>3312</v>
      </c>
      <c r="J388" t="s">
        <v>8</v>
      </c>
      <c r="K388" t="s">
        <v>3</v>
      </c>
      <c r="L388" t="s">
        <v>3</v>
      </c>
      <c r="M388" t="s">
        <v>373</v>
      </c>
      <c r="N388" t="s">
        <v>3</v>
      </c>
      <c r="O388" t="s">
        <v>3</v>
      </c>
      <c r="P388" t="s">
        <v>3</v>
      </c>
      <c r="Q388" t="s">
        <v>8</v>
      </c>
      <c r="R388" t="s">
        <v>373</v>
      </c>
      <c r="S388" t="s">
        <v>8</v>
      </c>
      <c r="T388" t="s">
        <v>3315</v>
      </c>
      <c r="U388" t="s">
        <v>3</v>
      </c>
      <c r="V388" t="s">
        <v>3</v>
      </c>
      <c r="W388" t="s">
        <v>3313</v>
      </c>
      <c r="AA388" t="s">
        <v>3</v>
      </c>
      <c r="AB388" t="s">
        <v>8</v>
      </c>
      <c r="AC388" t="s">
        <v>3</v>
      </c>
      <c r="AD388" t="s">
        <v>8</v>
      </c>
      <c r="AE388" t="s">
        <v>67</v>
      </c>
      <c r="AF388" t="s">
        <v>3316</v>
      </c>
    </row>
    <row r="389" spans="1:32" x14ac:dyDescent="0.45">
      <c r="A389" t="s">
        <v>3317</v>
      </c>
      <c r="B389" t="s">
        <v>3318</v>
      </c>
      <c r="C389" t="s">
        <v>3319</v>
      </c>
      <c r="D389" t="s">
        <v>3318</v>
      </c>
      <c r="E389" t="s">
        <v>3320</v>
      </c>
      <c r="F389" t="s">
        <v>3321</v>
      </c>
      <c r="H389" t="s">
        <v>3322</v>
      </c>
      <c r="I389" t="s">
        <v>3323</v>
      </c>
      <c r="J389" t="s">
        <v>8</v>
      </c>
      <c r="K389" t="s">
        <v>3</v>
      </c>
      <c r="L389" t="s">
        <v>3</v>
      </c>
      <c r="M389" t="s">
        <v>373</v>
      </c>
      <c r="N389" t="s">
        <v>3</v>
      </c>
      <c r="O389" t="s">
        <v>3</v>
      </c>
      <c r="P389" t="s">
        <v>3</v>
      </c>
      <c r="Q389" t="s">
        <v>8</v>
      </c>
      <c r="R389" t="s">
        <v>373</v>
      </c>
      <c r="S389" t="s">
        <v>8</v>
      </c>
      <c r="T389" t="s">
        <v>3317</v>
      </c>
      <c r="U389" t="s">
        <v>3</v>
      </c>
      <c r="V389" t="s">
        <v>3</v>
      </c>
      <c r="W389" t="s">
        <v>653</v>
      </c>
      <c r="AA389" t="s">
        <v>3</v>
      </c>
      <c r="AB389" t="s">
        <v>8</v>
      </c>
      <c r="AC389" t="s">
        <v>3</v>
      </c>
      <c r="AD389" t="s">
        <v>8</v>
      </c>
      <c r="AE389" t="s">
        <v>67</v>
      </c>
      <c r="AF389" t="s">
        <v>3324</v>
      </c>
    </row>
    <row r="390" spans="1:32" x14ac:dyDescent="0.45">
      <c r="A390" t="s">
        <v>3325</v>
      </c>
      <c r="B390" t="s">
        <v>3326</v>
      </c>
      <c r="C390" t="s">
        <v>3327</v>
      </c>
      <c r="D390" t="s">
        <v>3326</v>
      </c>
      <c r="E390" t="s">
        <v>3328</v>
      </c>
      <c r="F390" t="s">
        <v>3329</v>
      </c>
      <c r="H390" t="s">
        <v>3330</v>
      </c>
      <c r="I390" t="s">
        <v>3330</v>
      </c>
      <c r="J390" t="s">
        <v>8</v>
      </c>
      <c r="K390" t="s">
        <v>3</v>
      </c>
      <c r="L390" t="s">
        <v>3</v>
      </c>
      <c r="M390" t="s">
        <v>373</v>
      </c>
      <c r="N390" t="s">
        <v>3</v>
      </c>
      <c r="O390" t="s">
        <v>3</v>
      </c>
      <c r="P390" t="s">
        <v>3</v>
      </c>
      <c r="Q390" t="s">
        <v>8</v>
      </c>
      <c r="R390" t="s">
        <v>373</v>
      </c>
      <c r="S390" t="s">
        <v>8</v>
      </c>
      <c r="T390" t="s">
        <v>3325</v>
      </c>
      <c r="U390" t="s">
        <v>3</v>
      </c>
      <c r="V390" t="s">
        <v>3</v>
      </c>
      <c r="W390" t="s">
        <v>1339</v>
      </c>
      <c r="AA390" t="s">
        <v>8</v>
      </c>
      <c r="AB390" t="s">
        <v>8</v>
      </c>
      <c r="AC390" t="s">
        <v>3</v>
      </c>
      <c r="AD390" t="s">
        <v>8</v>
      </c>
      <c r="AE390" t="s">
        <v>67</v>
      </c>
      <c r="AF390" t="s">
        <v>3331</v>
      </c>
    </row>
    <row r="391" spans="1:32" x14ac:dyDescent="0.45">
      <c r="A391" t="s">
        <v>3332</v>
      </c>
      <c r="B391" t="s">
        <v>3333</v>
      </c>
      <c r="C391" t="s">
        <v>3334</v>
      </c>
      <c r="D391" t="s">
        <v>3335</v>
      </c>
      <c r="E391" t="s">
        <v>3336</v>
      </c>
      <c r="F391" t="s">
        <v>3337</v>
      </c>
      <c r="H391" t="s">
        <v>3338</v>
      </c>
      <c r="I391" t="s">
        <v>3338</v>
      </c>
      <c r="J391" t="s">
        <v>8</v>
      </c>
      <c r="K391" t="s">
        <v>3</v>
      </c>
      <c r="L391" t="s">
        <v>3</v>
      </c>
      <c r="M391" t="s">
        <v>373</v>
      </c>
      <c r="N391" t="s">
        <v>3</v>
      </c>
      <c r="O391" t="s">
        <v>3</v>
      </c>
      <c r="P391" t="s">
        <v>3</v>
      </c>
      <c r="Q391" t="s">
        <v>8</v>
      </c>
      <c r="R391" t="s">
        <v>373</v>
      </c>
      <c r="S391" t="s">
        <v>8</v>
      </c>
      <c r="T391" t="s">
        <v>3332</v>
      </c>
      <c r="U391" t="s">
        <v>3</v>
      </c>
      <c r="V391" t="s">
        <v>3</v>
      </c>
      <c r="W391" t="s">
        <v>3</v>
      </c>
      <c r="AA391" t="s">
        <v>8</v>
      </c>
      <c r="AB391" t="s">
        <v>8</v>
      </c>
      <c r="AC391" t="s">
        <v>3</v>
      </c>
      <c r="AD391" t="s">
        <v>8</v>
      </c>
      <c r="AE391" t="s">
        <v>69</v>
      </c>
      <c r="AF391" t="s">
        <v>3339</v>
      </c>
    </row>
    <row r="392" spans="1:32" x14ac:dyDescent="0.45">
      <c r="A392" t="s">
        <v>3340</v>
      </c>
      <c r="B392" t="s">
        <v>3333</v>
      </c>
      <c r="C392" t="s">
        <v>3334</v>
      </c>
      <c r="D392" t="s">
        <v>3335</v>
      </c>
      <c r="E392" t="s">
        <v>3336</v>
      </c>
      <c r="F392" t="s">
        <v>3337</v>
      </c>
      <c r="H392" t="s">
        <v>3338</v>
      </c>
      <c r="I392" t="s">
        <v>3338</v>
      </c>
      <c r="J392" t="s">
        <v>8</v>
      </c>
      <c r="K392" t="s">
        <v>3</v>
      </c>
      <c r="L392" t="s">
        <v>3</v>
      </c>
      <c r="M392" t="s">
        <v>373</v>
      </c>
      <c r="N392" t="s">
        <v>3</v>
      </c>
      <c r="O392" t="s">
        <v>3</v>
      </c>
      <c r="P392" t="s">
        <v>3</v>
      </c>
      <c r="Q392" t="s">
        <v>8</v>
      </c>
      <c r="R392" t="s">
        <v>373</v>
      </c>
      <c r="S392" t="s">
        <v>8</v>
      </c>
      <c r="T392" t="s">
        <v>3340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67</v>
      </c>
      <c r="AF392" t="s">
        <v>3341</v>
      </c>
    </row>
    <row r="393" spans="1:32" x14ac:dyDescent="0.45">
      <c r="A393" t="s">
        <v>3342</v>
      </c>
      <c r="B393" t="s">
        <v>3343</v>
      </c>
      <c r="C393" t="s">
        <v>3344</v>
      </c>
      <c r="D393" t="s">
        <v>3335</v>
      </c>
      <c r="E393" t="s">
        <v>3336</v>
      </c>
      <c r="F393" t="s">
        <v>3337</v>
      </c>
      <c r="H393" t="s">
        <v>3338</v>
      </c>
      <c r="I393" t="s">
        <v>3338</v>
      </c>
      <c r="J393" t="s">
        <v>8</v>
      </c>
      <c r="K393" t="s">
        <v>3</v>
      </c>
      <c r="L393" t="s">
        <v>3</v>
      </c>
      <c r="M393" t="s">
        <v>373</v>
      </c>
      <c r="N393" t="s">
        <v>3</v>
      </c>
      <c r="O393" t="s">
        <v>3</v>
      </c>
      <c r="P393" t="s">
        <v>3</v>
      </c>
      <c r="Q393" t="s">
        <v>8</v>
      </c>
      <c r="R393" t="s">
        <v>373</v>
      </c>
      <c r="S393" t="s">
        <v>8</v>
      </c>
      <c r="T393" t="s">
        <v>3342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67</v>
      </c>
      <c r="AF393" t="s">
        <v>3345</v>
      </c>
    </row>
    <row r="394" spans="1:32" x14ac:dyDescent="0.45">
      <c r="A394" t="s">
        <v>100</v>
      </c>
      <c r="B394" t="s">
        <v>27</v>
      </c>
      <c r="C394" t="s">
        <v>3346</v>
      </c>
      <c r="D394" t="s">
        <v>27</v>
      </c>
      <c r="E394" t="s">
        <v>3347</v>
      </c>
      <c r="F394" t="s">
        <v>3348</v>
      </c>
      <c r="H394" t="s">
        <v>3304</v>
      </c>
      <c r="I394" t="s">
        <v>3305</v>
      </c>
      <c r="J394" t="s">
        <v>8</v>
      </c>
      <c r="K394" t="s">
        <v>3</v>
      </c>
      <c r="L394" t="s">
        <v>3</v>
      </c>
      <c r="M394" t="s">
        <v>373</v>
      </c>
      <c r="N394" t="s">
        <v>3</v>
      </c>
      <c r="O394" t="s">
        <v>3</v>
      </c>
      <c r="P394" t="s">
        <v>3</v>
      </c>
      <c r="Q394" t="s">
        <v>8</v>
      </c>
      <c r="R394" t="s">
        <v>373</v>
      </c>
      <c r="S394" t="s">
        <v>8</v>
      </c>
      <c r="T394" t="s">
        <v>100</v>
      </c>
      <c r="U394" t="s">
        <v>3</v>
      </c>
      <c r="V394" t="s">
        <v>3</v>
      </c>
      <c r="W394" t="s">
        <v>2985</v>
      </c>
      <c r="AA394" t="s">
        <v>8</v>
      </c>
      <c r="AB394" t="s">
        <v>8</v>
      </c>
      <c r="AC394" t="s">
        <v>3</v>
      </c>
      <c r="AD394" t="s">
        <v>8</v>
      </c>
      <c r="AE394" t="s">
        <v>62</v>
      </c>
      <c r="AF394" t="s">
        <v>3349</v>
      </c>
    </row>
    <row r="395" spans="1:32" x14ac:dyDescent="0.45">
      <c r="A395" t="s">
        <v>3350</v>
      </c>
      <c r="B395" t="s">
        <v>3351</v>
      </c>
      <c r="C395" t="s">
        <v>3352</v>
      </c>
      <c r="D395" t="s">
        <v>3353</v>
      </c>
      <c r="E395" t="s">
        <v>3347</v>
      </c>
      <c r="F395" t="s">
        <v>3348</v>
      </c>
      <c r="H395" t="s">
        <v>3304</v>
      </c>
      <c r="I395" t="s">
        <v>3305</v>
      </c>
      <c r="J395" t="s">
        <v>8</v>
      </c>
      <c r="K395" t="s">
        <v>3</v>
      </c>
      <c r="L395" t="s">
        <v>3</v>
      </c>
      <c r="M395" t="s">
        <v>373</v>
      </c>
      <c r="N395" t="s">
        <v>3</v>
      </c>
      <c r="O395" t="s">
        <v>3</v>
      </c>
      <c r="P395" t="s">
        <v>3</v>
      </c>
      <c r="Q395" t="s">
        <v>8</v>
      </c>
      <c r="R395" t="s">
        <v>373</v>
      </c>
      <c r="S395" t="s">
        <v>8</v>
      </c>
      <c r="T395" t="s">
        <v>3350</v>
      </c>
      <c r="U395" t="s">
        <v>3</v>
      </c>
      <c r="V395" t="s">
        <v>3</v>
      </c>
      <c r="W395" t="s">
        <v>2985</v>
      </c>
      <c r="AA395" t="s">
        <v>8</v>
      </c>
      <c r="AB395" t="s">
        <v>8</v>
      </c>
      <c r="AC395" t="s">
        <v>3</v>
      </c>
      <c r="AD395" t="s">
        <v>8</v>
      </c>
      <c r="AE395" t="s">
        <v>67</v>
      </c>
      <c r="AF395" t="s">
        <v>3354</v>
      </c>
    </row>
    <row r="396" spans="1:32" x14ac:dyDescent="0.45">
      <c r="A396" t="s">
        <v>3355</v>
      </c>
      <c r="B396" t="s">
        <v>3356</v>
      </c>
      <c r="C396" t="s">
        <v>3357</v>
      </c>
      <c r="D396" t="s">
        <v>3356</v>
      </c>
      <c r="E396" t="s">
        <v>3358</v>
      </c>
      <c r="F396" t="s">
        <v>3359</v>
      </c>
      <c r="H396" t="s">
        <v>3360</v>
      </c>
      <c r="I396" t="s">
        <v>3361</v>
      </c>
      <c r="J396" t="s">
        <v>8</v>
      </c>
      <c r="K396" t="s">
        <v>3</v>
      </c>
      <c r="L396" t="s">
        <v>3</v>
      </c>
      <c r="M396" t="s">
        <v>373</v>
      </c>
      <c r="N396" t="s">
        <v>3</v>
      </c>
      <c r="O396" t="s">
        <v>3</v>
      </c>
      <c r="P396" t="s">
        <v>3</v>
      </c>
      <c r="Q396" t="s">
        <v>8</v>
      </c>
      <c r="R396" t="s">
        <v>373</v>
      </c>
      <c r="S396" t="s">
        <v>8</v>
      </c>
      <c r="T396" t="s">
        <v>3355</v>
      </c>
      <c r="U396" t="s">
        <v>3</v>
      </c>
      <c r="V396" t="s">
        <v>3</v>
      </c>
      <c r="W396" t="s">
        <v>926</v>
      </c>
      <c r="AA396" t="s">
        <v>8</v>
      </c>
      <c r="AB396" t="s">
        <v>8</v>
      </c>
      <c r="AC396" t="s">
        <v>3</v>
      </c>
      <c r="AD396" t="s">
        <v>8</v>
      </c>
      <c r="AE396" t="s">
        <v>62</v>
      </c>
      <c r="AF396" t="s">
        <v>3362</v>
      </c>
    </row>
    <row r="397" spans="1:32" x14ac:dyDescent="0.45">
      <c r="A397" t="s">
        <v>3363</v>
      </c>
      <c r="B397" t="s">
        <v>3364</v>
      </c>
      <c r="C397" t="s">
        <v>3365</v>
      </c>
      <c r="D397" t="s">
        <v>3366</v>
      </c>
      <c r="E397" t="s">
        <v>1955</v>
      </c>
      <c r="F397" t="s">
        <v>3367</v>
      </c>
      <c r="H397" t="s">
        <v>3368</v>
      </c>
      <c r="I397" t="s">
        <v>3368</v>
      </c>
      <c r="J397" t="s">
        <v>8</v>
      </c>
      <c r="K397" t="s">
        <v>3</v>
      </c>
      <c r="L397" t="s">
        <v>3</v>
      </c>
      <c r="M397" t="s">
        <v>373</v>
      </c>
      <c r="N397" t="s">
        <v>3</v>
      </c>
      <c r="O397" t="s">
        <v>3</v>
      </c>
      <c r="P397" t="s">
        <v>3</v>
      </c>
      <c r="Q397" t="s">
        <v>8</v>
      </c>
      <c r="R397" t="s">
        <v>373</v>
      </c>
      <c r="S397" t="s">
        <v>8</v>
      </c>
      <c r="T397" t="s">
        <v>3363</v>
      </c>
      <c r="U397" t="s">
        <v>3</v>
      </c>
      <c r="V397" t="s">
        <v>3</v>
      </c>
      <c r="W397" t="s">
        <v>787</v>
      </c>
      <c r="AA397" t="s">
        <v>8</v>
      </c>
      <c r="AB397" t="s">
        <v>8</v>
      </c>
      <c r="AC397" t="s">
        <v>3</v>
      </c>
      <c r="AD397" t="s">
        <v>8</v>
      </c>
      <c r="AE397" t="s">
        <v>67</v>
      </c>
      <c r="AF397" t="s">
        <v>3369</v>
      </c>
    </row>
    <row r="398" spans="1:32" x14ac:dyDescent="0.45">
      <c r="A398" t="s">
        <v>3370</v>
      </c>
      <c r="B398" t="s">
        <v>3371</v>
      </c>
      <c r="C398" t="s">
        <v>3372</v>
      </c>
      <c r="D398" t="s">
        <v>3371</v>
      </c>
      <c r="E398" t="s">
        <v>3373</v>
      </c>
      <c r="F398" t="s">
        <v>3374</v>
      </c>
      <c r="G398" t="s">
        <v>3375</v>
      </c>
      <c r="H398" t="s">
        <v>3376</v>
      </c>
      <c r="J398" t="s">
        <v>8</v>
      </c>
      <c r="K398" t="s">
        <v>3</v>
      </c>
      <c r="L398" t="s">
        <v>3</v>
      </c>
      <c r="M398" t="s">
        <v>373</v>
      </c>
      <c r="N398" t="s">
        <v>3</v>
      </c>
      <c r="O398" t="s">
        <v>3</v>
      </c>
      <c r="P398" t="s">
        <v>3</v>
      </c>
      <c r="Q398" t="s">
        <v>8</v>
      </c>
      <c r="R398" t="s">
        <v>373</v>
      </c>
      <c r="S398" t="s">
        <v>8</v>
      </c>
      <c r="T398" t="s">
        <v>3370</v>
      </c>
      <c r="U398" t="s">
        <v>3</v>
      </c>
      <c r="V398" t="s">
        <v>3</v>
      </c>
      <c r="W398" t="s">
        <v>385</v>
      </c>
      <c r="AA398" t="s">
        <v>8</v>
      </c>
      <c r="AB398" t="s">
        <v>8</v>
      </c>
      <c r="AC398" t="s">
        <v>3</v>
      </c>
      <c r="AD398" t="s">
        <v>8</v>
      </c>
      <c r="AE398" t="s">
        <v>67</v>
      </c>
      <c r="AF398" t="s">
        <v>3377</v>
      </c>
    </row>
    <row r="399" spans="1:32" x14ac:dyDescent="0.45">
      <c r="A399" t="s">
        <v>3378</v>
      </c>
      <c r="B399" t="s">
        <v>3379</v>
      </c>
      <c r="C399" t="s">
        <v>3380</v>
      </c>
      <c r="D399" t="s">
        <v>3379</v>
      </c>
      <c r="F399" t="s">
        <v>3381</v>
      </c>
      <c r="H399" t="s">
        <v>3382</v>
      </c>
      <c r="J399" t="s">
        <v>8</v>
      </c>
      <c r="K399" t="s">
        <v>3</v>
      </c>
      <c r="L399" t="s">
        <v>3</v>
      </c>
      <c r="M399" t="s">
        <v>373</v>
      </c>
      <c r="N399" t="s">
        <v>3</v>
      </c>
      <c r="O399" t="s">
        <v>3</v>
      </c>
      <c r="P399" t="s">
        <v>3</v>
      </c>
      <c r="Q399" t="s">
        <v>8</v>
      </c>
      <c r="R399" t="s">
        <v>373</v>
      </c>
      <c r="S399" t="s">
        <v>8</v>
      </c>
      <c r="T399" t="s">
        <v>3378</v>
      </c>
      <c r="U399" t="s">
        <v>3</v>
      </c>
      <c r="V399" t="s">
        <v>3</v>
      </c>
      <c r="W399" t="s">
        <v>3</v>
      </c>
      <c r="AA399" t="s">
        <v>8</v>
      </c>
      <c r="AB399" t="s">
        <v>8</v>
      </c>
      <c r="AC399" t="s">
        <v>3</v>
      </c>
      <c r="AD399" t="s">
        <v>8</v>
      </c>
      <c r="AE399" t="s">
        <v>67</v>
      </c>
      <c r="AF399" t="s">
        <v>3383</v>
      </c>
    </row>
    <row r="400" spans="1:32" x14ac:dyDescent="0.45">
      <c r="A400" t="s">
        <v>3384</v>
      </c>
      <c r="B400" t="s">
        <v>3385</v>
      </c>
      <c r="C400" t="s">
        <v>3386</v>
      </c>
      <c r="D400" t="s">
        <v>3385</v>
      </c>
      <c r="E400" t="s">
        <v>2566</v>
      </c>
      <c r="F400" t="s">
        <v>3387</v>
      </c>
      <c r="H400" t="s">
        <v>3388</v>
      </c>
      <c r="J400" t="s">
        <v>8</v>
      </c>
      <c r="K400" t="s">
        <v>3</v>
      </c>
      <c r="L400" t="s">
        <v>3</v>
      </c>
      <c r="M400" t="s">
        <v>373</v>
      </c>
      <c r="N400" t="s">
        <v>3</v>
      </c>
      <c r="O400" t="s">
        <v>3</v>
      </c>
      <c r="P400" t="s">
        <v>3</v>
      </c>
      <c r="Q400" t="s">
        <v>8</v>
      </c>
      <c r="R400" t="s">
        <v>373</v>
      </c>
      <c r="S400" t="s">
        <v>8</v>
      </c>
      <c r="T400" t="s">
        <v>3384</v>
      </c>
      <c r="U400" t="s">
        <v>3</v>
      </c>
      <c r="V400" t="s">
        <v>3</v>
      </c>
      <c r="W400" t="s">
        <v>948</v>
      </c>
      <c r="AA400" t="s">
        <v>8</v>
      </c>
      <c r="AB400" t="s">
        <v>8</v>
      </c>
      <c r="AC400" t="s">
        <v>3</v>
      </c>
      <c r="AD400" t="s">
        <v>8</v>
      </c>
      <c r="AE400" t="s">
        <v>62</v>
      </c>
      <c r="AF400" t="s">
        <v>3389</v>
      </c>
    </row>
    <row r="401" spans="1:32" x14ac:dyDescent="0.45">
      <c r="A401" t="s">
        <v>3390</v>
      </c>
      <c r="B401" t="s">
        <v>3391</v>
      </c>
      <c r="C401" t="s">
        <v>3392</v>
      </c>
      <c r="D401" t="s">
        <v>3393</v>
      </c>
      <c r="E401" t="s">
        <v>3111</v>
      </c>
      <c r="F401" t="s">
        <v>3394</v>
      </c>
      <c r="H401" t="s">
        <v>3395</v>
      </c>
      <c r="I401" t="s">
        <v>3396</v>
      </c>
      <c r="J401" t="s">
        <v>8</v>
      </c>
      <c r="K401" t="s">
        <v>3</v>
      </c>
      <c r="L401" t="s">
        <v>3</v>
      </c>
      <c r="M401" t="s">
        <v>373</v>
      </c>
      <c r="N401" t="s">
        <v>3</v>
      </c>
      <c r="O401" t="s">
        <v>3</v>
      </c>
      <c r="P401" t="s">
        <v>3</v>
      </c>
      <c r="Q401" t="s">
        <v>8</v>
      </c>
      <c r="R401" t="s">
        <v>373</v>
      </c>
      <c r="S401" t="s">
        <v>8</v>
      </c>
      <c r="T401" t="s">
        <v>3390</v>
      </c>
      <c r="U401" t="s">
        <v>3</v>
      </c>
      <c r="V401" t="s">
        <v>3</v>
      </c>
      <c r="W401" t="s">
        <v>930</v>
      </c>
      <c r="AA401" t="s">
        <v>8</v>
      </c>
      <c r="AB401" t="s">
        <v>8</v>
      </c>
      <c r="AC401" t="s">
        <v>3</v>
      </c>
      <c r="AD401" t="s">
        <v>8</v>
      </c>
      <c r="AE401" t="s">
        <v>62</v>
      </c>
      <c r="AF401" t="s">
        <v>3397</v>
      </c>
    </row>
    <row r="402" spans="1:32" x14ac:dyDescent="0.45">
      <c r="A402" t="s">
        <v>3398</v>
      </c>
      <c r="B402" t="s">
        <v>3399</v>
      </c>
      <c r="C402" t="s">
        <v>3400</v>
      </c>
      <c r="D402" t="s">
        <v>3399</v>
      </c>
      <c r="E402" t="s">
        <v>1503</v>
      </c>
      <c r="F402" t="s">
        <v>3401</v>
      </c>
      <c r="H402" t="s">
        <v>3402</v>
      </c>
      <c r="J402" t="s">
        <v>8</v>
      </c>
      <c r="K402" t="s">
        <v>3</v>
      </c>
      <c r="L402" t="s">
        <v>3</v>
      </c>
      <c r="M402" t="s">
        <v>373</v>
      </c>
      <c r="N402" t="s">
        <v>3</v>
      </c>
      <c r="O402" t="s">
        <v>3</v>
      </c>
      <c r="P402" t="s">
        <v>3</v>
      </c>
      <c r="Q402" t="s">
        <v>8</v>
      </c>
      <c r="R402" t="s">
        <v>373</v>
      </c>
      <c r="S402" t="s">
        <v>8</v>
      </c>
      <c r="T402" t="s">
        <v>3398</v>
      </c>
      <c r="U402" t="s">
        <v>3</v>
      </c>
      <c r="V402" t="s">
        <v>3</v>
      </c>
      <c r="W402" t="s">
        <v>3</v>
      </c>
      <c r="AA402" t="s">
        <v>8</v>
      </c>
      <c r="AB402" t="s">
        <v>8</v>
      </c>
      <c r="AC402" t="s">
        <v>3</v>
      </c>
      <c r="AD402" t="s">
        <v>8</v>
      </c>
      <c r="AE402" t="s">
        <v>62</v>
      </c>
      <c r="AF402" t="s">
        <v>3403</v>
      </c>
    </row>
    <row r="403" spans="1:32" x14ac:dyDescent="0.45">
      <c r="A403" t="s">
        <v>3404</v>
      </c>
      <c r="B403" t="s">
        <v>3405</v>
      </c>
      <c r="C403" t="s">
        <v>3406</v>
      </c>
      <c r="D403" t="s">
        <v>3407</v>
      </c>
      <c r="E403" t="s">
        <v>3408</v>
      </c>
      <c r="F403" t="s">
        <v>3409</v>
      </c>
      <c r="H403" t="s">
        <v>3410</v>
      </c>
      <c r="I403" t="s">
        <v>3411</v>
      </c>
      <c r="J403" t="s">
        <v>8</v>
      </c>
      <c r="K403" t="s">
        <v>3</v>
      </c>
      <c r="L403" t="s">
        <v>3</v>
      </c>
      <c r="M403" t="s">
        <v>373</v>
      </c>
      <c r="N403" t="s">
        <v>3</v>
      </c>
      <c r="O403" t="s">
        <v>3</v>
      </c>
      <c r="P403" t="s">
        <v>3</v>
      </c>
      <c r="Q403" t="s">
        <v>8</v>
      </c>
      <c r="R403" t="s">
        <v>373</v>
      </c>
      <c r="S403" t="s">
        <v>8</v>
      </c>
      <c r="T403" t="s">
        <v>3404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67</v>
      </c>
      <c r="AF403" t="s">
        <v>3412</v>
      </c>
    </row>
    <row r="404" spans="1:32" x14ac:dyDescent="0.45">
      <c r="A404" t="s">
        <v>3413</v>
      </c>
      <c r="B404" t="s">
        <v>3414</v>
      </c>
      <c r="C404" t="s">
        <v>3415</v>
      </c>
      <c r="D404" t="s">
        <v>3416</v>
      </c>
      <c r="E404" t="s">
        <v>3417</v>
      </c>
      <c r="F404" t="s">
        <v>3418</v>
      </c>
      <c r="J404" t="s">
        <v>8</v>
      </c>
      <c r="K404" t="s">
        <v>3</v>
      </c>
      <c r="L404" t="s">
        <v>3</v>
      </c>
      <c r="M404" t="s">
        <v>373</v>
      </c>
      <c r="N404" t="s">
        <v>3</v>
      </c>
      <c r="O404" t="s">
        <v>3</v>
      </c>
      <c r="P404" t="s">
        <v>3</v>
      </c>
      <c r="Q404" t="s">
        <v>8</v>
      </c>
      <c r="R404" t="s">
        <v>373</v>
      </c>
      <c r="S404" t="s">
        <v>8</v>
      </c>
      <c r="T404" t="s">
        <v>3413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67</v>
      </c>
      <c r="AF404" t="s">
        <v>3419</v>
      </c>
    </row>
    <row r="405" spans="1:32" x14ac:dyDescent="0.45">
      <c r="A405" t="s">
        <v>3420</v>
      </c>
      <c r="B405" t="s">
        <v>3421</v>
      </c>
      <c r="C405" t="s">
        <v>3422</v>
      </c>
      <c r="D405" t="s">
        <v>3423</v>
      </c>
      <c r="E405" t="s">
        <v>2248</v>
      </c>
      <c r="F405" t="s">
        <v>3424</v>
      </c>
      <c r="J405" t="s">
        <v>8</v>
      </c>
      <c r="K405" t="s">
        <v>3</v>
      </c>
      <c r="L405" t="s">
        <v>3</v>
      </c>
      <c r="M405" t="s">
        <v>373</v>
      </c>
      <c r="N405" t="s">
        <v>3</v>
      </c>
      <c r="O405" t="s">
        <v>3</v>
      </c>
      <c r="P405" t="s">
        <v>3</v>
      </c>
      <c r="Q405" t="s">
        <v>8</v>
      </c>
      <c r="R405" t="s">
        <v>373</v>
      </c>
      <c r="S405" t="s">
        <v>8</v>
      </c>
      <c r="T405" t="s">
        <v>3420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67</v>
      </c>
      <c r="AF405" t="s">
        <v>3425</v>
      </c>
    </row>
    <row r="406" spans="1:32" x14ac:dyDescent="0.45">
      <c r="A406" t="s">
        <v>3426</v>
      </c>
      <c r="B406" t="s">
        <v>3427</v>
      </c>
      <c r="C406" t="s">
        <v>3428</v>
      </c>
      <c r="D406" t="s">
        <v>3429</v>
      </c>
      <c r="E406" t="s">
        <v>3430</v>
      </c>
      <c r="F406" t="s">
        <v>3431</v>
      </c>
      <c r="J406" t="s">
        <v>8</v>
      </c>
      <c r="K406" t="s">
        <v>3</v>
      </c>
      <c r="L406" t="s">
        <v>3</v>
      </c>
      <c r="M406" t="s">
        <v>373</v>
      </c>
      <c r="N406" t="s">
        <v>3</v>
      </c>
      <c r="O406" t="s">
        <v>3</v>
      </c>
      <c r="P406" t="s">
        <v>3</v>
      </c>
      <c r="Q406" t="s">
        <v>8</v>
      </c>
      <c r="R406" t="s">
        <v>373</v>
      </c>
      <c r="S406" t="s">
        <v>8</v>
      </c>
      <c r="T406" t="s">
        <v>3426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67</v>
      </c>
      <c r="AF406" t="s">
        <v>3432</v>
      </c>
    </row>
    <row r="407" spans="1:32" x14ac:dyDescent="0.45">
      <c r="A407" t="s">
        <v>3433</v>
      </c>
      <c r="B407" t="s">
        <v>3434</v>
      </c>
      <c r="C407" t="s">
        <v>3435</v>
      </c>
      <c r="D407" t="s">
        <v>3436</v>
      </c>
      <c r="E407" t="s">
        <v>3437</v>
      </c>
      <c r="F407" t="s">
        <v>3438</v>
      </c>
      <c r="J407" t="s">
        <v>8</v>
      </c>
      <c r="K407" t="s">
        <v>3</v>
      </c>
      <c r="L407" t="s">
        <v>3</v>
      </c>
      <c r="M407" t="s">
        <v>373</v>
      </c>
      <c r="N407" t="s">
        <v>3</v>
      </c>
      <c r="O407" t="s">
        <v>3</v>
      </c>
      <c r="P407" t="s">
        <v>3</v>
      </c>
      <c r="Q407" t="s">
        <v>8</v>
      </c>
      <c r="R407" t="s">
        <v>373</v>
      </c>
      <c r="S407" t="s">
        <v>8</v>
      </c>
      <c r="T407" t="s">
        <v>3433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67</v>
      </c>
      <c r="AF407" t="s">
        <v>3439</v>
      </c>
    </row>
    <row r="408" spans="1:32" x14ac:dyDescent="0.45">
      <c r="A408" t="s">
        <v>3440</v>
      </c>
      <c r="B408" t="s">
        <v>3441</v>
      </c>
      <c r="C408" t="s">
        <v>3442</v>
      </c>
      <c r="D408" t="s">
        <v>3443</v>
      </c>
      <c r="E408" t="s">
        <v>1458</v>
      </c>
      <c r="F408" t="s">
        <v>3444</v>
      </c>
      <c r="J408" t="s">
        <v>8</v>
      </c>
      <c r="K408" t="s">
        <v>3</v>
      </c>
      <c r="L408" t="s">
        <v>3</v>
      </c>
      <c r="M408" t="s">
        <v>373</v>
      </c>
      <c r="N408" t="s">
        <v>3</v>
      </c>
      <c r="O408" t="s">
        <v>3</v>
      </c>
      <c r="P408" t="s">
        <v>3</v>
      </c>
      <c r="Q408" t="s">
        <v>8</v>
      </c>
      <c r="R408" t="s">
        <v>373</v>
      </c>
      <c r="S408" t="s">
        <v>8</v>
      </c>
      <c r="T408" t="s">
        <v>3440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67</v>
      </c>
      <c r="AF408" t="s">
        <v>3445</v>
      </c>
    </row>
    <row r="409" spans="1:32" x14ac:dyDescent="0.45">
      <c r="A409" t="s">
        <v>3446</v>
      </c>
      <c r="B409" t="s">
        <v>3447</v>
      </c>
      <c r="C409" t="s">
        <v>3448</v>
      </c>
      <c r="D409" t="s">
        <v>3447</v>
      </c>
      <c r="F409" t="s">
        <v>3449</v>
      </c>
      <c r="H409" t="s">
        <v>3450</v>
      </c>
      <c r="I409" t="s">
        <v>3451</v>
      </c>
      <c r="J409" t="s">
        <v>8</v>
      </c>
      <c r="K409" t="s">
        <v>3</v>
      </c>
      <c r="L409" t="s">
        <v>3</v>
      </c>
      <c r="M409" t="s">
        <v>373</v>
      </c>
      <c r="N409" t="s">
        <v>3</v>
      </c>
      <c r="O409" t="s">
        <v>3</v>
      </c>
      <c r="P409" t="s">
        <v>3</v>
      </c>
      <c r="Q409" t="s">
        <v>8</v>
      </c>
      <c r="R409" t="s">
        <v>373</v>
      </c>
      <c r="S409" t="s">
        <v>8</v>
      </c>
      <c r="T409" t="s">
        <v>3446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105</v>
      </c>
      <c r="AF409" t="s">
        <v>3452</v>
      </c>
    </row>
    <row r="410" spans="1:32" x14ac:dyDescent="0.45">
      <c r="A410" t="s">
        <v>3453</v>
      </c>
      <c r="B410" t="s">
        <v>3454</v>
      </c>
      <c r="C410" t="s">
        <v>3455</v>
      </c>
      <c r="D410" t="s">
        <v>3456</v>
      </c>
      <c r="E410" t="s">
        <v>2293</v>
      </c>
      <c r="F410" t="s">
        <v>3457</v>
      </c>
      <c r="H410" t="s">
        <v>3458</v>
      </c>
      <c r="I410" t="s">
        <v>3459</v>
      </c>
      <c r="J410" t="s">
        <v>8</v>
      </c>
      <c r="K410" t="s">
        <v>3</v>
      </c>
      <c r="L410" t="s">
        <v>3</v>
      </c>
      <c r="M410" t="s">
        <v>373</v>
      </c>
      <c r="N410" t="s">
        <v>3</v>
      </c>
      <c r="O410" t="s">
        <v>3</v>
      </c>
      <c r="P410" t="s">
        <v>3</v>
      </c>
      <c r="Q410" t="s">
        <v>8</v>
      </c>
      <c r="R410" t="s">
        <v>373</v>
      </c>
      <c r="S410" t="s">
        <v>8</v>
      </c>
      <c r="T410" t="s">
        <v>3453</v>
      </c>
      <c r="U410" t="s">
        <v>3</v>
      </c>
      <c r="V410" t="s">
        <v>3</v>
      </c>
      <c r="W410" t="s">
        <v>626</v>
      </c>
      <c r="AA410" t="s">
        <v>8</v>
      </c>
      <c r="AB410" t="s">
        <v>8</v>
      </c>
      <c r="AC410" t="s">
        <v>3</v>
      </c>
      <c r="AD410" t="s">
        <v>8</v>
      </c>
      <c r="AE410" t="s">
        <v>67</v>
      </c>
      <c r="AF410" t="s">
        <v>3460</v>
      </c>
    </row>
    <row r="411" spans="1:32" x14ac:dyDescent="0.45">
      <c r="A411" t="s">
        <v>3461</v>
      </c>
      <c r="B411" t="s">
        <v>3462</v>
      </c>
      <c r="C411" t="s">
        <v>3463</v>
      </c>
      <c r="D411" t="s">
        <v>3462</v>
      </c>
      <c r="E411" t="s">
        <v>3464</v>
      </c>
      <c r="F411" t="s">
        <v>3465</v>
      </c>
      <c r="H411" t="s">
        <v>3466</v>
      </c>
      <c r="I411" t="s">
        <v>3467</v>
      </c>
      <c r="J411" t="s">
        <v>8</v>
      </c>
      <c r="K411" t="s">
        <v>3</v>
      </c>
      <c r="L411" t="s">
        <v>3</v>
      </c>
      <c r="M411" t="s">
        <v>373</v>
      </c>
      <c r="N411" t="s">
        <v>3</v>
      </c>
      <c r="O411" t="s">
        <v>3</v>
      </c>
      <c r="P411" t="s">
        <v>3</v>
      </c>
      <c r="Q411" t="s">
        <v>8</v>
      </c>
      <c r="R411" t="s">
        <v>373</v>
      </c>
      <c r="S411" t="s">
        <v>8</v>
      </c>
      <c r="T411" t="s">
        <v>3461</v>
      </c>
      <c r="U411" t="s">
        <v>3</v>
      </c>
      <c r="V411" t="s">
        <v>3</v>
      </c>
      <c r="W411" t="s">
        <v>3</v>
      </c>
      <c r="AA411" t="s">
        <v>8</v>
      </c>
      <c r="AB411" t="s">
        <v>8</v>
      </c>
      <c r="AC411" t="s">
        <v>3</v>
      </c>
      <c r="AD411" t="s">
        <v>8</v>
      </c>
      <c r="AE411" t="s">
        <v>67</v>
      </c>
      <c r="AF411" t="s">
        <v>3468</v>
      </c>
    </row>
    <row r="412" spans="1:32" x14ac:dyDescent="0.45">
      <c r="A412" t="s">
        <v>3469</v>
      </c>
      <c r="B412" t="s">
        <v>3462</v>
      </c>
      <c r="C412" t="s">
        <v>3463</v>
      </c>
      <c r="D412" t="s">
        <v>3470</v>
      </c>
      <c r="E412" t="s">
        <v>3464</v>
      </c>
      <c r="F412" t="s">
        <v>3465</v>
      </c>
      <c r="H412" t="s">
        <v>3466</v>
      </c>
      <c r="I412" t="s">
        <v>3467</v>
      </c>
      <c r="J412" t="s">
        <v>8</v>
      </c>
      <c r="K412" t="s">
        <v>3</v>
      </c>
      <c r="L412" t="s">
        <v>3</v>
      </c>
      <c r="M412" t="s">
        <v>373</v>
      </c>
      <c r="N412" t="s">
        <v>3</v>
      </c>
      <c r="O412" t="s">
        <v>3</v>
      </c>
      <c r="P412" t="s">
        <v>3</v>
      </c>
      <c r="Q412" t="s">
        <v>8</v>
      </c>
      <c r="R412" t="s">
        <v>373</v>
      </c>
      <c r="S412" t="s">
        <v>8</v>
      </c>
      <c r="T412" t="s">
        <v>3461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67</v>
      </c>
      <c r="AF412" t="s">
        <v>3471</v>
      </c>
    </row>
    <row r="413" spans="1:32" x14ac:dyDescent="0.45">
      <c r="A413" t="s">
        <v>3472</v>
      </c>
      <c r="B413" t="s">
        <v>3473</v>
      </c>
      <c r="C413" t="s">
        <v>3474</v>
      </c>
      <c r="D413" t="s">
        <v>3473</v>
      </c>
      <c r="E413" t="s">
        <v>3475</v>
      </c>
      <c r="F413" t="s">
        <v>3476</v>
      </c>
      <c r="H413" t="s">
        <v>3477</v>
      </c>
      <c r="I413" t="s">
        <v>3478</v>
      </c>
      <c r="J413" t="s">
        <v>8</v>
      </c>
      <c r="K413" t="s">
        <v>3</v>
      </c>
      <c r="L413" t="s">
        <v>3</v>
      </c>
      <c r="M413" t="s">
        <v>373</v>
      </c>
      <c r="N413" t="s">
        <v>3</v>
      </c>
      <c r="O413" t="s">
        <v>3</v>
      </c>
      <c r="P413" t="s">
        <v>3</v>
      </c>
      <c r="Q413" t="s">
        <v>8</v>
      </c>
      <c r="R413" t="s">
        <v>373</v>
      </c>
      <c r="S413" t="s">
        <v>8</v>
      </c>
      <c r="T413" t="s">
        <v>3472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67</v>
      </c>
      <c r="AF413" t="s">
        <v>3479</v>
      </c>
    </row>
    <row r="414" spans="1:32" x14ac:dyDescent="0.45">
      <c r="A414" t="s">
        <v>3480</v>
      </c>
      <c r="B414" t="s">
        <v>3481</v>
      </c>
      <c r="C414" t="s">
        <v>3482</v>
      </c>
      <c r="D414" t="s">
        <v>3481</v>
      </c>
      <c r="E414" t="s">
        <v>3475</v>
      </c>
      <c r="F414" t="s">
        <v>3476</v>
      </c>
      <c r="H414" t="s">
        <v>3477</v>
      </c>
      <c r="I414" t="s">
        <v>3478</v>
      </c>
      <c r="J414" t="s">
        <v>8</v>
      </c>
      <c r="K414" t="s">
        <v>3</v>
      </c>
      <c r="L414" t="s">
        <v>3</v>
      </c>
      <c r="M414" t="s">
        <v>373</v>
      </c>
      <c r="N414" t="s">
        <v>3</v>
      </c>
      <c r="O414" t="s">
        <v>3</v>
      </c>
      <c r="P414" t="s">
        <v>3</v>
      </c>
      <c r="Q414" t="s">
        <v>8</v>
      </c>
      <c r="R414" t="s">
        <v>373</v>
      </c>
      <c r="S414" t="s">
        <v>8</v>
      </c>
      <c r="T414" t="s">
        <v>3472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67</v>
      </c>
      <c r="AF414" t="s">
        <v>3483</v>
      </c>
    </row>
    <row r="415" spans="1:32" x14ac:dyDescent="0.45">
      <c r="A415" t="s">
        <v>3484</v>
      </c>
      <c r="B415" t="s">
        <v>3473</v>
      </c>
      <c r="C415" t="s">
        <v>3474</v>
      </c>
      <c r="D415" t="s">
        <v>3481</v>
      </c>
      <c r="E415" t="s">
        <v>3475</v>
      </c>
      <c r="F415" t="s">
        <v>3476</v>
      </c>
      <c r="H415" t="s">
        <v>3477</v>
      </c>
      <c r="I415" t="s">
        <v>3478</v>
      </c>
      <c r="J415" t="s">
        <v>8</v>
      </c>
      <c r="K415" t="s">
        <v>3</v>
      </c>
      <c r="L415" t="s">
        <v>3</v>
      </c>
      <c r="M415" t="s">
        <v>373</v>
      </c>
      <c r="N415" t="s">
        <v>3</v>
      </c>
      <c r="O415" t="s">
        <v>3</v>
      </c>
      <c r="P415" t="s">
        <v>3</v>
      </c>
      <c r="Q415" t="s">
        <v>8</v>
      </c>
      <c r="R415" t="s">
        <v>373</v>
      </c>
      <c r="S415" t="s">
        <v>8</v>
      </c>
      <c r="T415" t="s">
        <v>3472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67</v>
      </c>
      <c r="AF415" t="s">
        <v>3485</v>
      </c>
    </row>
    <row r="416" spans="1:32" x14ac:dyDescent="0.45">
      <c r="A416" t="s">
        <v>101</v>
      </c>
      <c r="B416" t="s">
        <v>3486</v>
      </c>
      <c r="C416" t="s">
        <v>3487</v>
      </c>
      <c r="D416" t="s">
        <v>3486</v>
      </c>
      <c r="E416" t="s">
        <v>3488</v>
      </c>
      <c r="F416" t="s">
        <v>3489</v>
      </c>
      <c r="G416" t="s">
        <v>3490</v>
      </c>
      <c r="H416" t="s">
        <v>3491</v>
      </c>
      <c r="I416" t="s">
        <v>3492</v>
      </c>
      <c r="J416" t="s">
        <v>8</v>
      </c>
      <c r="K416" t="s">
        <v>3</v>
      </c>
      <c r="L416" t="s">
        <v>3</v>
      </c>
      <c r="M416" t="s">
        <v>373</v>
      </c>
      <c r="N416" t="s">
        <v>3</v>
      </c>
      <c r="O416" t="s">
        <v>3</v>
      </c>
      <c r="P416" t="s">
        <v>3</v>
      </c>
      <c r="Q416" t="s">
        <v>3</v>
      </c>
      <c r="R416" t="s">
        <v>373</v>
      </c>
      <c r="S416" t="s">
        <v>8</v>
      </c>
      <c r="T416" t="s">
        <v>101</v>
      </c>
      <c r="U416" t="s">
        <v>3</v>
      </c>
      <c r="V416" t="s">
        <v>3</v>
      </c>
      <c r="W416" t="s">
        <v>2803</v>
      </c>
      <c r="AA416" t="s">
        <v>8</v>
      </c>
      <c r="AB416" t="s">
        <v>8</v>
      </c>
      <c r="AC416" t="s">
        <v>3</v>
      </c>
      <c r="AD416" t="s">
        <v>8</v>
      </c>
      <c r="AE416" t="s">
        <v>97</v>
      </c>
      <c r="AF416" t="s">
        <v>3493</v>
      </c>
    </row>
    <row r="417" spans="1:32" x14ac:dyDescent="0.45">
      <c r="A417" t="s">
        <v>103</v>
      </c>
      <c r="B417" t="s">
        <v>3494</v>
      </c>
      <c r="C417" t="s">
        <v>3495</v>
      </c>
      <c r="D417" t="s">
        <v>3496</v>
      </c>
      <c r="E417" t="s">
        <v>3497</v>
      </c>
      <c r="F417" t="s">
        <v>3498</v>
      </c>
      <c r="G417" t="s">
        <v>3499</v>
      </c>
      <c r="H417" t="s">
        <v>3500</v>
      </c>
      <c r="I417" t="s">
        <v>3501</v>
      </c>
      <c r="J417" t="s">
        <v>8</v>
      </c>
      <c r="K417" t="s">
        <v>3</v>
      </c>
      <c r="L417" t="s">
        <v>3</v>
      </c>
      <c r="M417" t="s">
        <v>373</v>
      </c>
      <c r="N417" t="s">
        <v>3</v>
      </c>
      <c r="O417" t="s">
        <v>3</v>
      </c>
      <c r="P417" t="s">
        <v>3</v>
      </c>
      <c r="Q417" t="s">
        <v>3</v>
      </c>
      <c r="R417" t="s">
        <v>373</v>
      </c>
      <c r="S417" t="s">
        <v>8</v>
      </c>
      <c r="T417" t="s">
        <v>103</v>
      </c>
      <c r="U417" t="s">
        <v>3</v>
      </c>
      <c r="V417" t="s">
        <v>3</v>
      </c>
      <c r="W417" t="s">
        <v>2803</v>
      </c>
      <c r="AA417" t="s">
        <v>8</v>
      </c>
      <c r="AB417" t="s">
        <v>8</v>
      </c>
      <c r="AC417" t="s">
        <v>3</v>
      </c>
      <c r="AD417" t="s">
        <v>8</v>
      </c>
      <c r="AE417" t="s">
        <v>67</v>
      </c>
      <c r="AF417" t="s">
        <v>3502</v>
      </c>
    </row>
    <row r="418" spans="1:32" x14ac:dyDescent="0.45">
      <c r="A418" t="s">
        <v>3503</v>
      </c>
      <c r="B418" t="s">
        <v>3504</v>
      </c>
      <c r="C418" t="s">
        <v>3505</v>
      </c>
      <c r="D418" t="s">
        <v>3506</v>
      </c>
      <c r="E418" t="s">
        <v>3507</v>
      </c>
      <c r="F418" t="s">
        <v>3508</v>
      </c>
      <c r="H418" t="s">
        <v>3509</v>
      </c>
      <c r="I418" t="s">
        <v>3510</v>
      </c>
      <c r="J418" t="s">
        <v>8</v>
      </c>
      <c r="K418" t="s">
        <v>3</v>
      </c>
      <c r="L418" t="s">
        <v>3</v>
      </c>
      <c r="M418" t="s">
        <v>373</v>
      </c>
      <c r="N418" t="s">
        <v>3</v>
      </c>
      <c r="O418" t="s">
        <v>3</v>
      </c>
      <c r="P418" t="s">
        <v>3</v>
      </c>
      <c r="Q418" t="s">
        <v>8</v>
      </c>
      <c r="R418" t="s">
        <v>373</v>
      </c>
      <c r="S418" t="s">
        <v>8</v>
      </c>
      <c r="T418" t="s">
        <v>3503</v>
      </c>
      <c r="U418" t="s">
        <v>3</v>
      </c>
      <c r="V418" t="s">
        <v>3</v>
      </c>
      <c r="W418" t="s">
        <v>129</v>
      </c>
      <c r="AA418" t="s">
        <v>8</v>
      </c>
      <c r="AB418" t="s">
        <v>8</v>
      </c>
      <c r="AC418" t="s">
        <v>3</v>
      </c>
      <c r="AD418" t="s">
        <v>8</v>
      </c>
      <c r="AE418" t="s">
        <v>105</v>
      </c>
      <c r="AF418" t="s">
        <v>3511</v>
      </c>
    </row>
    <row r="419" spans="1:32" x14ac:dyDescent="0.45">
      <c r="A419" t="s">
        <v>3512</v>
      </c>
      <c r="B419" t="s">
        <v>3513</v>
      </c>
      <c r="C419" t="s">
        <v>3514</v>
      </c>
      <c r="D419" t="s">
        <v>3515</v>
      </c>
      <c r="E419" t="s">
        <v>3507</v>
      </c>
      <c r="F419" t="s">
        <v>3508</v>
      </c>
      <c r="H419" t="s">
        <v>3509</v>
      </c>
      <c r="J419" t="s">
        <v>8</v>
      </c>
      <c r="K419" t="s">
        <v>3</v>
      </c>
      <c r="L419" t="s">
        <v>3</v>
      </c>
      <c r="M419" t="s">
        <v>373</v>
      </c>
      <c r="N419" t="s">
        <v>3</v>
      </c>
      <c r="O419" t="s">
        <v>3</v>
      </c>
      <c r="P419" t="s">
        <v>3</v>
      </c>
      <c r="Q419" t="s">
        <v>8</v>
      </c>
      <c r="R419" t="s">
        <v>373</v>
      </c>
      <c r="S419" t="s">
        <v>8</v>
      </c>
      <c r="T419" t="s">
        <v>3512</v>
      </c>
      <c r="U419" t="s">
        <v>3</v>
      </c>
      <c r="V419" t="s">
        <v>3</v>
      </c>
      <c r="W419" t="s">
        <v>129</v>
      </c>
      <c r="AA419" t="s">
        <v>8</v>
      </c>
      <c r="AB419" t="s">
        <v>8</v>
      </c>
      <c r="AC419" t="s">
        <v>3</v>
      </c>
      <c r="AD419" t="s">
        <v>8</v>
      </c>
      <c r="AE419" t="s">
        <v>67</v>
      </c>
      <c r="AF419" t="s">
        <v>3516</v>
      </c>
    </row>
    <row r="420" spans="1:32" x14ac:dyDescent="0.45">
      <c r="A420" t="s">
        <v>3517</v>
      </c>
      <c r="B420" t="s">
        <v>3518</v>
      </c>
      <c r="C420" t="s">
        <v>3519</v>
      </c>
      <c r="D420" t="s">
        <v>3518</v>
      </c>
      <c r="E420" t="s">
        <v>3507</v>
      </c>
      <c r="F420" t="s">
        <v>3508</v>
      </c>
      <c r="H420" t="s">
        <v>3509</v>
      </c>
      <c r="J420" t="s">
        <v>8</v>
      </c>
      <c r="K420" t="s">
        <v>3</v>
      </c>
      <c r="L420" t="s">
        <v>3</v>
      </c>
      <c r="M420" t="s">
        <v>373</v>
      </c>
      <c r="N420" t="s">
        <v>3</v>
      </c>
      <c r="O420" t="s">
        <v>3</v>
      </c>
      <c r="P420" t="s">
        <v>3</v>
      </c>
      <c r="Q420" t="s">
        <v>8</v>
      </c>
      <c r="R420" t="s">
        <v>373</v>
      </c>
      <c r="S420" t="s">
        <v>8</v>
      </c>
      <c r="T420" t="s">
        <v>3517</v>
      </c>
      <c r="U420" t="s">
        <v>3</v>
      </c>
      <c r="V420" t="s">
        <v>3</v>
      </c>
      <c r="W420" t="s">
        <v>129</v>
      </c>
      <c r="AA420" t="s">
        <v>8</v>
      </c>
      <c r="AB420" t="s">
        <v>8</v>
      </c>
      <c r="AC420" t="s">
        <v>3</v>
      </c>
      <c r="AD420" t="s">
        <v>8</v>
      </c>
      <c r="AE420" t="s">
        <v>67</v>
      </c>
      <c r="AF420" t="s">
        <v>3520</v>
      </c>
    </row>
    <row r="421" spans="1:32" x14ac:dyDescent="0.45">
      <c r="A421" t="s">
        <v>3521</v>
      </c>
      <c r="B421" t="s">
        <v>3522</v>
      </c>
      <c r="C421" t="s">
        <v>3523</v>
      </c>
      <c r="D421" t="s">
        <v>3522</v>
      </c>
      <c r="E421" t="s">
        <v>3507</v>
      </c>
      <c r="F421" t="s">
        <v>3508</v>
      </c>
      <c r="H421" t="s">
        <v>3509</v>
      </c>
      <c r="J421" t="s">
        <v>8</v>
      </c>
      <c r="K421" t="s">
        <v>3</v>
      </c>
      <c r="L421" t="s">
        <v>3</v>
      </c>
      <c r="M421" t="s">
        <v>373</v>
      </c>
      <c r="N421" t="s">
        <v>3</v>
      </c>
      <c r="O421" t="s">
        <v>3</v>
      </c>
      <c r="P421" t="s">
        <v>3</v>
      </c>
      <c r="Q421" t="s">
        <v>8</v>
      </c>
      <c r="R421" t="s">
        <v>373</v>
      </c>
      <c r="S421" t="s">
        <v>8</v>
      </c>
      <c r="T421" t="s">
        <v>3521</v>
      </c>
      <c r="U421" t="s">
        <v>3</v>
      </c>
      <c r="V421" t="s">
        <v>3</v>
      </c>
      <c r="W421" t="s">
        <v>129</v>
      </c>
      <c r="AA421" t="s">
        <v>8</v>
      </c>
      <c r="AB421" t="s">
        <v>8</v>
      </c>
      <c r="AC421" t="s">
        <v>3</v>
      </c>
      <c r="AD421" t="s">
        <v>8</v>
      </c>
      <c r="AE421" t="s">
        <v>67</v>
      </c>
      <c r="AF421" t="s">
        <v>3524</v>
      </c>
    </row>
    <row r="422" spans="1:32" x14ac:dyDescent="0.45">
      <c r="A422" t="s">
        <v>3525</v>
      </c>
      <c r="B422" t="s">
        <v>3526</v>
      </c>
      <c r="C422" t="s">
        <v>3527</v>
      </c>
      <c r="D422" t="s">
        <v>3526</v>
      </c>
      <c r="E422" t="s">
        <v>3507</v>
      </c>
      <c r="F422" t="s">
        <v>3508</v>
      </c>
      <c r="H422" t="s">
        <v>3509</v>
      </c>
      <c r="J422" t="s">
        <v>8</v>
      </c>
      <c r="K422" t="s">
        <v>3</v>
      </c>
      <c r="L422" t="s">
        <v>3</v>
      </c>
      <c r="M422" t="s">
        <v>373</v>
      </c>
      <c r="N422" t="s">
        <v>3</v>
      </c>
      <c r="O422" t="s">
        <v>3</v>
      </c>
      <c r="P422" t="s">
        <v>3</v>
      </c>
      <c r="Q422" t="s">
        <v>8</v>
      </c>
      <c r="R422" t="s">
        <v>373</v>
      </c>
      <c r="S422" t="s">
        <v>8</v>
      </c>
      <c r="T422" t="s">
        <v>3525</v>
      </c>
      <c r="U422" t="s">
        <v>3</v>
      </c>
      <c r="V422" t="s">
        <v>3</v>
      </c>
      <c r="W422" t="s">
        <v>129</v>
      </c>
      <c r="AA422" t="s">
        <v>8</v>
      </c>
      <c r="AB422" t="s">
        <v>8</v>
      </c>
      <c r="AC422" t="s">
        <v>3</v>
      </c>
      <c r="AD422" t="s">
        <v>8</v>
      </c>
      <c r="AE422" t="s">
        <v>105</v>
      </c>
      <c r="AF422" t="s">
        <v>3528</v>
      </c>
    </row>
    <row r="423" spans="1:32" x14ac:dyDescent="0.45">
      <c r="A423" t="s">
        <v>3529</v>
      </c>
      <c r="B423" t="s">
        <v>3530</v>
      </c>
      <c r="C423" t="s">
        <v>3531</v>
      </c>
      <c r="D423" t="s">
        <v>3530</v>
      </c>
      <c r="E423" t="s">
        <v>3507</v>
      </c>
      <c r="F423" t="s">
        <v>3508</v>
      </c>
      <c r="H423" t="s">
        <v>3509</v>
      </c>
      <c r="J423" t="s">
        <v>8</v>
      </c>
      <c r="K423" t="s">
        <v>3</v>
      </c>
      <c r="L423" t="s">
        <v>3</v>
      </c>
      <c r="M423" t="s">
        <v>373</v>
      </c>
      <c r="N423" t="s">
        <v>3</v>
      </c>
      <c r="O423" t="s">
        <v>3</v>
      </c>
      <c r="P423" t="s">
        <v>3</v>
      </c>
      <c r="Q423" t="s">
        <v>8</v>
      </c>
      <c r="R423" t="s">
        <v>373</v>
      </c>
      <c r="S423" t="s">
        <v>8</v>
      </c>
      <c r="T423" t="s">
        <v>3529</v>
      </c>
      <c r="U423" t="s">
        <v>3</v>
      </c>
      <c r="V423" t="s">
        <v>3</v>
      </c>
      <c r="W423" t="s">
        <v>129</v>
      </c>
      <c r="AA423" t="s">
        <v>8</v>
      </c>
      <c r="AB423" t="s">
        <v>8</v>
      </c>
      <c r="AC423" t="s">
        <v>3</v>
      </c>
      <c r="AD423" t="s">
        <v>8</v>
      </c>
      <c r="AE423" t="s">
        <v>67</v>
      </c>
      <c r="AF423" t="s">
        <v>3532</v>
      </c>
    </row>
    <row r="424" spans="1:32" x14ac:dyDescent="0.45">
      <c r="A424" t="s">
        <v>3533</v>
      </c>
      <c r="B424" t="s">
        <v>3534</v>
      </c>
      <c r="C424" t="s">
        <v>3535</v>
      </c>
      <c r="D424" t="s">
        <v>3534</v>
      </c>
      <c r="J424" t="s">
        <v>3</v>
      </c>
      <c r="K424" t="s">
        <v>3</v>
      </c>
      <c r="L424" t="s">
        <v>3</v>
      </c>
      <c r="M424" t="s">
        <v>3</v>
      </c>
      <c r="N424" t="s">
        <v>3</v>
      </c>
      <c r="O424" t="s">
        <v>3</v>
      </c>
      <c r="P424" t="s">
        <v>3</v>
      </c>
      <c r="Q424" t="s">
        <v>3</v>
      </c>
      <c r="R424" t="s">
        <v>3</v>
      </c>
      <c r="S424" t="s">
        <v>8</v>
      </c>
      <c r="T424" t="s">
        <v>3533</v>
      </c>
      <c r="U424" t="s">
        <v>3</v>
      </c>
      <c r="V424" t="s">
        <v>3</v>
      </c>
      <c r="W424" t="s">
        <v>3</v>
      </c>
      <c r="AA424" t="s">
        <v>3</v>
      </c>
      <c r="AB424" t="s">
        <v>8</v>
      </c>
      <c r="AC424" t="s">
        <v>3</v>
      </c>
      <c r="AD424" t="s">
        <v>8</v>
      </c>
      <c r="AE424" t="s">
        <v>67</v>
      </c>
      <c r="AF424" t="s">
        <v>3536</v>
      </c>
    </row>
    <row r="425" spans="1:32" x14ac:dyDescent="0.45">
      <c r="A425" t="s">
        <v>3537</v>
      </c>
      <c r="B425" t="s">
        <v>3538</v>
      </c>
      <c r="C425" t="s">
        <v>3539</v>
      </c>
      <c r="D425" t="s">
        <v>3540</v>
      </c>
      <c r="E425" t="s">
        <v>3541</v>
      </c>
      <c r="F425" t="s">
        <v>3542</v>
      </c>
      <c r="H425" t="s">
        <v>3543</v>
      </c>
      <c r="I425" t="s">
        <v>3544</v>
      </c>
      <c r="J425" t="s">
        <v>8</v>
      </c>
      <c r="K425" t="s">
        <v>3</v>
      </c>
      <c r="L425" t="s">
        <v>3</v>
      </c>
      <c r="M425" t="s">
        <v>373</v>
      </c>
      <c r="N425" t="s">
        <v>3</v>
      </c>
      <c r="O425" t="s">
        <v>3</v>
      </c>
      <c r="P425" t="s">
        <v>3</v>
      </c>
      <c r="Q425" t="s">
        <v>8</v>
      </c>
      <c r="R425" t="s">
        <v>373</v>
      </c>
      <c r="S425" t="s">
        <v>8</v>
      </c>
      <c r="T425" t="s">
        <v>3537</v>
      </c>
      <c r="U425" t="s">
        <v>3</v>
      </c>
      <c r="V425" t="s">
        <v>3</v>
      </c>
      <c r="W425" t="s">
        <v>3</v>
      </c>
      <c r="AA425" t="s">
        <v>8</v>
      </c>
      <c r="AB425" t="s">
        <v>8</v>
      </c>
      <c r="AC425" t="s">
        <v>3</v>
      </c>
      <c r="AD425" t="s">
        <v>8</v>
      </c>
      <c r="AE425" t="s">
        <v>67</v>
      </c>
      <c r="AF425" t="s">
        <v>3545</v>
      </c>
    </row>
    <row r="426" spans="1:32" x14ac:dyDescent="0.45">
      <c r="A426" t="s">
        <v>3546</v>
      </c>
      <c r="B426" t="s">
        <v>3547</v>
      </c>
      <c r="C426" t="s">
        <v>3548</v>
      </c>
      <c r="D426" t="s">
        <v>3549</v>
      </c>
      <c r="F426" t="s">
        <v>3550</v>
      </c>
      <c r="H426" t="s">
        <v>3551</v>
      </c>
      <c r="I426" t="s">
        <v>3552</v>
      </c>
      <c r="J426" t="s">
        <v>8</v>
      </c>
      <c r="K426" t="s">
        <v>3</v>
      </c>
      <c r="L426" t="s">
        <v>3</v>
      </c>
      <c r="M426" t="s">
        <v>373</v>
      </c>
      <c r="N426" t="s">
        <v>3</v>
      </c>
      <c r="O426" t="s">
        <v>3</v>
      </c>
      <c r="P426" t="s">
        <v>3</v>
      </c>
      <c r="Q426" t="s">
        <v>8</v>
      </c>
      <c r="R426" t="s">
        <v>373</v>
      </c>
      <c r="S426" t="s">
        <v>8</v>
      </c>
      <c r="T426" t="s">
        <v>3546</v>
      </c>
      <c r="U426" t="s">
        <v>3</v>
      </c>
      <c r="V426" t="s">
        <v>3</v>
      </c>
      <c r="W426" t="s">
        <v>3553</v>
      </c>
      <c r="AA426" t="s">
        <v>8</v>
      </c>
      <c r="AB426" t="s">
        <v>8</v>
      </c>
      <c r="AC426" t="s">
        <v>3</v>
      </c>
      <c r="AD426" t="s">
        <v>8</v>
      </c>
      <c r="AE426" t="s">
        <v>67</v>
      </c>
      <c r="AF426" t="s">
        <v>3554</v>
      </c>
    </row>
    <row r="427" spans="1:32" x14ac:dyDescent="0.45">
      <c r="A427" t="s">
        <v>3555</v>
      </c>
      <c r="B427" t="s">
        <v>3556</v>
      </c>
      <c r="C427" t="s">
        <v>3557</v>
      </c>
      <c r="D427" t="s">
        <v>3556</v>
      </c>
      <c r="E427" t="s">
        <v>3558</v>
      </c>
      <c r="F427" t="s">
        <v>3559</v>
      </c>
      <c r="H427" t="s">
        <v>3560</v>
      </c>
      <c r="J427" t="s">
        <v>8</v>
      </c>
      <c r="K427" t="s">
        <v>3</v>
      </c>
      <c r="L427" t="s">
        <v>3</v>
      </c>
      <c r="M427" t="s">
        <v>373</v>
      </c>
      <c r="N427" t="s">
        <v>3</v>
      </c>
      <c r="O427" t="s">
        <v>3</v>
      </c>
      <c r="P427" t="s">
        <v>3</v>
      </c>
      <c r="Q427" t="s">
        <v>8</v>
      </c>
      <c r="R427" t="s">
        <v>373</v>
      </c>
      <c r="S427" t="s">
        <v>8</v>
      </c>
      <c r="T427" t="s">
        <v>3555</v>
      </c>
      <c r="U427" t="s">
        <v>3</v>
      </c>
      <c r="V427" t="s">
        <v>3</v>
      </c>
      <c r="W427" t="s">
        <v>3</v>
      </c>
      <c r="AA427" t="s">
        <v>8</v>
      </c>
      <c r="AB427" t="s">
        <v>8</v>
      </c>
      <c r="AC427" t="s">
        <v>3</v>
      </c>
      <c r="AD427" t="s">
        <v>8</v>
      </c>
      <c r="AE427" t="s">
        <v>67</v>
      </c>
      <c r="AF427" t="s">
        <v>3561</v>
      </c>
    </row>
    <row r="428" spans="1:32" x14ac:dyDescent="0.45">
      <c r="A428" t="s">
        <v>3562</v>
      </c>
      <c r="B428" t="s">
        <v>3563</v>
      </c>
      <c r="C428" t="s">
        <v>3564</v>
      </c>
      <c r="D428" t="s">
        <v>3563</v>
      </c>
      <c r="E428" t="s">
        <v>3565</v>
      </c>
      <c r="F428" t="s">
        <v>3566</v>
      </c>
      <c r="H428" t="s">
        <v>3567</v>
      </c>
      <c r="I428" t="s">
        <v>3568</v>
      </c>
      <c r="J428" t="s">
        <v>8</v>
      </c>
      <c r="K428" t="s">
        <v>3</v>
      </c>
      <c r="L428" t="s">
        <v>3</v>
      </c>
      <c r="M428" t="s">
        <v>373</v>
      </c>
      <c r="N428" t="s">
        <v>3</v>
      </c>
      <c r="O428" t="s">
        <v>3</v>
      </c>
      <c r="P428" t="s">
        <v>3</v>
      </c>
      <c r="Q428" t="s">
        <v>8</v>
      </c>
      <c r="R428" t="s">
        <v>373</v>
      </c>
      <c r="S428" t="s">
        <v>8</v>
      </c>
      <c r="T428" t="s">
        <v>3562</v>
      </c>
      <c r="U428" t="s">
        <v>3</v>
      </c>
      <c r="V428" t="s">
        <v>3</v>
      </c>
      <c r="W428" t="s">
        <v>644</v>
      </c>
      <c r="AA428" t="s">
        <v>8</v>
      </c>
      <c r="AB428" t="s">
        <v>8</v>
      </c>
      <c r="AC428" t="s">
        <v>3</v>
      </c>
      <c r="AD428" t="s">
        <v>8</v>
      </c>
      <c r="AE428" t="s">
        <v>67</v>
      </c>
      <c r="AF428" t="s">
        <v>3569</v>
      </c>
    </row>
    <row r="429" spans="1:32" x14ac:dyDescent="0.45">
      <c r="A429" t="s">
        <v>3570</v>
      </c>
      <c r="B429" t="s">
        <v>3571</v>
      </c>
      <c r="C429" t="s">
        <v>3572</v>
      </c>
      <c r="D429" t="s">
        <v>3563</v>
      </c>
      <c r="E429" t="s">
        <v>3565</v>
      </c>
      <c r="F429" t="s">
        <v>3566</v>
      </c>
      <c r="H429" t="s">
        <v>3567</v>
      </c>
      <c r="I429" t="s">
        <v>3568</v>
      </c>
      <c r="J429" t="s">
        <v>8</v>
      </c>
      <c r="K429" t="s">
        <v>3</v>
      </c>
      <c r="L429" t="s">
        <v>3</v>
      </c>
      <c r="M429" t="s">
        <v>373</v>
      </c>
      <c r="N429" t="s">
        <v>3</v>
      </c>
      <c r="O429" t="s">
        <v>3</v>
      </c>
      <c r="P429" t="s">
        <v>3</v>
      </c>
      <c r="Q429" t="s">
        <v>8</v>
      </c>
      <c r="R429" t="s">
        <v>373</v>
      </c>
      <c r="S429" t="s">
        <v>8</v>
      </c>
      <c r="T429" t="s">
        <v>3570</v>
      </c>
      <c r="U429" t="s">
        <v>3</v>
      </c>
      <c r="V429" t="s">
        <v>3</v>
      </c>
      <c r="W429" t="s">
        <v>644</v>
      </c>
      <c r="AA429" t="s">
        <v>8</v>
      </c>
      <c r="AB429" t="s">
        <v>8</v>
      </c>
      <c r="AC429" t="s">
        <v>3</v>
      </c>
      <c r="AD429" t="s">
        <v>8</v>
      </c>
      <c r="AE429" t="s">
        <v>67</v>
      </c>
      <c r="AF429" t="s">
        <v>3573</v>
      </c>
    </row>
    <row r="430" spans="1:32" x14ac:dyDescent="0.45">
      <c r="A430" t="s">
        <v>3574</v>
      </c>
      <c r="B430" t="s">
        <v>3575</v>
      </c>
      <c r="C430" t="s">
        <v>3576</v>
      </c>
      <c r="D430" t="s">
        <v>3577</v>
      </c>
      <c r="E430" t="s">
        <v>3111</v>
      </c>
      <c r="F430" t="s">
        <v>3578</v>
      </c>
      <c r="G430" t="s">
        <v>3579</v>
      </c>
      <c r="H430" t="s">
        <v>3580</v>
      </c>
      <c r="I430" t="s">
        <v>3581</v>
      </c>
      <c r="J430" t="s">
        <v>8</v>
      </c>
      <c r="K430" t="s">
        <v>3</v>
      </c>
      <c r="L430" t="s">
        <v>3</v>
      </c>
      <c r="M430" t="s">
        <v>373</v>
      </c>
      <c r="N430" t="s">
        <v>3</v>
      </c>
      <c r="O430" t="s">
        <v>3</v>
      </c>
      <c r="P430" t="s">
        <v>3</v>
      </c>
      <c r="Q430" t="s">
        <v>8</v>
      </c>
      <c r="R430" t="s">
        <v>373</v>
      </c>
      <c r="S430" t="s">
        <v>8</v>
      </c>
      <c r="T430" t="s">
        <v>3574</v>
      </c>
      <c r="U430" t="s">
        <v>3</v>
      </c>
      <c r="V430" t="s">
        <v>3</v>
      </c>
      <c r="W430" t="s">
        <v>948</v>
      </c>
      <c r="AA430" t="s">
        <v>8</v>
      </c>
      <c r="AB430" t="s">
        <v>8</v>
      </c>
      <c r="AC430" t="s">
        <v>3</v>
      </c>
      <c r="AD430" t="s">
        <v>8</v>
      </c>
      <c r="AE430" t="s">
        <v>97</v>
      </c>
      <c r="AF430" t="s">
        <v>3582</v>
      </c>
    </row>
    <row r="431" spans="1:32" x14ac:dyDescent="0.45">
      <c r="A431" t="s">
        <v>3583</v>
      </c>
      <c r="B431" t="s">
        <v>3584</v>
      </c>
      <c r="C431" t="s">
        <v>3585</v>
      </c>
      <c r="D431" t="s">
        <v>3586</v>
      </c>
      <c r="E431" t="s">
        <v>3587</v>
      </c>
      <c r="F431" t="s">
        <v>3588</v>
      </c>
      <c r="G431" t="s">
        <v>3589</v>
      </c>
      <c r="H431" t="s">
        <v>3590</v>
      </c>
      <c r="I431" t="s">
        <v>3590</v>
      </c>
      <c r="J431" t="s">
        <v>8</v>
      </c>
      <c r="K431" t="s">
        <v>3</v>
      </c>
      <c r="L431" t="s">
        <v>3</v>
      </c>
      <c r="M431" t="s">
        <v>373</v>
      </c>
      <c r="N431" t="s">
        <v>3</v>
      </c>
      <c r="O431" t="s">
        <v>3</v>
      </c>
      <c r="P431" t="s">
        <v>3</v>
      </c>
      <c r="Q431" t="s">
        <v>8</v>
      </c>
      <c r="R431" t="s">
        <v>373</v>
      </c>
      <c r="S431" t="s">
        <v>8</v>
      </c>
      <c r="T431" t="s">
        <v>3583</v>
      </c>
      <c r="U431" t="s">
        <v>3</v>
      </c>
      <c r="V431" t="s">
        <v>3</v>
      </c>
      <c r="W431" t="s">
        <v>3</v>
      </c>
      <c r="AA431" t="s">
        <v>8</v>
      </c>
      <c r="AB431" t="s">
        <v>8</v>
      </c>
      <c r="AC431" t="s">
        <v>3</v>
      </c>
      <c r="AD431" t="s">
        <v>8</v>
      </c>
      <c r="AE431" t="s">
        <v>97</v>
      </c>
      <c r="AF431" t="s">
        <v>3591</v>
      </c>
    </row>
    <row r="432" spans="1:32" x14ac:dyDescent="0.45">
      <c r="A432" t="s">
        <v>3592</v>
      </c>
      <c r="B432" t="s">
        <v>3593</v>
      </c>
      <c r="C432" t="s">
        <v>3594</v>
      </c>
      <c r="D432" t="s">
        <v>3593</v>
      </c>
      <c r="E432" t="s">
        <v>3595</v>
      </c>
      <c r="F432" t="s">
        <v>3596</v>
      </c>
      <c r="H432" t="s">
        <v>3597</v>
      </c>
      <c r="I432" t="s">
        <v>3598</v>
      </c>
      <c r="J432" t="s">
        <v>8</v>
      </c>
      <c r="K432" t="s">
        <v>3</v>
      </c>
      <c r="L432" t="s">
        <v>3</v>
      </c>
      <c r="M432" t="s">
        <v>373</v>
      </c>
      <c r="N432" t="s">
        <v>3</v>
      </c>
      <c r="O432" t="s">
        <v>3</v>
      </c>
      <c r="P432" t="s">
        <v>3</v>
      </c>
      <c r="Q432" t="s">
        <v>8</v>
      </c>
      <c r="R432" t="s">
        <v>373</v>
      </c>
      <c r="S432" t="s">
        <v>8</v>
      </c>
      <c r="T432" t="s">
        <v>3592</v>
      </c>
      <c r="U432" t="s">
        <v>3</v>
      </c>
      <c r="V432" t="s">
        <v>3</v>
      </c>
      <c r="W432" t="s">
        <v>3</v>
      </c>
      <c r="AA432" t="s">
        <v>3</v>
      </c>
      <c r="AB432" t="s">
        <v>3</v>
      </c>
      <c r="AC432" t="s">
        <v>3</v>
      </c>
      <c r="AD432" t="s">
        <v>8</v>
      </c>
      <c r="AE432" t="s">
        <v>62</v>
      </c>
      <c r="AF432" t="s">
        <v>3599</v>
      </c>
    </row>
    <row r="433" spans="1:32" x14ac:dyDescent="0.45">
      <c r="A433" t="s">
        <v>110</v>
      </c>
      <c r="B433" t="s">
        <v>3600</v>
      </c>
      <c r="C433" t="s">
        <v>3601</v>
      </c>
      <c r="D433" t="s">
        <v>3602</v>
      </c>
      <c r="E433" t="s">
        <v>3603</v>
      </c>
      <c r="F433" t="s">
        <v>3604</v>
      </c>
      <c r="H433" t="s">
        <v>3605</v>
      </c>
      <c r="I433" t="s">
        <v>3606</v>
      </c>
      <c r="J433" t="s">
        <v>8</v>
      </c>
      <c r="K433" t="s">
        <v>3</v>
      </c>
      <c r="L433" t="s">
        <v>3</v>
      </c>
      <c r="M433" t="s">
        <v>373</v>
      </c>
      <c r="N433" t="s">
        <v>3</v>
      </c>
      <c r="O433" t="s">
        <v>3</v>
      </c>
      <c r="P433" t="s">
        <v>3</v>
      </c>
      <c r="Q433" t="s">
        <v>8</v>
      </c>
      <c r="R433" t="s">
        <v>3</v>
      </c>
      <c r="S433" t="s">
        <v>8</v>
      </c>
      <c r="T433" t="s">
        <v>110</v>
      </c>
      <c r="U433" t="s">
        <v>3</v>
      </c>
      <c r="V433" t="s">
        <v>3</v>
      </c>
      <c r="W433" t="s">
        <v>948</v>
      </c>
      <c r="AA433" t="s">
        <v>3</v>
      </c>
      <c r="AB433" t="s">
        <v>3</v>
      </c>
      <c r="AC433" t="s">
        <v>3</v>
      </c>
      <c r="AD433" t="s">
        <v>8</v>
      </c>
      <c r="AE433" t="s">
        <v>67</v>
      </c>
      <c r="AF433" t="s">
        <v>3607</v>
      </c>
    </row>
    <row r="434" spans="1:32" x14ac:dyDescent="0.45">
      <c r="A434" t="s">
        <v>3608</v>
      </c>
      <c r="B434" t="s">
        <v>3609</v>
      </c>
      <c r="C434" t="s">
        <v>3610</v>
      </c>
      <c r="D434" t="s">
        <v>3611</v>
      </c>
      <c r="E434" t="s">
        <v>3603</v>
      </c>
      <c r="F434" t="s">
        <v>3604</v>
      </c>
      <c r="H434" t="s">
        <v>3605</v>
      </c>
      <c r="I434" t="s">
        <v>3606</v>
      </c>
      <c r="J434" t="s">
        <v>8</v>
      </c>
      <c r="K434" t="s">
        <v>3</v>
      </c>
      <c r="L434" t="s">
        <v>3</v>
      </c>
      <c r="M434" t="s">
        <v>373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3608</v>
      </c>
      <c r="U434" t="s">
        <v>3</v>
      </c>
      <c r="V434" t="s">
        <v>3</v>
      </c>
      <c r="W434" t="s">
        <v>3</v>
      </c>
      <c r="AA434" t="s">
        <v>8</v>
      </c>
      <c r="AB434" t="s">
        <v>3</v>
      </c>
      <c r="AC434" t="s">
        <v>3</v>
      </c>
      <c r="AD434" t="s">
        <v>8</v>
      </c>
      <c r="AE434" t="s">
        <v>67</v>
      </c>
      <c r="AF434" t="s">
        <v>3612</v>
      </c>
    </row>
    <row r="435" spans="1:32" x14ac:dyDescent="0.45">
      <c r="A435" t="s">
        <v>3613</v>
      </c>
      <c r="B435" t="s">
        <v>3614</v>
      </c>
      <c r="C435" t="s">
        <v>3615</v>
      </c>
      <c r="D435" t="s">
        <v>3616</v>
      </c>
      <c r="E435" t="s">
        <v>3603</v>
      </c>
      <c r="F435" t="s">
        <v>3604</v>
      </c>
      <c r="H435" t="s">
        <v>3605</v>
      </c>
      <c r="I435" t="s">
        <v>3606</v>
      </c>
      <c r="J435" t="s">
        <v>8</v>
      </c>
      <c r="K435" t="s">
        <v>3</v>
      </c>
      <c r="L435" t="s">
        <v>3</v>
      </c>
      <c r="M435" t="s">
        <v>373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3613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67</v>
      </c>
      <c r="AF435" t="s">
        <v>3617</v>
      </c>
    </row>
    <row r="436" spans="1:32" x14ac:dyDescent="0.45">
      <c r="A436" t="s">
        <v>3618</v>
      </c>
      <c r="B436" t="s">
        <v>3619</v>
      </c>
      <c r="C436" t="s">
        <v>3620</v>
      </c>
      <c r="D436" t="s">
        <v>3621</v>
      </c>
      <c r="E436" t="s">
        <v>3603</v>
      </c>
      <c r="F436" t="s">
        <v>3604</v>
      </c>
      <c r="H436" t="s">
        <v>3605</v>
      </c>
      <c r="I436" t="s">
        <v>3606</v>
      </c>
      <c r="J436" t="s">
        <v>8</v>
      </c>
      <c r="K436" t="s">
        <v>3</v>
      </c>
      <c r="L436" t="s">
        <v>3</v>
      </c>
      <c r="M436" t="s">
        <v>373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3618</v>
      </c>
      <c r="U436" t="s">
        <v>3</v>
      </c>
      <c r="V436" t="s">
        <v>3</v>
      </c>
      <c r="W436" t="s">
        <v>3</v>
      </c>
      <c r="AA436" t="s">
        <v>3</v>
      </c>
      <c r="AB436" t="s">
        <v>3</v>
      </c>
      <c r="AC436" t="s">
        <v>3</v>
      </c>
      <c r="AD436" t="s">
        <v>8</v>
      </c>
      <c r="AE436" t="s">
        <v>67</v>
      </c>
      <c r="AF436" t="s">
        <v>3622</v>
      </c>
    </row>
    <row r="437" spans="1:32" x14ac:dyDescent="0.45">
      <c r="A437" t="s">
        <v>3623</v>
      </c>
      <c r="B437" t="s">
        <v>3624</v>
      </c>
      <c r="C437" t="s">
        <v>3620</v>
      </c>
      <c r="D437" t="s">
        <v>3625</v>
      </c>
      <c r="E437" t="s">
        <v>3603</v>
      </c>
      <c r="F437" t="s">
        <v>3604</v>
      </c>
      <c r="H437" t="s">
        <v>3605</v>
      </c>
      <c r="I437" t="s">
        <v>3606</v>
      </c>
      <c r="J437" t="s">
        <v>8</v>
      </c>
      <c r="K437" t="s">
        <v>3</v>
      </c>
      <c r="L437" t="s">
        <v>3</v>
      </c>
      <c r="M437" t="s">
        <v>373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3623</v>
      </c>
      <c r="U437" t="s">
        <v>3</v>
      </c>
      <c r="V437" t="s">
        <v>3</v>
      </c>
      <c r="W437" t="s">
        <v>3</v>
      </c>
      <c r="AA437" t="s">
        <v>8</v>
      </c>
      <c r="AB437" t="s">
        <v>3</v>
      </c>
      <c r="AC437" t="s">
        <v>3</v>
      </c>
      <c r="AD437" t="s">
        <v>8</v>
      </c>
      <c r="AE437" t="s">
        <v>67</v>
      </c>
      <c r="AF437" t="s">
        <v>3626</v>
      </c>
    </row>
    <row r="438" spans="1:32" x14ac:dyDescent="0.45">
      <c r="A438" t="s">
        <v>3627</v>
      </c>
      <c r="B438" t="s">
        <v>3628</v>
      </c>
      <c r="C438" t="s">
        <v>3629</v>
      </c>
      <c r="D438" t="s">
        <v>3630</v>
      </c>
      <c r="E438" t="s">
        <v>3603</v>
      </c>
      <c r="F438" t="s">
        <v>3604</v>
      </c>
      <c r="H438" t="s">
        <v>3605</v>
      </c>
      <c r="I438" t="s">
        <v>3606</v>
      </c>
      <c r="J438" t="s">
        <v>8</v>
      </c>
      <c r="K438" t="s">
        <v>3</v>
      </c>
      <c r="L438" t="s">
        <v>3</v>
      </c>
      <c r="M438" t="s">
        <v>373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3627</v>
      </c>
      <c r="U438" t="s">
        <v>3</v>
      </c>
      <c r="V438" t="s">
        <v>3</v>
      </c>
      <c r="W438" t="s">
        <v>3</v>
      </c>
      <c r="AA438" t="s">
        <v>8</v>
      </c>
      <c r="AB438" t="s">
        <v>8</v>
      </c>
      <c r="AC438" t="s">
        <v>3</v>
      </c>
      <c r="AD438" t="s">
        <v>8</v>
      </c>
      <c r="AE438" t="s">
        <v>67</v>
      </c>
      <c r="AF438" t="s">
        <v>3631</v>
      </c>
    </row>
    <row r="439" spans="1:32" x14ac:dyDescent="0.45">
      <c r="A439" t="s">
        <v>3632</v>
      </c>
      <c r="B439" t="s">
        <v>3633</v>
      </c>
      <c r="C439" t="s">
        <v>3634</v>
      </c>
      <c r="D439" t="s">
        <v>3630</v>
      </c>
      <c r="E439" t="s">
        <v>3603</v>
      </c>
      <c r="F439" t="s">
        <v>3604</v>
      </c>
      <c r="H439" t="s">
        <v>3605</v>
      </c>
      <c r="I439" t="s">
        <v>3606</v>
      </c>
      <c r="J439" t="s">
        <v>8</v>
      </c>
      <c r="K439" t="s">
        <v>3</v>
      </c>
      <c r="L439" t="s">
        <v>3</v>
      </c>
      <c r="M439" t="s">
        <v>373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3632</v>
      </c>
      <c r="U439" t="s">
        <v>3</v>
      </c>
      <c r="V439" t="s">
        <v>3</v>
      </c>
      <c r="W439" t="s">
        <v>3</v>
      </c>
      <c r="AA439" t="s">
        <v>8</v>
      </c>
      <c r="AB439" t="s">
        <v>3</v>
      </c>
      <c r="AC439" t="s">
        <v>3</v>
      </c>
      <c r="AD439" t="s">
        <v>8</v>
      </c>
      <c r="AE439" t="s">
        <v>67</v>
      </c>
      <c r="AF439" t="s">
        <v>3635</v>
      </c>
    </row>
    <row r="440" spans="1:32" x14ac:dyDescent="0.45">
      <c r="A440" t="s">
        <v>3636</v>
      </c>
      <c r="B440" t="s">
        <v>3637</v>
      </c>
      <c r="C440" t="s">
        <v>3634</v>
      </c>
      <c r="D440" t="s">
        <v>3638</v>
      </c>
      <c r="E440" t="s">
        <v>3603</v>
      </c>
      <c r="F440" t="s">
        <v>3604</v>
      </c>
      <c r="H440" t="s">
        <v>3605</v>
      </c>
      <c r="I440" t="s">
        <v>3606</v>
      </c>
      <c r="J440" t="s">
        <v>8</v>
      </c>
      <c r="K440" t="s">
        <v>3</v>
      </c>
      <c r="L440" t="s">
        <v>3</v>
      </c>
      <c r="M440" t="s">
        <v>373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3636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67</v>
      </c>
      <c r="AF440" t="s">
        <v>3639</v>
      </c>
    </row>
    <row r="441" spans="1:32" x14ac:dyDescent="0.45">
      <c r="A441" t="s">
        <v>3640</v>
      </c>
      <c r="B441" t="s">
        <v>3641</v>
      </c>
      <c r="C441" t="s">
        <v>3642</v>
      </c>
      <c r="D441" t="s">
        <v>3643</v>
      </c>
      <c r="E441" t="s">
        <v>3644</v>
      </c>
      <c r="F441" t="s">
        <v>3645</v>
      </c>
      <c r="G441" t="s">
        <v>3646</v>
      </c>
      <c r="H441" t="s">
        <v>3647</v>
      </c>
      <c r="I441" t="s">
        <v>3647</v>
      </c>
      <c r="J441" t="s">
        <v>8</v>
      </c>
      <c r="K441" t="s">
        <v>3</v>
      </c>
      <c r="L441" t="s">
        <v>3</v>
      </c>
      <c r="M441" t="s">
        <v>373</v>
      </c>
      <c r="N441" t="s">
        <v>3</v>
      </c>
      <c r="O441" t="s">
        <v>3</v>
      </c>
      <c r="P441" t="s">
        <v>3</v>
      </c>
      <c r="Q441" t="s">
        <v>8</v>
      </c>
      <c r="R441" t="s">
        <v>373</v>
      </c>
      <c r="S441" t="s">
        <v>8</v>
      </c>
      <c r="T441" t="s">
        <v>3640</v>
      </c>
      <c r="U441" t="s">
        <v>3</v>
      </c>
      <c r="V441" t="s">
        <v>3</v>
      </c>
      <c r="W441" t="s">
        <v>3</v>
      </c>
      <c r="AA441" t="s">
        <v>8</v>
      </c>
      <c r="AB441" t="s">
        <v>8</v>
      </c>
      <c r="AC441" t="s">
        <v>3</v>
      </c>
      <c r="AD441" t="s">
        <v>8</v>
      </c>
      <c r="AE441" t="s">
        <v>62</v>
      </c>
      <c r="AF441" t="s">
        <v>3648</v>
      </c>
    </row>
    <row r="442" spans="1:32" x14ac:dyDescent="0.45">
      <c r="A442" t="s">
        <v>3649</v>
      </c>
      <c r="B442" t="s">
        <v>3650</v>
      </c>
      <c r="C442" t="s">
        <v>3651</v>
      </c>
      <c r="D442" t="s">
        <v>3650</v>
      </c>
      <c r="E442" t="s">
        <v>2304</v>
      </c>
      <c r="F442" t="s">
        <v>3652</v>
      </c>
      <c r="H442" t="s">
        <v>3653</v>
      </c>
      <c r="I442" t="s">
        <v>3654</v>
      </c>
      <c r="J442" t="s">
        <v>8</v>
      </c>
      <c r="K442" t="s">
        <v>3</v>
      </c>
      <c r="L442" t="s">
        <v>3</v>
      </c>
      <c r="M442" t="s">
        <v>373</v>
      </c>
      <c r="N442" t="s">
        <v>3</v>
      </c>
      <c r="O442" t="s">
        <v>3</v>
      </c>
      <c r="P442" t="s">
        <v>3</v>
      </c>
      <c r="Q442" t="s">
        <v>8</v>
      </c>
      <c r="R442" t="s">
        <v>373</v>
      </c>
      <c r="S442" t="s">
        <v>8</v>
      </c>
      <c r="T442" t="s">
        <v>3649</v>
      </c>
      <c r="U442" t="s">
        <v>3</v>
      </c>
      <c r="V442" t="s">
        <v>3</v>
      </c>
      <c r="W442" t="s">
        <v>642</v>
      </c>
      <c r="AA442" t="s">
        <v>8</v>
      </c>
      <c r="AB442" t="s">
        <v>8</v>
      </c>
      <c r="AC442" t="s">
        <v>3</v>
      </c>
      <c r="AD442" t="s">
        <v>8</v>
      </c>
      <c r="AE442" t="s">
        <v>67</v>
      </c>
      <c r="AF442" t="s">
        <v>3655</v>
      </c>
    </row>
    <row r="443" spans="1:32" x14ac:dyDescent="0.45">
      <c r="A443" t="s">
        <v>3656</v>
      </c>
      <c r="B443" t="s">
        <v>3657</v>
      </c>
      <c r="C443" t="s">
        <v>3658</v>
      </c>
      <c r="D443" t="s">
        <v>3650</v>
      </c>
      <c r="E443" t="s">
        <v>2304</v>
      </c>
      <c r="F443" t="s">
        <v>3652</v>
      </c>
      <c r="H443" t="s">
        <v>3653</v>
      </c>
      <c r="I443" t="s">
        <v>3654</v>
      </c>
      <c r="J443" t="s">
        <v>8</v>
      </c>
      <c r="K443" t="s">
        <v>3</v>
      </c>
      <c r="L443" t="s">
        <v>3</v>
      </c>
      <c r="M443" t="s">
        <v>373</v>
      </c>
      <c r="N443" t="s">
        <v>3</v>
      </c>
      <c r="O443" t="s">
        <v>3</v>
      </c>
      <c r="P443" t="s">
        <v>3</v>
      </c>
      <c r="Q443" t="s">
        <v>8</v>
      </c>
      <c r="R443" t="s">
        <v>373</v>
      </c>
      <c r="S443" t="s">
        <v>8</v>
      </c>
      <c r="T443" t="s">
        <v>3656</v>
      </c>
      <c r="U443" t="s">
        <v>3</v>
      </c>
      <c r="V443" t="s">
        <v>3</v>
      </c>
      <c r="W443" t="s">
        <v>642</v>
      </c>
      <c r="AA443" t="s">
        <v>8</v>
      </c>
      <c r="AB443" t="s">
        <v>8</v>
      </c>
      <c r="AC443" t="s">
        <v>3</v>
      </c>
      <c r="AD443" t="s">
        <v>8</v>
      </c>
      <c r="AE443" t="s">
        <v>67</v>
      </c>
      <c r="AF443" t="s">
        <v>3659</v>
      </c>
    </row>
    <row r="444" spans="1:32" x14ac:dyDescent="0.45">
      <c r="A444" t="s">
        <v>3660</v>
      </c>
      <c r="B444" t="s">
        <v>3661</v>
      </c>
      <c r="C444" t="s">
        <v>3662</v>
      </c>
      <c r="D444" t="s">
        <v>3663</v>
      </c>
      <c r="E444" t="s">
        <v>3664</v>
      </c>
      <c r="F444" t="s">
        <v>3665</v>
      </c>
      <c r="H444" t="s">
        <v>3666</v>
      </c>
      <c r="I444" t="s">
        <v>3667</v>
      </c>
      <c r="J444" t="s">
        <v>8</v>
      </c>
      <c r="K444" t="s">
        <v>3</v>
      </c>
      <c r="L444" t="s">
        <v>3</v>
      </c>
      <c r="M444" t="s">
        <v>373</v>
      </c>
      <c r="N444" t="s">
        <v>3</v>
      </c>
      <c r="O444" t="s">
        <v>3</v>
      </c>
      <c r="P444" t="s">
        <v>3</v>
      </c>
      <c r="Q444" t="s">
        <v>8</v>
      </c>
      <c r="R444" t="s">
        <v>373</v>
      </c>
      <c r="S444" t="s">
        <v>8</v>
      </c>
      <c r="T444" t="s">
        <v>3660</v>
      </c>
      <c r="U444" t="s">
        <v>3</v>
      </c>
      <c r="V444" t="s">
        <v>3</v>
      </c>
      <c r="W444" t="s">
        <v>2520</v>
      </c>
      <c r="AA444" t="s">
        <v>8</v>
      </c>
      <c r="AB444" t="s">
        <v>8</v>
      </c>
      <c r="AC444" t="s">
        <v>3</v>
      </c>
      <c r="AD444" t="s">
        <v>8</v>
      </c>
      <c r="AE444" t="s">
        <v>67</v>
      </c>
      <c r="AF444" t="s">
        <v>3668</v>
      </c>
    </row>
    <row r="445" spans="1:32" x14ac:dyDescent="0.45">
      <c r="A445" t="s">
        <v>3669</v>
      </c>
      <c r="B445" t="s">
        <v>3670</v>
      </c>
      <c r="C445" t="s">
        <v>3671</v>
      </c>
      <c r="D445" t="s">
        <v>3672</v>
      </c>
      <c r="E445" t="s">
        <v>2618</v>
      </c>
      <c r="F445" t="s">
        <v>3673</v>
      </c>
      <c r="H445" t="s">
        <v>2621</v>
      </c>
      <c r="I445" t="s">
        <v>2626</v>
      </c>
      <c r="J445" t="s">
        <v>8</v>
      </c>
      <c r="K445" t="s">
        <v>3</v>
      </c>
      <c r="L445" t="s">
        <v>3</v>
      </c>
      <c r="M445" t="s">
        <v>373</v>
      </c>
      <c r="N445" t="s">
        <v>3</v>
      </c>
      <c r="O445" t="s">
        <v>3</v>
      </c>
      <c r="P445" t="s">
        <v>3</v>
      </c>
      <c r="Q445" t="s">
        <v>8</v>
      </c>
      <c r="R445" t="s">
        <v>373</v>
      </c>
      <c r="S445" t="s">
        <v>8</v>
      </c>
      <c r="T445" t="s">
        <v>3669</v>
      </c>
      <c r="U445" t="s">
        <v>3</v>
      </c>
      <c r="V445" t="s">
        <v>3</v>
      </c>
      <c r="W445" t="s">
        <v>3</v>
      </c>
      <c r="AA445" t="s">
        <v>8</v>
      </c>
      <c r="AB445" t="s">
        <v>8</v>
      </c>
      <c r="AC445" t="s">
        <v>3</v>
      </c>
      <c r="AD445" t="s">
        <v>8</v>
      </c>
      <c r="AE445" t="s">
        <v>67</v>
      </c>
      <c r="AF445" t="s">
        <v>3674</v>
      </c>
    </row>
    <row r="446" spans="1:32" x14ac:dyDescent="0.45">
      <c r="A446" t="s">
        <v>3675</v>
      </c>
      <c r="B446" t="s">
        <v>3676</v>
      </c>
      <c r="C446" t="s">
        <v>3677</v>
      </c>
      <c r="D446" t="s">
        <v>3676</v>
      </c>
      <c r="E446" t="s">
        <v>3678</v>
      </c>
      <c r="F446" t="s">
        <v>3679</v>
      </c>
      <c r="H446" t="s">
        <v>3680</v>
      </c>
      <c r="I446" t="s">
        <v>3681</v>
      </c>
      <c r="J446" t="s">
        <v>8</v>
      </c>
      <c r="K446" t="s">
        <v>3</v>
      </c>
      <c r="L446" t="s">
        <v>3</v>
      </c>
      <c r="M446" t="s">
        <v>373</v>
      </c>
      <c r="N446" t="s">
        <v>3</v>
      </c>
      <c r="O446" t="s">
        <v>3</v>
      </c>
      <c r="P446" t="s">
        <v>3</v>
      </c>
      <c r="Q446" t="s">
        <v>8</v>
      </c>
      <c r="R446" t="s">
        <v>373</v>
      </c>
      <c r="S446" t="s">
        <v>8</v>
      </c>
      <c r="T446" t="s">
        <v>3675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67</v>
      </c>
      <c r="AF446" t="s">
        <v>3682</v>
      </c>
    </row>
    <row r="447" spans="1:32" x14ac:dyDescent="0.45">
      <c r="A447" t="s">
        <v>3683</v>
      </c>
      <c r="B447" t="s">
        <v>3684</v>
      </c>
      <c r="C447" t="s">
        <v>3685</v>
      </c>
      <c r="D447" t="s">
        <v>3684</v>
      </c>
      <c r="E447" t="s">
        <v>2304</v>
      </c>
      <c r="F447" t="s">
        <v>3686</v>
      </c>
      <c r="G447" t="s">
        <v>3687</v>
      </c>
      <c r="H447" t="s">
        <v>3688</v>
      </c>
      <c r="I447" t="s">
        <v>3688</v>
      </c>
      <c r="J447" t="s">
        <v>8</v>
      </c>
      <c r="K447" t="s">
        <v>3</v>
      </c>
      <c r="L447" t="s">
        <v>3</v>
      </c>
      <c r="M447" t="s">
        <v>373</v>
      </c>
      <c r="N447" t="s">
        <v>3</v>
      </c>
      <c r="O447" t="s">
        <v>3</v>
      </c>
      <c r="P447" t="s">
        <v>3</v>
      </c>
      <c r="Q447" t="s">
        <v>8</v>
      </c>
      <c r="R447" t="s">
        <v>373</v>
      </c>
      <c r="S447" t="s">
        <v>8</v>
      </c>
      <c r="T447" t="s">
        <v>3683</v>
      </c>
      <c r="U447" t="s">
        <v>3</v>
      </c>
      <c r="V447" t="s">
        <v>3</v>
      </c>
      <c r="W447" t="s">
        <v>923</v>
      </c>
      <c r="AA447" t="s">
        <v>8</v>
      </c>
      <c r="AB447" t="s">
        <v>8</v>
      </c>
      <c r="AC447" t="s">
        <v>3</v>
      </c>
      <c r="AD447" t="s">
        <v>8</v>
      </c>
      <c r="AE447" t="s">
        <v>67</v>
      </c>
      <c r="AF447" t="s">
        <v>3689</v>
      </c>
    </row>
    <row r="448" spans="1:32" x14ac:dyDescent="0.45">
      <c r="A448" t="s">
        <v>3690</v>
      </c>
      <c r="B448" t="s">
        <v>3691</v>
      </c>
      <c r="C448" t="s">
        <v>3692</v>
      </c>
      <c r="D448" t="s">
        <v>3691</v>
      </c>
      <c r="E448" t="s">
        <v>2304</v>
      </c>
      <c r="F448" t="s">
        <v>3686</v>
      </c>
      <c r="G448" t="s">
        <v>3687</v>
      </c>
      <c r="H448" t="s">
        <v>3693</v>
      </c>
      <c r="J448" t="s">
        <v>8</v>
      </c>
      <c r="K448" t="s">
        <v>3</v>
      </c>
      <c r="L448" t="s">
        <v>3</v>
      </c>
      <c r="M448" t="s">
        <v>373</v>
      </c>
      <c r="N448" t="s">
        <v>3</v>
      </c>
      <c r="O448" t="s">
        <v>3</v>
      </c>
      <c r="P448" t="s">
        <v>3</v>
      </c>
      <c r="Q448" t="s">
        <v>8</v>
      </c>
      <c r="R448" t="s">
        <v>373</v>
      </c>
      <c r="S448" t="s">
        <v>8</v>
      </c>
      <c r="T448" t="s">
        <v>3690</v>
      </c>
      <c r="U448" t="s">
        <v>3</v>
      </c>
      <c r="V448" t="s">
        <v>3</v>
      </c>
      <c r="W448" t="s">
        <v>644</v>
      </c>
      <c r="AA448" t="s">
        <v>8</v>
      </c>
      <c r="AB448" t="s">
        <v>8</v>
      </c>
      <c r="AC448" t="s">
        <v>3</v>
      </c>
      <c r="AD448" t="s">
        <v>8</v>
      </c>
      <c r="AE448" t="s">
        <v>62</v>
      </c>
      <c r="AF448" t="s">
        <v>3694</v>
      </c>
    </row>
    <row r="449" spans="1:32" x14ac:dyDescent="0.45">
      <c r="A449" t="s">
        <v>3695</v>
      </c>
      <c r="B449" t="s">
        <v>3696</v>
      </c>
      <c r="C449" t="s">
        <v>3697</v>
      </c>
      <c r="D449" t="s">
        <v>3696</v>
      </c>
      <c r="E449" t="s">
        <v>3698</v>
      </c>
      <c r="F449" t="s">
        <v>3699</v>
      </c>
      <c r="H449" t="s">
        <v>3700</v>
      </c>
      <c r="I449" t="s">
        <v>3701</v>
      </c>
      <c r="J449" t="s">
        <v>8</v>
      </c>
      <c r="K449" t="s">
        <v>3</v>
      </c>
      <c r="L449" t="s">
        <v>3</v>
      </c>
      <c r="M449" t="s">
        <v>373</v>
      </c>
      <c r="N449" t="s">
        <v>3</v>
      </c>
      <c r="O449" t="s">
        <v>3</v>
      </c>
      <c r="P449" t="s">
        <v>3</v>
      </c>
      <c r="Q449" t="s">
        <v>8</v>
      </c>
      <c r="R449" t="s">
        <v>373</v>
      </c>
      <c r="S449" t="s">
        <v>8</v>
      </c>
      <c r="T449" t="s">
        <v>3695</v>
      </c>
      <c r="U449" t="s">
        <v>3</v>
      </c>
      <c r="V449" t="s">
        <v>3</v>
      </c>
      <c r="W449" t="s">
        <v>3</v>
      </c>
      <c r="AA449" t="s">
        <v>8</v>
      </c>
      <c r="AB449" t="s">
        <v>8</v>
      </c>
      <c r="AC449" t="s">
        <v>3</v>
      </c>
      <c r="AD449" t="s">
        <v>8</v>
      </c>
      <c r="AE449" t="s">
        <v>67</v>
      </c>
      <c r="AF449" t="s">
        <v>3702</v>
      </c>
    </row>
    <row r="450" spans="1:32" x14ac:dyDescent="0.45">
      <c r="A450" t="s">
        <v>113</v>
      </c>
      <c r="B450" t="s">
        <v>32</v>
      </c>
      <c r="C450" t="s">
        <v>3703</v>
      </c>
      <c r="D450" t="s">
        <v>32</v>
      </c>
      <c r="F450" t="s">
        <v>3704</v>
      </c>
      <c r="G450" t="s">
        <v>3705</v>
      </c>
      <c r="H450" t="s">
        <v>3706</v>
      </c>
      <c r="I450" t="s">
        <v>3707</v>
      </c>
      <c r="J450" t="s">
        <v>8</v>
      </c>
      <c r="K450" t="s">
        <v>3</v>
      </c>
      <c r="L450" t="s">
        <v>3</v>
      </c>
      <c r="M450" t="s">
        <v>373</v>
      </c>
      <c r="N450" t="s">
        <v>3</v>
      </c>
      <c r="O450" t="s">
        <v>3</v>
      </c>
      <c r="P450" t="s">
        <v>3</v>
      </c>
      <c r="Q450" t="s">
        <v>8</v>
      </c>
      <c r="R450" t="s">
        <v>373</v>
      </c>
      <c r="S450" t="s">
        <v>8</v>
      </c>
      <c r="T450" t="s">
        <v>113</v>
      </c>
      <c r="U450" t="s">
        <v>3</v>
      </c>
      <c r="V450" t="s">
        <v>3</v>
      </c>
      <c r="W450" t="s">
        <v>954</v>
      </c>
      <c r="AA450" t="s">
        <v>8</v>
      </c>
      <c r="AB450" t="s">
        <v>8</v>
      </c>
      <c r="AC450" t="s">
        <v>3</v>
      </c>
      <c r="AD450" t="s">
        <v>8</v>
      </c>
      <c r="AE450" t="s">
        <v>62</v>
      </c>
      <c r="AF450" t="s">
        <v>3708</v>
      </c>
    </row>
    <row r="451" spans="1:32" x14ac:dyDescent="0.45">
      <c r="A451" t="s">
        <v>3709</v>
      </c>
      <c r="B451" t="s">
        <v>3710</v>
      </c>
      <c r="C451" t="s">
        <v>3711</v>
      </c>
      <c r="D451" t="s">
        <v>3712</v>
      </c>
      <c r="F451" t="s">
        <v>3713</v>
      </c>
      <c r="H451" t="s">
        <v>3714</v>
      </c>
      <c r="I451" t="s">
        <v>3715</v>
      </c>
      <c r="J451" t="s">
        <v>8</v>
      </c>
      <c r="K451" t="s">
        <v>3</v>
      </c>
      <c r="L451" t="s">
        <v>3</v>
      </c>
      <c r="M451" t="s">
        <v>373</v>
      </c>
      <c r="N451" t="s">
        <v>3</v>
      </c>
      <c r="O451" t="s">
        <v>3</v>
      </c>
      <c r="P451" t="s">
        <v>3</v>
      </c>
      <c r="Q451" t="s">
        <v>8</v>
      </c>
      <c r="R451" t="s">
        <v>373</v>
      </c>
      <c r="S451" t="s">
        <v>8</v>
      </c>
      <c r="T451" t="s">
        <v>3709</v>
      </c>
      <c r="U451" t="s">
        <v>3</v>
      </c>
      <c r="V451" t="s">
        <v>3</v>
      </c>
      <c r="W451" t="s">
        <v>957</v>
      </c>
      <c r="AA451" t="s">
        <v>8</v>
      </c>
      <c r="AB451" t="s">
        <v>8</v>
      </c>
      <c r="AC451" t="s">
        <v>3</v>
      </c>
      <c r="AD451" t="s">
        <v>8</v>
      </c>
      <c r="AE451" t="s">
        <v>72</v>
      </c>
      <c r="AF451" t="s">
        <v>3716</v>
      </c>
    </row>
    <row r="452" spans="1:32" x14ac:dyDescent="0.45">
      <c r="A452" t="s">
        <v>3717</v>
      </c>
      <c r="B452" t="s">
        <v>3718</v>
      </c>
      <c r="C452" t="s">
        <v>3719</v>
      </c>
      <c r="D452" t="s">
        <v>3720</v>
      </c>
      <c r="E452" t="s">
        <v>3721</v>
      </c>
      <c r="F452" t="s">
        <v>3722</v>
      </c>
      <c r="H452" t="s">
        <v>3723</v>
      </c>
      <c r="I452" t="s">
        <v>3724</v>
      </c>
      <c r="J452" t="s">
        <v>8</v>
      </c>
      <c r="K452" t="s">
        <v>3</v>
      </c>
      <c r="L452" t="s">
        <v>3</v>
      </c>
      <c r="M452" t="s">
        <v>373</v>
      </c>
      <c r="N452" t="s">
        <v>3</v>
      </c>
      <c r="O452" t="s">
        <v>3</v>
      </c>
      <c r="P452" t="s">
        <v>3</v>
      </c>
      <c r="Q452" t="s">
        <v>8</v>
      </c>
      <c r="R452" t="s">
        <v>373</v>
      </c>
      <c r="S452" t="s">
        <v>8</v>
      </c>
      <c r="T452" t="s">
        <v>3717</v>
      </c>
      <c r="U452" t="s">
        <v>3</v>
      </c>
      <c r="V452" t="s">
        <v>3</v>
      </c>
      <c r="W452" t="s">
        <v>954</v>
      </c>
      <c r="AA452" t="s">
        <v>8</v>
      </c>
      <c r="AB452" t="s">
        <v>8</v>
      </c>
      <c r="AC452" t="s">
        <v>3</v>
      </c>
      <c r="AD452" t="s">
        <v>8</v>
      </c>
      <c r="AE452" t="s">
        <v>67</v>
      </c>
      <c r="AF452" t="s">
        <v>3725</v>
      </c>
    </row>
    <row r="453" spans="1:32" x14ac:dyDescent="0.45">
      <c r="A453" t="s">
        <v>3726</v>
      </c>
      <c r="B453" t="s">
        <v>3727</v>
      </c>
      <c r="C453" t="s">
        <v>3728</v>
      </c>
      <c r="D453" t="s">
        <v>3727</v>
      </c>
      <c r="E453" t="s">
        <v>3729</v>
      </c>
      <c r="F453" t="s">
        <v>3730</v>
      </c>
      <c r="H453" t="s">
        <v>3731</v>
      </c>
      <c r="I453" t="s">
        <v>3732</v>
      </c>
      <c r="J453" t="s">
        <v>8</v>
      </c>
      <c r="K453" t="s">
        <v>3</v>
      </c>
      <c r="L453" t="s">
        <v>3</v>
      </c>
      <c r="M453" t="s">
        <v>373</v>
      </c>
      <c r="N453" t="s">
        <v>3</v>
      </c>
      <c r="O453" t="s">
        <v>3</v>
      </c>
      <c r="P453" t="s">
        <v>3</v>
      </c>
      <c r="Q453" t="s">
        <v>8</v>
      </c>
      <c r="R453" t="s">
        <v>373</v>
      </c>
      <c r="S453" t="s">
        <v>8</v>
      </c>
      <c r="T453" t="s">
        <v>3726</v>
      </c>
      <c r="U453" t="s">
        <v>3</v>
      </c>
      <c r="V453" t="s">
        <v>3</v>
      </c>
      <c r="W453" t="s">
        <v>3</v>
      </c>
      <c r="AA453" t="s">
        <v>8</v>
      </c>
      <c r="AB453" t="s">
        <v>8</v>
      </c>
      <c r="AC453" t="s">
        <v>3</v>
      </c>
      <c r="AD453" t="s">
        <v>8</v>
      </c>
      <c r="AE453" t="s">
        <v>67</v>
      </c>
      <c r="AF453" t="s">
        <v>3733</v>
      </c>
    </row>
    <row r="454" spans="1:32" x14ac:dyDescent="0.45">
      <c r="A454" t="s">
        <v>3734</v>
      </c>
      <c r="B454" t="s">
        <v>3735</v>
      </c>
      <c r="C454" t="s">
        <v>3736</v>
      </c>
      <c r="D454" t="s">
        <v>3737</v>
      </c>
      <c r="E454" t="s">
        <v>2293</v>
      </c>
      <c r="F454" t="s">
        <v>3738</v>
      </c>
      <c r="H454" t="s">
        <v>3739</v>
      </c>
      <c r="I454" t="s">
        <v>3739</v>
      </c>
      <c r="J454" t="s">
        <v>8</v>
      </c>
      <c r="K454" t="s">
        <v>3</v>
      </c>
      <c r="L454" t="s">
        <v>3</v>
      </c>
      <c r="M454" t="s">
        <v>373</v>
      </c>
      <c r="N454" t="s">
        <v>3</v>
      </c>
      <c r="O454" t="s">
        <v>3</v>
      </c>
      <c r="P454" t="s">
        <v>3</v>
      </c>
      <c r="Q454" t="s">
        <v>8</v>
      </c>
      <c r="R454" t="s">
        <v>373</v>
      </c>
      <c r="S454" t="s">
        <v>8</v>
      </c>
      <c r="T454" t="s">
        <v>3734</v>
      </c>
      <c r="U454" t="s">
        <v>3</v>
      </c>
      <c r="V454" t="s">
        <v>3</v>
      </c>
      <c r="W454" t="s">
        <v>611</v>
      </c>
      <c r="AA454" t="s">
        <v>8</v>
      </c>
      <c r="AB454" t="s">
        <v>8</v>
      </c>
      <c r="AC454" t="s">
        <v>3</v>
      </c>
      <c r="AD454" t="s">
        <v>8</v>
      </c>
      <c r="AE454" t="s">
        <v>67</v>
      </c>
      <c r="AF454" t="s">
        <v>3740</v>
      </c>
    </row>
    <row r="455" spans="1:32" x14ac:dyDescent="0.45">
      <c r="A455" t="s">
        <v>3741</v>
      </c>
      <c r="B455" t="s">
        <v>3742</v>
      </c>
      <c r="C455" t="s">
        <v>3743</v>
      </c>
      <c r="D455" t="s">
        <v>3742</v>
      </c>
      <c r="E455" t="s">
        <v>3744</v>
      </c>
      <c r="F455" t="s">
        <v>3745</v>
      </c>
      <c r="H455" t="s">
        <v>3746</v>
      </c>
      <c r="I455" t="s">
        <v>3747</v>
      </c>
      <c r="J455" t="s">
        <v>8</v>
      </c>
      <c r="K455" t="s">
        <v>3</v>
      </c>
      <c r="L455" t="s">
        <v>3</v>
      </c>
      <c r="M455" t="s">
        <v>373</v>
      </c>
      <c r="N455" t="s">
        <v>3</v>
      </c>
      <c r="O455" t="s">
        <v>3</v>
      </c>
      <c r="P455" t="s">
        <v>3</v>
      </c>
      <c r="Q455" t="s">
        <v>8</v>
      </c>
      <c r="R455" t="s">
        <v>111</v>
      </c>
      <c r="S455" t="s">
        <v>8</v>
      </c>
      <c r="T455" t="s">
        <v>3741</v>
      </c>
      <c r="U455" t="s">
        <v>3</v>
      </c>
      <c r="V455" t="s">
        <v>3</v>
      </c>
      <c r="W455" t="s">
        <v>758</v>
      </c>
      <c r="AA455" t="s">
        <v>8</v>
      </c>
      <c r="AB455" t="s">
        <v>8</v>
      </c>
      <c r="AC455" t="s">
        <v>3</v>
      </c>
      <c r="AD455" t="s">
        <v>8</v>
      </c>
      <c r="AE455" t="s">
        <v>72</v>
      </c>
      <c r="AF455" t="s">
        <v>3748</v>
      </c>
    </row>
    <row r="456" spans="1:32" x14ac:dyDescent="0.45">
      <c r="A456" t="s">
        <v>3749</v>
      </c>
      <c r="B456" t="s">
        <v>3750</v>
      </c>
      <c r="C456" t="s">
        <v>3751</v>
      </c>
      <c r="D456" t="s">
        <v>3750</v>
      </c>
      <c r="E456" t="s">
        <v>3744</v>
      </c>
      <c r="F456" t="s">
        <v>3752</v>
      </c>
      <c r="H456" t="s">
        <v>3747</v>
      </c>
      <c r="J456" t="s">
        <v>8</v>
      </c>
      <c r="K456" t="s">
        <v>3</v>
      </c>
      <c r="L456" t="s">
        <v>3</v>
      </c>
      <c r="M456" t="s">
        <v>373</v>
      </c>
      <c r="N456" t="s">
        <v>3</v>
      </c>
      <c r="O456" t="s">
        <v>3</v>
      </c>
      <c r="P456" t="s">
        <v>3</v>
      </c>
      <c r="Q456" t="s">
        <v>8</v>
      </c>
      <c r="R456" t="s">
        <v>111</v>
      </c>
      <c r="S456" t="s">
        <v>8</v>
      </c>
      <c r="T456" t="s">
        <v>3749</v>
      </c>
      <c r="U456" t="s">
        <v>3</v>
      </c>
      <c r="V456" t="s">
        <v>3</v>
      </c>
      <c r="W456" t="s">
        <v>758</v>
      </c>
      <c r="AA456" t="s">
        <v>8</v>
      </c>
      <c r="AB456" t="s">
        <v>8</v>
      </c>
      <c r="AC456" t="s">
        <v>3</v>
      </c>
      <c r="AD456" t="s">
        <v>8</v>
      </c>
      <c r="AE456" t="s">
        <v>72</v>
      </c>
      <c r="AF456" t="s">
        <v>3753</v>
      </c>
    </row>
    <row r="457" spans="1:32" x14ac:dyDescent="0.45">
      <c r="A457" t="s">
        <v>3754</v>
      </c>
      <c r="B457" t="s">
        <v>3755</v>
      </c>
      <c r="C457" t="s">
        <v>3756</v>
      </c>
      <c r="D457" t="s">
        <v>3757</v>
      </c>
      <c r="E457" t="s">
        <v>3758</v>
      </c>
      <c r="F457" t="s">
        <v>3759</v>
      </c>
      <c r="H457" t="s">
        <v>3760</v>
      </c>
      <c r="I457" t="s">
        <v>3761</v>
      </c>
      <c r="J457" t="s">
        <v>8</v>
      </c>
      <c r="K457" t="s">
        <v>3</v>
      </c>
      <c r="L457" t="s">
        <v>3</v>
      </c>
      <c r="M457" t="s">
        <v>373</v>
      </c>
      <c r="N457" t="s">
        <v>3</v>
      </c>
      <c r="O457" t="s">
        <v>3</v>
      </c>
      <c r="P457" t="s">
        <v>3</v>
      </c>
      <c r="Q457" t="s">
        <v>8</v>
      </c>
      <c r="R457" t="s">
        <v>373</v>
      </c>
      <c r="S457" t="s">
        <v>8</v>
      </c>
      <c r="T457" t="s">
        <v>3754</v>
      </c>
      <c r="U457" t="s">
        <v>3</v>
      </c>
      <c r="V457" t="s">
        <v>3</v>
      </c>
      <c r="W457" t="s">
        <v>3</v>
      </c>
      <c r="AA457" t="s">
        <v>8</v>
      </c>
      <c r="AB457" t="s">
        <v>8</v>
      </c>
      <c r="AC457" t="s">
        <v>3</v>
      </c>
      <c r="AD457" t="s">
        <v>8</v>
      </c>
      <c r="AE457" t="s">
        <v>67</v>
      </c>
      <c r="AF457" t="s">
        <v>3762</v>
      </c>
    </row>
    <row r="458" spans="1:32" x14ac:dyDescent="0.45">
      <c r="A458" t="s">
        <v>3763</v>
      </c>
      <c r="B458" t="s">
        <v>3764</v>
      </c>
      <c r="C458" t="s">
        <v>3765</v>
      </c>
      <c r="D458" t="s">
        <v>3766</v>
      </c>
      <c r="E458" t="s">
        <v>3758</v>
      </c>
      <c r="F458" t="s">
        <v>3759</v>
      </c>
      <c r="H458" t="s">
        <v>3760</v>
      </c>
      <c r="I458" t="s">
        <v>3761</v>
      </c>
      <c r="J458" t="s">
        <v>8</v>
      </c>
      <c r="K458" t="s">
        <v>3</v>
      </c>
      <c r="L458" t="s">
        <v>3</v>
      </c>
      <c r="M458" t="s">
        <v>373</v>
      </c>
      <c r="N458" t="s">
        <v>3</v>
      </c>
      <c r="O458" t="s">
        <v>3</v>
      </c>
      <c r="P458" t="s">
        <v>3</v>
      </c>
      <c r="Q458" t="s">
        <v>8</v>
      </c>
      <c r="R458" t="s">
        <v>373</v>
      </c>
      <c r="S458" t="s">
        <v>8</v>
      </c>
      <c r="T458" t="s">
        <v>3763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67</v>
      </c>
      <c r="AF458" t="s">
        <v>3767</v>
      </c>
    </row>
    <row r="459" spans="1:32" x14ac:dyDescent="0.45">
      <c r="A459" t="s">
        <v>3768</v>
      </c>
      <c r="B459" t="s">
        <v>3769</v>
      </c>
      <c r="C459" t="s">
        <v>3770</v>
      </c>
      <c r="D459" t="s">
        <v>3771</v>
      </c>
      <c r="E459" t="s">
        <v>3758</v>
      </c>
      <c r="F459" t="s">
        <v>3759</v>
      </c>
      <c r="H459" t="s">
        <v>3760</v>
      </c>
      <c r="I459" t="s">
        <v>3761</v>
      </c>
      <c r="J459" t="s">
        <v>8</v>
      </c>
      <c r="K459" t="s">
        <v>3</v>
      </c>
      <c r="L459" t="s">
        <v>3</v>
      </c>
      <c r="M459" t="s">
        <v>373</v>
      </c>
      <c r="N459" t="s">
        <v>3</v>
      </c>
      <c r="O459" t="s">
        <v>3</v>
      </c>
      <c r="P459" t="s">
        <v>3</v>
      </c>
      <c r="Q459" t="s">
        <v>8</v>
      </c>
      <c r="R459" t="s">
        <v>373</v>
      </c>
      <c r="S459" t="s">
        <v>8</v>
      </c>
      <c r="T459" t="s">
        <v>3768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67</v>
      </c>
      <c r="AF459" t="s">
        <v>3772</v>
      </c>
    </row>
    <row r="460" spans="1:32" x14ac:dyDescent="0.45">
      <c r="A460" t="s">
        <v>3773</v>
      </c>
      <c r="B460" t="s">
        <v>3774</v>
      </c>
      <c r="C460" t="s">
        <v>3775</v>
      </c>
      <c r="D460" t="s">
        <v>3774</v>
      </c>
      <c r="E460" t="s">
        <v>3776</v>
      </c>
      <c r="F460" t="s">
        <v>3777</v>
      </c>
      <c r="H460" t="s">
        <v>3778</v>
      </c>
      <c r="I460" t="s">
        <v>3779</v>
      </c>
      <c r="J460" t="s">
        <v>8</v>
      </c>
      <c r="K460" t="s">
        <v>3</v>
      </c>
      <c r="L460" t="s">
        <v>3</v>
      </c>
      <c r="M460" t="s">
        <v>373</v>
      </c>
      <c r="N460" t="s">
        <v>3</v>
      </c>
      <c r="O460" t="s">
        <v>3</v>
      </c>
      <c r="P460" t="s">
        <v>3</v>
      </c>
      <c r="Q460" t="s">
        <v>8</v>
      </c>
      <c r="R460" t="s">
        <v>373</v>
      </c>
      <c r="S460" t="s">
        <v>8</v>
      </c>
      <c r="T460" t="s">
        <v>3773</v>
      </c>
      <c r="U460" t="s">
        <v>3</v>
      </c>
      <c r="V460" t="s">
        <v>3</v>
      </c>
      <c r="W460" t="s">
        <v>642</v>
      </c>
      <c r="Z460" t="s">
        <v>1552</v>
      </c>
      <c r="AA460" t="s">
        <v>3</v>
      </c>
      <c r="AB460" t="s">
        <v>8</v>
      </c>
      <c r="AC460" t="s">
        <v>3</v>
      </c>
      <c r="AD460" t="s">
        <v>8</v>
      </c>
      <c r="AE460" t="s">
        <v>62</v>
      </c>
      <c r="AF460" t="s">
        <v>3780</v>
      </c>
    </row>
    <row r="461" spans="1:32" x14ac:dyDescent="0.45">
      <c r="A461" t="s">
        <v>3781</v>
      </c>
      <c r="B461" t="s">
        <v>3782</v>
      </c>
      <c r="C461" t="s">
        <v>3783</v>
      </c>
      <c r="D461" t="s">
        <v>3784</v>
      </c>
      <c r="E461" t="s">
        <v>3776</v>
      </c>
      <c r="F461" t="s">
        <v>3777</v>
      </c>
      <c r="H461" t="s">
        <v>3778</v>
      </c>
      <c r="I461" t="s">
        <v>3778</v>
      </c>
      <c r="J461" t="s">
        <v>8</v>
      </c>
      <c r="K461" t="s">
        <v>3</v>
      </c>
      <c r="L461" t="s">
        <v>3</v>
      </c>
      <c r="M461" t="s">
        <v>373</v>
      </c>
      <c r="N461" t="s">
        <v>3</v>
      </c>
      <c r="O461" t="s">
        <v>3</v>
      </c>
      <c r="P461" t="s">
        <v>3</v>
      </c>
      <c r="Q461" t="s">
        <v>8</v>
      </c>
      <c r="R461" t="s">
        <v>373</v>
      </c>
      <c r="S461" t="s">
        <v>8</v>
      </c>
      <c r="T461" t="s">
        <v>3781</v>
      </c>
      <c r="U461" t="s">
        <v>3</v>
      </c>
      <c r="V461" t="s">
        <v>3</v>
      </c>
      <c r="W461" t="s">
        <v>642</v>
      </c>
      <c r="Z461" t="s">
        <v>1552</v>
      </c>
      <c r="AA461" t="s">
        <v>3</v>
      </c>
      <c r="AB461" t="s">
        <v>8</v>
      </c>
      <c r="AC461" t="s">
        <v>3</v>
      </c>
      <c r="AD461" t="s">
        <v>8</v>
      </c>
      <c r="AE461" t="s">
        <v>67</v>
      </c>
      <c r="AF461" t="s">
        <v>3785</v>
      </c>
    </row>
    <row r="462" spans="1:32" x14ac:dyDescent="0.45">
      <c r="A462" t="s">
        <v>3786</v>
      </c>
      <c r="B462" t="s">
        <v>3787</v>
      </c>
      <c r="C462" t="s">
        <v>3788</v>
      </c>
      <c r="D462" t="s">
        <v>3787</v>
      </c>
      <c r="E462" t="s">
        <v>2263</v>
      </c>
      <c r="F462" t="s">
        <v>3789</v>
      </c>
      <c r="H462" t="s">
        <v>3790</v>
      </c>
      <c r="I462" t="s">
        <v>3791</v>
      </c>
      <c r="J462" t="s">
        <v>8</v>
      </c>
      <c r="K462" t="s">
        <v>3</v>
      </c>
      <c r="L462" t="s">
        <v>3</v>
      </c>
      <c r="M462" t="s">
        <v>373</v>
      </c>
      <c r="N462" t="s">
        <v>3</v>
      </c>
      <c r="O462" t="s">
        <v>3</v>
      </c>
      <c r="P462" t="s">
        <v>3</v>
      </c>
      <c r="Q462" t="s">
        <v>8</v>
      </c>
      <c r="R462" t="s">
        <v>373</v>
      </c>
      <c r="S462" t="s">
        <v>8</v>
      </c>
      <c r="T462" t="s">
        <v>3786</v>
      </c>
      <c r="U462" t="s">
        <v>3</v>
      </c>
      <c r="V462" t="s">
        <v>3</v>
      </c>
      <c r="W462" t="s">
        <v>2252</v>
      </c>
      <c r="AA462" t="s">
        <v>8</v>
      </c>
      <c r="AB462" t="s">
        <v>8</v>
      </c>
      <c r="AC462" t="s">
        <v>3</v>
      </c>
      <c r="AD462" t="s">
        <v>8</v>
      </c>
      <c r="AE462" t="s">
        <v>8</v>
      </c>
      <c r="AF462" t="s">
        <v>3792</v>
      </c>
    </row>
    <row r="463" spans="1:32" x14ac:dyDescent="0.45">
      <c r="A463" t="s">
        <v>3793</v>
      </c>
      <c r="B463" t="s">
        <v>3794</v>
      </c>
      <c r="C463" t="s">
        <v>3795</v>
      </c>
      <c r="D463" t="s">
        <v>3794</v>
      </c>
      <c r="E463" t="s">
        <v>3796</v>
      </c>
      <c r="F463" t="s">
        <v>3797</v>
      </c>
      <c r="H463" t="s">
        <v>3798</v>
      </c>
      <c r="I463" t="s">
        <v>3799</v>
      </c>
      <c r="J463" t="s">
        <v>8</v>
      </c>
      <c r="K463" t="s">
        <v>3</v>
      </c>
      <c r="L463" t="s">
        <v>3</v>
      </c>
      <c r="M463" t="s">
        <v>373</v>
      </c>
      <c r="N463" t="s">
        <v>3</v>
      </c>
      <c r="O463" t="s">
        <v>3</v>
      </c>
      <c r="P463" t="s">
        <v>3</v>
      </c>
      <c r="Q463" t="s">
        <v>8</v>
      </c>
      <c r="R463" t="s">
        <v>373</v>
      </c>
      <c r="S463" t="s">
        <v>8</v>
      </c>
      <c r="T463" t="s">
        <v>3793</v>
      </c>
      <c r="U463" t="s">
        <v>3</v>
      </c>
      <c r="V463" t="s">
        <v>3</v>
      </c>
      <c r="W463" t="s">
        <v>941</v>
      </c>
      <c r="AA463" t="s">
        <v>8</v>
      </c>
      <c r="AB463" t="s">
        <v>8</v>
      </c>
      <c r="AC463" t="s">
        <v>3</v>
      </c>
      <c r="AD463" t="s">
        <v>8</v>
      </c>
      <c r="AE463" t="s">
        <v>105</v>
      </c>
      <c r="AF463" t="s">
        <v>3800</v>
      </c>
    </row>
    <row r="464" spans="1:32" x14ac:dyDescent="0.45">
      <c r="A464" t="s">
        <v>3801</v>
      </c>
      <c r="B464" t="s">
        <v>3802</v>
      </c>
      <c r="C464" t="s">
        <v>3803</v>
      </c>
      <c r="D464" t="s">
        <v>3804</v>
      </c>
      <c r="E464" t="s">
        <v>3102</v>
      </c>
      <c r="F464" t="s">
        <v>3805</v>
      </c>
      <c r="H464" t="s">
        <v>3806</v>
      </c>
      <c r="I464" t="s">
        <v>3806</v>
      </c>
      <c r="J464" t="s">
        <v>8</v>
      </c>
      <c r="K464" t="s">
        <v>3</v>
      </c>
      <c r="L464" t="s">
        <v>3</v>
      </c>
      <c r="M464" t="s">
        <v>373</v>
      </c>
      <c r="N464" t="s">
        <v>3</v>
      </c>
      <c r="O464" t="s">
        <v>3</v>
      </c>
      <c r="P464" t="s">
        <v>3</v>
      </c>
      <c r="Q464" t="s">
        <v>8</v>
      </c>
      <c r="R464" t="s">
        <v>373</v>
      </c>
      <c r="S464" t="s">
        <v>8</v>
      </c>
      <c r="T464" t="s">
        <v>3801</v>
      </c>
      <c r="U464" t="s">
        <v>3</v>
      </c>
      <c r="V464" t="s">
        <v>3</v>
      </c>
      <c r="W464" t="s">
        <v>662</v>
      </c>
      <c r="AA464" t="s">
        <v>8</v>
      </c>
      <c r="AB464" t="s">
        <v>8</v>
      </c>
      <c r="AC464" t="s">
        <v>3</v>
      </c>
      <c r="AD464" t="s">
        <v>8</v>
      </c>
      <c r="AE464" t="s">
        <v>67</v>
      </c>
      <c r="AF464" t="s">
        <v>3807</v>
      </c>
    </row>
    <row r="465" spans="1:32" x14ac:dyDescent="0.45">
      <c r="A465" t="s">
        <v>3808</v>
      </c>
      <c r="B465" t="s">
        <v>3809</v>
      </c>
      <c r="C465" t="s">
        <v>3810</v>
      </c>
      <c r="D465" t="s">
        <v>3809</v>
      </c>
      <c r="E465" t="s">
        <v>1343</v>
      </c>
      <c r="F465" t="s">
        <v>3811</v>
      </c>
      <c r="G465" t="s">
        <v>3812</v>
      </c>
      <c r="H465" t="s">
        <v>3813</v>
      </c>
      <c r="J465" t="s">
        <v>8</v>
      </c>
      <c r="K465" t="s">
        <v>3</v>
      </c>
      <c r="L465" t="s">
        <v>3</v>
      </c>
      <c r="M465" t="s">
        <v>373</v>
      </c>
      <c r="N465" t="s">
        <v>3</v>
      </c>
      <c r="O465" t="s">
        <v>3</v>
      </c>
      <c r="P465" t="s">
        <v>3</v>
      </c>
      <c r="Q465" t="s">
        <v>8</v>
      </c>
      <c r="R465" t="s">
        <v>373</v>
      </c>
      <c r="S465" t="s">
        <v>8</v>
      </c>
      <c r="T465" t="s">
        <v>3808</v>
      </c>
      <c r="U465" t="s">
        <v>3</v>
      </c>
      <c r="V465" t="s">
        <v>3</v>
      </c>
      <c r="W465" t="s">
        <v>3</v>
      </c>
      <c r="AA465" t="s">
        <v>8</v>
      </c>
      <c r="AB465" t="s">
        <v>8</v>
      </c>
      <c r="AC465" t="s">
        <v>3</v>
      </c>
      <c r="AD465" t="s">
        <v>8</v>
      </c>
      <c r="AE465" t="s">
        <v>67</v>
      </c>
      <c r="AF465" t="s">
        <v>3814</v>
      </c>
    </row>
    <row r="466" spans="1:32" x14ac:dyDescent="0.45">
      <c r="A466" t="s">
        <v>3815</v>
      </c>
      <c r="B466" t="s">
        <v>3816</v>
      </c>
      <c r="C466" t="s">
        <v>3817</v>
      </c>
      <c r="D466" t="s">
        <v>3818</v>
      </c>
      <c r="E466" t="s">
        <v>3142</v>
      </c>
      <c r="F466" t="s">
        <v>3819</v>
      </c>
      <c r="G466" t="s">
        <v>3820</v>
      </c>
      <c r="H466" t="s">
        <v>3821</v>
      </c>
      <c r="I466" t="s">
        <v>3821</v>
      </c>
      <c r="J466" t="s">
        <v>8</v>
      </c>
      <c r="K466" t="s">
        <v>3</v>
      </c>
      <c r="L466" t="s">
        <v>3</v>
      </c>
      <c r="M466" t="s">
        <v>373</v>
      </c>
      <c r="N466" t="s">
        <v>3</v>
      </c>
      <c r="O466" t="s">
        <v>3</v>
      </c>
      <c r="P466" t="s">
        <v>3</v>
      </c>
      <c r="Q466" t="s">
        <v>8</v>
      </c>
      <c r="R466" t="s">
        <v>373</v>
      </c>
      <c r="S466" t="s">
        <v>8</v>
      </c>
      <c r="T466" t="s">
        <v>3815</v>
      </c>
      <c r="U466" t="s">
        <v>3</v>
      </c>
      <c r="V466" t="s">
        <v>3</v>
      </c>
      <c r="W466" t="s">
        <v>1822</v>
      </c>
      <c r="AA466" t="s">
        <v>8</v>
      </c>
      <c r="AB466" t="s">
        <v>8</v>
      </c>
      <c r="AC466" t="s">
        <v>3</v>
      </c>
      <c r="AD466" t="s">
        <v>8</v>
      </c>
      <c r="AE466" t="s">
        <v>67</v>
      </c>
      <c r="AF466" t="s">
        <v>3822</v>
      </c>
    </row>
    <row r="467" spans="1:32" x14ac:dyDescent="0.45">
      <c r="A467" t="s">
        <v>3823</v>
      </c>
      <c r="B467" t="s">
        <v>3824</v>
      </c>
      <c r="C467" t="s">
        <v>3825</v>
      </c>
      <c r="D467" t="s">
        <v>3826</v>
      </c>
      <c r="E467" t="s">
        <v>3142</v>
      </c>
      <c r="F467" t="s">
        <v>3819</v>
      </c>
      <c r="G467" t="s">
        <v>3820</v>
      </c>
      <c r="H467" t="s">
        <v>3821</v>
      </c>
      <c r="I467" t="s">
        <v>3821</v>
      </c>
      <c r="J467" t="s">
        <v>8</v>
      </c>
      <c r="K467" t="s">
        <v>3</v>
      </c>
      <c r="L467" t="s">
        <v>3</v>
      </c>
      <c r="M467" t="s">
        <v>373</v>
      </c>
      <c r="N467" t="s">
        <v>3</v>
      </c>
      <c r="O467" t="s">
        <v>3</v>
      </c>
      <c r="P467" t="s">
        <v>3</v>
      </c>
      <c r="Q467" t="s">
        <v>8</v>
      </c>
      <c r="R467" t="s">
        <v>373</v>
      </c>
      <c r="S467" t="s">
        <v>8</v>
      </c>
      <c r="T467" t="s">
        <v>3823</v>
      </c>
      <c r="U467" t="s">
        <v>3</v>
      </c>
      <c r="V467" t="s">
        <v>3</v>
      </c>
      <c r="W467" t="s">
        <v>352</v>
      </c>
      <c r="AA467" t="s">
        <v>8</v>
      </c>
      <c r="AB467" t="s">
        <v>8</v>
      </c>
      <c r="AC467" t="s">
        <v>3</v>
      </c>
      <c r="AD467" t="s">
        <v>8</v>
      </c>
      <c r="AE467" t="s">
        <v>67</v>
      </c>
      <c r="AF467" t="s">
        <v>3827</v>
      </c>
    </row>
    <row r="468" spans="1:32" x14ac:dyDescent="0.45">
      <c r="A468" t="s">
        <v>3828</v>
      </c>
      <c r="B468" t="s">
        <v>3829</v>
      </c>
      <c r="C468" t="s">
        <v>3830</v>
      </c>
      <c r="D468" t="s">
        <v>3831</v>
      </c>
      <c r="E468" t="s">
        <v>3142</v>
      </c>
      <c r="F468" t="s">
        <v>3832</v>
      </c>
      <c r="H468" t="s">
        <v>3833</v>
      </c>
      <c r="I468" t="s">
        <v>3834</v>
      </c>
      <c r="J468" t="s">
        <v>8</v>
      </c>
      <c r="K468" t="s">
        <v>3</v>
      </c>
      <c r="L468" t="s">
        <v>3</v>
      </c>
      <c r="M468" t="s">
        <v>373</v>
      </c>
      <c r="N468" t="s">
        <v>3</v>
      </c>
      <c r="O468" t="s">
        <v>3</v>
      </c>
      <c r="P468" t="s">
        <v>3</v>
      </c>
      <c r="Q468" t="s">
        <v>8</v>
      </c>
      <c r="R468" t="s">
        <v>373</v>
      </c>
      <c r="S468" t="s">
        <v>8</v>
      </c>
      <c r="T468" t="s">
        <v>3828</v>
      </c>
      <c r="U468" t="s">
        <v>3</v>
      </c>
      <c r="V468" t="s">
        <v>3</v>
      </c>
      <c r="W468" t="s">
        <v>3835</v>
      </c>
      <c r="AA468" t="s">
        <v>8</v>
      </c>
      <c r="AB468" t="s">
        <v>8</v>
      </c>
      <c r="AC468" t="s">
        <v>3</v>
      </c>
      <c r="AD468" t="s">
        <v>8</v>
      </c>
      <c r="AE468" t="s">
        <v>67</v>
      </c>
      <c r="AF468" t="s">
        <v>3836</v>
      </c>
    </row>
    <row r="469" spans="1:32" x14ac:dyDescent="0.45">
      <c r="A469" t="s">
        <v>3837</v>
      </c>
      <c r="B469" t="s">
        <v>3829</v>
      </c>
      <c r="C469" t="s">
        <v>3830</v>
      </c>
      <c r="D469" t="s">
        <v>3831</v>
      </c>
      <c r="E469" t="s">
        <v>3142</v>
      </c>
      <c r="F469" t="s">
        <v>3832</v>
      </c>
      <c r="H469" t="s">
        <v>3821</v>
      </c>
      <c r="J469" t="s">
        <v>8</v>
      </c>
      <c r="K469" t="s">
        <v>3</v>
      </c>
      <c r="L469" t="s">
        <v>3</v>
      </c>
      <c r="M469" t="s">
        <v>373</v>
      </c>
      <c r="N469" t="s">
        <v>3</v>
      </c>
      <c r="O469" t="s">
        <v>3</v>
      </c>
      <c r="P469" t="s">
        <v>3</v>
      </c>
      <c r="Q469" t="s">
        <v>8</v>
      </c>
      <c r="R469" t="s">
        <v>373</v>
      </c>
      <c r="S469" t="s">
        <v>8</v>
      </c>
      <c r="T469" t="s">
        <v>3837</v>
      </c>
      <c r="U469" t="s">
        <v>3</v>
      </c>
      <c r="V469" t="s">
        <v>3</v>
      </c>
      <c r="W469" t="s">
        <v>352</v>
      </c>
      <c r="AA469" t="s">
        <v>8</v>
      </c>
      <c r="AB469" t="s">
        <v>8</v>
      </c>
      <c r="AC469" t="s">
        <v>8</v>
      </c>
      <c r="AD469" t="s">
        <v>8</v>
      </c>
      <c r="AE469" t="s">
        <v>62</v>
      </c>
      <c r="AF469" t="s">
        <v>3838</v>
      </c>
    </row>
    <row r="470" spans="1:32" x14ac:dyDescent="0.45">
      <c r="A470" t="s">
        <v>3839</v>
      </c>
      <c r="B470" t="s">
        <v>3840</v>
      </c>
      <c r="C470" t="s">
        <v>3841</v>
      </c>
      <c r="D470" t="s">
        <v>3842</v>
      </c>
      <c r="E470" t="s">
        <v>3142</v>
      </c>
      <c r="F470" t="s">
        <v>3832</v>
      </c>
      <c r="H470" t="s">
        <v>3821</v>
      </c>
      <c r="J470" t="s">
        <v>8</v>
      </c>
      <c r="K470" t="s">
        <v>3</v>
      </c>
      <c r="L470" t="s">
        <v>3</v>
      </c>
      <c r="M470" t="s">
        <v>373</v>
      </c>
      <c r="N470" t="s">
        <v>3</v>
      </c>
      <c r="O470" t="s">
        <v>3</v>
      </c>
      <c r="P470" t="s">
        <v>3</v>
      </c>
      <c r="Q470" t="s">
        <v>8</v>
      </c>
      <c r="R470" t="s">
        <v>373</v>
      </c>
      <c r="S470" t="s">
        <v>8</v>
      </c>
      <c r="T470" t="s">
        <v>3839</v>
      </c>
      <c r="U470" t="s">
        <v>3</v>
      </c>
      <c r="V470" t="s">
        <v>3</v>
      </c>
      <c r="W470" t="s">
        <v>1822</v>
      </c>
      <c r="AA470" t="s">
        <v>8</v>
      </c>
      <c r="AB470" t="s">
        <v>8</v>
      </c>
      <c r="AC470" t="s">
        <v>3</v>
      </c>
      <c r="AD470" t="s">
        <v>8</v>
      </c>
      <c r="AE470" t="s">
        <v>72</v>
      </c>
      <c r="AF470" t="s">
        <v>3843</v>
      </c>
    </row>
    <row r="471" spans="1:32" x14ac:dyDescent="0.45">
      <c r="A471" t="s">
        <v>3844</v>
      </c>
      <c r="B471" t="s">
        <v>3845</v>
      </c>
      <c r="C471" t="s">
        <v>3846</v>
      </c>
      <c r="D471" t="s">
        <v>3847</v>
      </c>
      <c r="J471" t="s">
        <v>8</v>
      </c>
      <c r="K471" t="s">
        <v>3</v>
      </c>
      <c r="L471" t="s">
        <v>3</v>
      </c>
      <c r="M471" t="s">
        <v>373</v>
      </c>
      <c r="N471" t="s">
        <v>3</v>
      </c>
      <c r="O471" t="s">
        <v>3</v>
      </c>
      <c r="P471" t="s">
        <v>3</v>
      </c>
      <c r="Q471" t="s">
        <v>8</v>
      </c>
      <c r="R471" t="s">
        <v>373</v>
      </c>
      <c r="S471" t="s">
        <v>8</v>
      </c>
      <c r="T471" t="s">
        <v>3844</v>
      </c>
      <c r="U471" t="s">
        <v>3</v>
      </c>
      <c r="V471" t="s">
        <v>3</v>
      </c>
      <c r="W471" t="s">
        <v>352</v>
      </c>
      <c r="AA471" t="s">
        <v>8</v>
      </c>
      <c r="AB471" t="s">
        <v>8</v>
      </c>
      <c r="AC471" t="s">
        <v>3</v>
      </c>
      <c r="AD471" t="s">
        <v>8</v>
      </c>
      <c r="AE471" t="s">
        <v>67</v>
      </c>
      <c r="AF471" t="s">
        <v>3848</v>
      </c>
    </row>
    <row r="472" spans="1:32" x14ac:dyDescent="0.45">
      <c r="A472" t="s">
        <v>3849</v>
      </c>
      <c r="B472" t="s">
        <v>3850</v>
      </c>
      <c r="C472" t="s">
        <v>3851</v>
      </c>
      <c r="D472" t="s">
        <v>3852</v>
      </c>
      <c r="E472" t="s">
        <v>3853</v>
      </c>
      <c r="F472" t="s">
        <v>3854</v>
      </c>
      <c r="H472" t="s">
        <v>3855</v>
      </c>
      <c r="J472" t="s">
        <v>8</v>
      </c>
      <c r="K472" t="s">
        <v>3</v>
      </c>
      <c r="L472" t="s">
        <v>3</v>
      </c>
      <c r="M472" t="s">
        <v>373</v>
      </c>
      <c r="N472" t="s">
        <v>3</v>
      </c>
      <c r="O472" t="s">
        <v>3</v>
      </c>
      <c r="P472" t="s">
        <v>3</v>
      </c>
      <c r="Q472" t="s">
        <v>8</v>
      </c>
      <c r="R472" t="s">
        <v>373</v>
      </c>
      <c r="S472" t="s">
        <v>8</v>
      </c>
      <c r="T472" t="s">
        <v>3849</v>
      </c>
      <c r="U472" t="s">
        <v>3</v>
      </c>
      <c r="V472" t="s">
        <v>3</v>
      </c>
      <c r="W472" t="s">
        <v>2795</v>
      </c>
      <c r="AA472" t="s">
        <v>8</v>
      </c>
      <c r="AB472" t="s">
        <v>8</v>
      </c>
      <c r="AC472" t="s">
        <v>3</v>
      </c>
      <c r="AD472" t="s">
        <v>8</v>
      </c>
      <c r="AE472" t="s">
        <v>67</v>
      </c>
      <c r="AF472" t="s">
        <v>3856</v>
      </c>
    </row>
    <row r="473" spans="1:32" x14ac:dyDescent="0.45">
      <c r="A473" t="s">
        <v>3857</v>
      </c>
      <c r="B473" t="s">
        <v>3850</v>
      </c>
      <c r="C473" t="s">
        <v>3851</v>
      </c>
      <c r="D473" t="s">
        <v>3852</v>
      </c>
      <c r="E473" t="s">
        <v>3853</v>
      </c>
      <c r="F473" t="s">
        <v>3854</v>
      </c>
      <c r="H473" t="s">
        <v>3855</v>
      </c>
      <c r="J473" t="s">
        <v>8</v>
      </c>
      <c r="K473" t="s">
        <v>3</v>
      </c>
      <c r="L473" t="s">
        <v>3</v>
      </c>
      <c r="M473" t="s">
        <v>373</v>
      </c>
      <c r="N473" t="s">
        <v>3</v>
      </c>
      <c r="O473" t="s">
        <v>3</v>
      </c>
      <c r="P473" t="s">
        <v>3</v>
      </c>
      <c r="Q473" t="s">
        <v>8</v>
      </c>
      <c r="R473" t="s">
        <v>373</v>
      </c>
      <c r="S473" t="s">
        <v>8</v>
      </c>
      <c r="T473" t="s">
        <v>3857</v>
      </c>
      <c r="U473" t="s">
        <v>3</v>
      </c>
      <c r="V473" t="s">
        <v>3</v>
      </c>
      <c r="W473" t="s">
        <v>2795</v>
      </c>
      <c r="AA473" t="s">
        <v>8</v>
      </c>
      <c r="AB473" t="s">
        <v>8</v>
      </c>
      <c r="AC473" t="s">
        <v>3</v>
      </c>
      <c r="AD473" t="s">
        <v>8</v>
      </c>
      <c r="AE473" t="s">
        <v>64</v>
      </c>
      <c r="AF473" t="s">
        <v>3858</v>
      </c>
    </row>
    <row r="474" spans="1:32" x14ac:dyDescent="0.45">
      <c r="A474" t="s">
        <v>3859</v>
      </c>
      <c r="B474" t="s">
        <v>3860</v>
      </c>
      <c r="C474" t="s">
        <v>3861</v>
      </c>
      <c r="D474" t="s">
        <v>3852</v>
      </c>
      <c r="E474" t="s">
        <v>3853</v>
      </c>
      <c r="F474" t="s">
        <v>3854</v>
      </c>
      <c r="H474" t="s">
        <v>3855</v>
      </c>
      <c r="J474" t="s">
        <v>8</v>
      </c>
      <c r="K474" t="s">
        <v>3</v>
      </c>
      <c r="L474" t="s">
        <v>3</v>
      </c>
      <c r="M474" t="s">
        <v>373</v>
      </c>
      <c r="N474" t="s">
        <v>3</v>
      </c>
      <c r="O474" t="s">
        <v>3</v>
      </c>
      <c r="P474" t="s">
        <v>3</v>
      </c>
      <c r="Q474" t="s">
        <v>8</v>
      </c>
      <c r="R474" t="s">
        <v>373</v>
      </c>
      <c r="S474" t="s">
        <v>8</v>
      </c>
      <c r="T474" t="s">
        <v>3859</v>
      </c>
      <c r="U474" t="s">
        <v>3</v>
      </c>
      <c r="V474" t="s">
        <v>3</v>
      </c>
      <c r="W474" t="s">
        <v>2795</v>
      </c>
      <c r="AA474" t="s">
        <v>8</v>
      </c>
      <c r="AB474" t="s">
        <v>8</v>
      </c>
      <c r="AC474" t="s">
        <v>3</v>
      </c>
      <c r="AD474" t="s">
        <v>8</v>
      </c>
      <c r="AE474" t="s">
        <v>62</v>
      </c>
      <c r="AF474" t="s">
        <v>3862</v>
      </c>
    </row>
    <row r="475" spans="1:32" x14ac:dyDescent="0.45">
      <c r="A475" t="s">
        <v>3863</v>
      </c>
      <c r="B475" t="s">
        <v>3864</v>
      </c>
      <c r="C475" t="s">
        <v>3865</v>
      </c>
      <c r="D475" t="s">
        <v>3864</v>
      </c>
      <c r="J475" t="s">
        <v>8</v>
      </c>
      <c r="K475" t="s">
        <v>3</v>
      </c>
      <c r="L475" t="s">
        <v>3</v>
      </c>
      <c r="M475" t="s">
        <v>373</v>
      </c>
      <c r="N475" t="s">
        <v>3</v>
      </c>
      <c r="O475" t="s">
        <v>3</v>
      </c>
      <c r="P475" t="s">
        <v>3</v>
      </c>
      <c r="Q475" t="s">
        <v>8</v>
      </c>
      <c r="R475" t="s">
        <v>373</v>
      </c>
      <c r="S475" t="s">
        <v>8</v>
      </c>
      <c r="T475" t="s">
        <v>3863</v>
      </c>
      <c r="U475" t="s">
        <v>3</v>
      </c>
      <c r="V475" t="s">
        <v>3</v>
      </c>
      <c r="W475" t="s">
        <v>3</v>
      </c>
      <c r="Z475" t="s">
        <v>1552</v>
      </c>
      <c r="AA475" t="s">
        <v>8</v>
      </c>
      <c r="AB475" t="s">
        <v>8</v>
      </c>
      <c r="AC475" t="s">
        <v>3</v>
      </c>
      <c r="AD475" t="s">
        <v>8</v>
      </c>
      <c r="AE475" t="s">
        <v>67</v>
      </c>
      <c r="AF475" t="s">
        <v>3866</v>
      </c>
    </row>
    <row r="476" spans="1:32" x14ac:dyDescent="0.45">
      <c r="A476" t="s">
        <v>3867</v>
      </c>
      <c r="B476" t="s">
        <v>3868</v>
      </c>
      <c r="C476" t="s">
        <v>3869</v>
      </c>
      <c r="D476" t="s">
        <v>3870</v>
      </c>
      <c r="E476" t="s">
        <v>1955</v>
      </c>
      <c r="F476" t="s">
        <v>3871</v>
      </c>
      <c r="H476" t="s">
        <v>3872</v>
      </c>
      <c r="I476" t="s">
        <v>3873</v>
      </c>
      <c r="J476" t="s">
        <v>8</v>
      </c>
      <c r="K476" t="s">
        <v>3</v>
      </c>
      <c r="L476" t="s">
        <v>3</v>
      </c>
      <c r="M476" t="s">
        <v>373</v>
      </c>
      <c r="N476" t="s">
        <v>3</v>
      </c>
      <c r="O476" t="s">
        <v>3</v>
      </c>
      <c r="P476" t="s">
        <v>3</v>
      </c>
      <c r="Q476" t="s">
        <v>8</v>
      </c>
      <c r="R476" t="s">
        <v>373</v>
      </c>
      <c r="S476" t="s">
        <v>8</v>
      </c>
      <c r="T476" t="s">
        <v>3867</v>
      </c>
      <c r="U476" t="s">
        <v>3</v>
      </c>
      <c r="V476" t="s">
        <v>3</v>
      </c>
      <c r="W476" t="s">
        <v>787</v>
      </c>
      <c r="AA476" t="s">
        <v>8</v>
      </c>
      <c r="AB476" t="s">
        <v>8</v>
      </c>
      <c r="AC476" t="s">
        <v>3</v>
      </c>
      <c r="AD476" t="s">
        <v>8</v>
      </c>
      <c r="AE476" t="s">
        <v>67</v>
      </c>
      <c r="AF476" t="s">
        <v>3874</v>
      </c>
    </row>
    <row r="477" spans="1:32" x14ac:dyDescent="0.45">
      <c r="A477" t="s">
        <v>3875</v>
      </c>
      <c r="B477" t="s">
        <v>3876</v>
      </c>
      <c r="C477" t="s">
        <v>3877</v>
      </c>
      <c r="D477" t="s">
        <v>3878</v>
      </c>
      <c r="E477" t="s">
        <v>3879</v>
      </c>
      <c r="F477" t="s">
        <v>3880</v>
      </c>
      <c r="H477" t="s">
        <v>3881</v>
      </c>
      <c r="J477" t="s">
        <v>8</v>
      </c>
      <c r="K477" t="s">
        <v>3</v>
      </c>
      <c r="L477" t="s">
        <v>3</v>
      </c>
      <c r="M477" t="s">
        <v>373</v>
      </c>
      <c r="N477" t="s">
        <v>3</v>
      </c>
      <c r="O477" t="s">
        <v>3</v>
      </c>
      <c r="P477" t="s">
        <v>3</v>
      </c>
      <c r="Q477" t="s">
        <v>8</v>
      </c>
      <c r="R477" t="s">
        <v>373</v>
      </c>
      <c r="S477" t="s">
        <v>8</v>
      </c>
      <c r="T477" t="s">
        <v>3875</v>
      </c>
      <c r="U477" t="s">
        <v>3</v>
      </c>
      <c r="V477" t="s">
        <v>3</v>
      </c>
      <c r="W477" t="s">
        <v>581</v>
      </c>
      <c r="AA477" t="s">
        <v>8</v>
      </c>
      <c r="AB477" t="s">
        <v>8</v>
      </c>
      <c r="AC477" t="s">
        <v>3</v>
      </c>
      <c r="AD477" t="s">
        <v>8</v>
      </c>
      <c r="AE477" t="s">
        <v>102</v>
      </c>
      <c r="AF477" t="s">
        <v>3882</v>
      </c>
    </row>
    <row r="478" spans="1:32" x14ac:dyDescent="0.45">
      <c r="A478" t="s">
        <v>3883</v>
      </c>
      <c r="B478" t="s">
        <v>3884</v>
      </c>
      <c r="C478" t="s">
        <v>3885</v>
      </c>
      <c r="D478" t="s">
        <v>3884</v>
      </c>
      <c r="E478" t="s">
        <v>3744</v>
      </c>
      <c r="F478" t="s">
        <v>3886</v>
      </c>
      <c r="H478" t="s">
        <v>3887</v>
      </c>
      <c r="J478" t="s">
        <v>8</v>
      </c>
      <c r="K478" t="s">
        <v>3</v>
      </c>
      <c r="L478" t="s">
        <v>3</v>
      </c>
      <c r="M478" t="s">
        <v>373</v>
      </c>
      <c r="N478" t="s">
        <v>3</v>
      </c>
      <c r="O478" t="s">
        <v>3</v>
      </c>
      <c r="P478" t="s">
        <v>3</v>
      </c>
      <c r="Q478" t="s">
        <v>8</v>
      </c>
      <c r="R478" t="s">
        <v>373</v>
      </c>
      <c r="S478" t="s">
        <v>8</v>
      </c>
      <c r="T478" t="s">
        <v>3883</v>
      </c>
      <c r="U478" t="s">
        <v>3</v>
      </c>
      <c r="V478" t="s">
        <v>3</v>
      </c>
      <c r="W478" t="s">
        <v>758</v>
      </c>
      <c r="AA478" t="s">
        <v>8</v>
      </c>
      <c r="AB478" t="s">
        <v>8</v>
      </c>
      <c r="AC478" t="s">
        <v>3</v>
      </c>
      <c r="AD478" t="s">
        <v>8</v>
      </c>
      <c r="AE478" t="s">
        <v>67</v>
      </c>
      <c r="AF478" t="s">
        <v>3888</v>
      </c>
    </row>
    <row r="479" spans="1:32" x14ac:dyDescent="0.45">
      <c r="A479" t="s">
        <v>71</v>
      </c>
      <c r="B479" t="s">
        <v>16</v>
      </c>
      <c r="C479" t="s">
        <v>3889</v>
      </c>
      <c r="D479" t="s">
        <v>16</v>
      </c>
      <c r="E479" t="s">
        <v>3102</v>
      </c>
      <c r="F479" t="s">
        <v>3890</v>
      </c>
      <c r="G479" t="s">
        <v>3891</v>
      </c>
      <c r="H479" t="s">
        <v>3892</v>
      </c>
      <c r="J479" t="s">
        <v>8</v>
      </c>
      <c r="K479" t="s">
        <v>3</v>
      </c>
      <c r="L479" t="s">
        <v>3</v>
      </c>
      <c r="M479" t="s">
        <v>373</v>
      </c>
      <c r="N479" t="s">
        <v>3</v>
      </c>
      <c r="O479" t="s">
        <v>3</v>
      </c>
      <c r="P479" t="s">
        <v>3</v>
      </c>
      <c r="Q479" t="s">
        <v>8</v>
      </c>
      <c r="R479" t="s">
        <v>373</v>
      </c>
      <c r="S479" t="s">
        <v>8</v>
      </c>
      <c r="T479" t="s">
        <v>71</v>
      </c>
      <c r="U479" t="s">
        <v>3</v>
      </c>
      <c r="V479" t="s">
        <v>3</v>
      </c>
      <c r="W479" t="s">
        <v>129</v>
      </c>
      <c r="AA479" t="s">
        <v>8</v>
      </c>
      <c r="AB479" t="s">
        <v>8</v>
      </c>
      <c r="AC479" t="s">
        <v>3</v>
      </c>
      <c r="AD479" t="s">
        <v>8</v>
      </c>
      <c r="AE479" t="s">
        <v>67</v>
      </c>
      <c r="AF479" t="s">
        <v>3893</v>
      </c>
    </row>
    <row r="480" spans="1:32" x14ac:dyDescent="0.45">
      <c r="A480" t="s">
        <v>3894</v>
      </c>
      <c r="B480" t="s">
        <v>3895</v>
      </c>
      <c r="C480" t="s">
        <v>3896</v>
      </c>
      <c r="D480" t="s">
        <v>3895</v>
      </c>
      <c r="E480" t="s">
        <v>3102</v>
      </c>
      <c r="F480" t="s">
        <v>3890</v>
      </c>
      <c r="G480" t="s">
        <v>3891</v>
      </c>
      <c r="H480" t="s">
        <v>3892</v>
      </c>
      <c r="J480" t="s">
        <v>8</v>
      </c>
      <c r="K480" t="s">
        <v>3</v>
      </c>
      <c r="L480" t="s">
        <v>3</v>
      </c>
      <c r="M480" t="s">
        <v>373</v>
      </c>
      <c r="N480" t="s">
        <v>3</v>
      </c>
      <c r="O480" t="s">
        <v>3</v>
      </c>
      <c r="P480" t="s">
        <v>3</v>
      </c>
      <c r="Q480" t="s">
        <v>8</v>
      </c>
      <c r="R480" t="s">
        <v>373</v>
      </c>
      <c r="S480" t="s">
        <v>8</v>
      </c>
      <c r="T480" t="s">
        <v>3894</v>
      </c>
      <c r="U480" t="s">
        <v>3</v>
      </c>
      <c r="V480" t="s">
        <v>3</v>
      </c>
      <c r="W480" t="s">
        <v>129</v>
      </c>
      <c r="AA480" t="s">
        <v>8</v>
      </c>
      <c r="AB480" t="s">
        <v>8</v>
      </c>
      <c r="AC480" t="s">
        <v>3</v>
      </c>
      <c r="AD480" t="s">
        <v>8</v>
      </c>
      <c r="AE480" t="s">
        <v>67</v>
      </c>
      <c r="AF480" t="s">
        <v>3897</v>
      </c>
    </row>
    <row r="481" spans="1:32" x14ac:dyDescent="0.45">
      <c r="A481" t="s">
        <v>3898</v>
      </c>
      <c r="B481" t="s">
        <v>3899</v>
      </c>
      <c r="C481" t="s">
        <v>3900</v>
      </c>
      <c r="D481" t="s">
        <v>3901</v>
      </c>
      <c r="E481" t="s">
        <v>3902</v>
      </c>
      <c r="F481" t="s">
        <v>3903</v>
      </c>
      <c r="G481" t="s">
        <v>3904</v>
      </c>
      <c r="H481" t="s">
        <v>3905</v>
      </c>
      <c r="I481" t="s">
        <v>3906</v>
      </c>
      <c r="J481" t="s">
        <v>8</v>
      </c>
      <c r="K481" t="s">
        <v>3</v>
      </c>
      <c r="L481" t="s">
        <v>3</v>
      </c>
      <c r="M481" t="s">
        <v>373</v>
      </c>
      <c r="N481" t="s">
        <v>3</v>
      </c>
      <c r="O481" t="s">
        <v>3</v>
      </c>
      <c r="P481" t="s">
        <v>3</v>
      </c>
      <c r="Q481" t="s">
        <v>8</v>
      </c>
      <c r="R481" t="s">
        <v>373</v>
      </c>
      <c r="S481" t="s">
        <v>8</v>
      </c>
      <c r="T481" t="s">
        <v>3898</v>
      </c>
      <c r="U481" t="s">
        <v>3</v>
      </c>
      <c r="V481" t="s">
        <v>3</v>
      </c>
      <c r="W481" t="s">
        <v>3</v>
      </c>
      <c r="Z481" t="s">
        <v>1552</v>
      </c>
      <c r="AA481" t="s">
        <v>8</v>
      </c>
      <c r="AB481" t="s">
        <v>8</v>
      </c>
      <c r="AC481" t="s">
        <v>3</v>
      </c>
      <c r="AD481" t="s">
        <v>8</v>
      </c>
      <c r="AE481" t="s">
        <v>62</v>
      </c>
      <c r="AF481" t="s">
        <v>3907</v>
      </c>
    </row>
    <row r="482" spans="1:32" x14ac:dyDescent="0.45">
      <c r="A482" t="s">
        <v>3908</v>
      </c>
      <c r="B482" t="s">
        <v>3909</v>
      </c>
      <c r="C482" t="s">
        <v>3910</v>
      </c>
      <c r="D482" t="s">
        <v>3909</v>
      </c>
      <c r="E482" t="s">
        <v>3911</v>
      </c>
      <c r="F482" t="s">
        <v>3912</v>
      </c>
      <c r="H482" t="s">
        <v>3913</v>
      </c>
      <c r="I482" t="s">
        <v>3913</v>
      </c>
      <c r="J482" t="s">
        <v>8</v>
      </c>
      <c r="K482" t="s">
        <v>3</v>
      </c>
      <c r="L482" t="s">
        <v>3</v>
      </c>
      <c r="M482" t="s">
        <v>373</v>
      </c>
      <c r="N482" t="s">
        <v>3</v>
      </c>
      <c r="O482" t="s">
        <v>3</v>
      </c>
      <c r="P482" t="s">
        <v>3</v>
      </c>
      <c r="Q482" t="s">
        <v>8</v>
      </c>
      <c r="R482" t="s">
        <v>373</v>
      </c>
      <c r="S482" t="s">
        <v>8</v>
      </c>
      <c r="T482" t="s">
        <v>3908</v>
      </c>
      <c r="U482" t="s">
        <v>3</v>
      </c>
      <c r="V482" t="s">
        <v>3</v>
      </c>
      <c r="W482" t="s">
        <v>55</v>
      </c>
      <c r="AA482" t="s">
        <v>8</v>
      </c>
      <c r="AB482" t="s">
        <v>8</v>
      </c>
      <c r="AC482" t="s">
        <v>3</v>
      </c>
      <c r="AD482" t="s">
        <v>8</v>
      </c>
      <c r="AE482" t="s">
        <v>67</v>
      </c>
      <c r="AF482" t="s">
        <v>3914</v>
      </c>
    </row>
    <row r="483" spans="1:32" x14ac:dyDescent="0.45">
      <c r="A483" t="s">
        <v>3915</v>
      </c>
      <c r="B483" t="s">
        <v>3916</v>
      </c>
      <c r="C483" t="s">
        <v>3917</v>
      </c>
      <c r="D483" t="s">
        <v>3918</v>
      </c>
      <c r="E483" t="s">
        <v>3919</v>
      </c>
      <c r="G483" t="s">
        <v>3920</v>
      </c>
      <c r="H483" t="s">
        <v>3921</v>
      </c>
      <c r="I483" t="s">
        <v>3922</v>
      </c>
      <c r="J483" t="s">
        <v>8</v>
      </c>
      <c r="K483" t="s">
        <v>3</v>
      </c>
      <c r="L483" t="s">
        <v>3</v>
      </c>
      <c r="M483" t="s">
        <v>373</v>
      </c>
      <c r="N483" t="s">
        <v>3</v>
      </c>
      <c r="O483" t="s">
        <v>3</v>
      </c>
      <c r="P483" t="s">
        <v>3</v>
      </c>
      <c r="Q483" t="s">
        <v>8</v>
      </c>
      <c r="R483" t="s">
        <v>373</v>
      </c>
      <c r="S483" t="s">
        <v>8</v>
      </c>
      <c r="T483" t="s">
        <v>3915</v>
      </c>
      <c r="U483" t="s">
        <v>3</v>
      </c>
      <c r="V483" t="s">
        <v>3</v>
      </c>
      <c r="W483" t="s">
        <v>1822</v>
      </c>
      <c r="AA483" t="s">
        <v>8</v>
      </c>
      <c r="AB483" t="s">
        <v>3</v>
      </c>
      <c r="AC483" t="s">
        <v>3</v>
      </c>
      <c r="AD483" t="s">
        <v>8</v>
      </c>
      <c r="AE483" t="s">
        <v>67</v>
      </c>
      <c r="AF483" t="s">
        <v>3923</v>
      </c>
    </row>
    <row r="484" spans="1:32" x14ac:dyDescent="0.45">
      <c r="A484" t="s">
        <v>3924</v>
      </c>
      <c r="B484" t="s">
        <v>3925</v>
      </c>
      <c r="C484" t="s">
        <v>3926</v>
      </c>
      <c r="D484" t="s">
        <v>3927</v>
      </c>
      <c r="E484" t="s">
        <v>3919</v>
      </c>
      <c r="G484" t="s">
        <v>3920</v>
      </c>
      <c r="H484" t="s">
        <v>3921</v>
      </c>
      <c r="I484" t="s">
        <v>3922</v>
      </c>
      <c r="J484" t="s">
        <v>8</v>
      </c>
      <c r="K484" t="s">
        <v>3</v>
      </c>
      <c r="L484" t="s">
        <v>3</v>
      </c>
      <c r="M484" t="s">
        <v>373</v>
      </c>
      <c r="N484" t="s">
        <v>3</v>
      </c>
      <c r="O484" t="s">
        <v>3</v>
      </c>
      <c r="P484" t="s">
        <v>3</v>
      </c>
      <c r="Q484" t="s">
        <v>8</v>
      </c>
      <c r="R484" t="s">
        <v>373</v>
      </c>
      <c r="S484" t="s">
        <v>8</v>
      </c>
      <c r="T484" t="s">
        <v>3924</v>
      </c>
      <c r="U484" t="s">
        <v>3</v>
      </c>
      <c r="V484" t="s">
        <v>3</v>
      </c>
      <c r="W484" t="s">
        <v>1822</v>
      </c>
      <c r="AA484" t="s">
        <v>8</v>
      </c>
      <c r="AB484" t="s">
        <v>3</v>
      </c>
      <c r="AC484" t="s">
        <v>3</v>
      </c>
      <c r="AD484" t="s">
        <v>8</v>
      </c>
      <c r="AE484" t="s">
        <v>67</v>
      </c>
      <c r="AF484" t="s">
        <v>3928</v>
      </c>
    </row>
    <row r="485" spans="1:32" x14ac:dyDescent="0.45">
      <c r="A485" t="s">
        <v>3929</v>
      </c>
      <c r="B485" t="s">
        <v>3930</v>
      </c>
      <c r="C485" t="s">
        <v>3931</v>
      </c>
      <c r="D485" t="s">
        <v>3930</v>
      </c>
      <c r="E485" t="s">
        <v>3932</v>
      </c>
      <c r="F485" t="s">
        <v>3933</v>
      </c>
      <c r="H485" t="s">
        <v>3934</v>
      </c>
      <c r="J485" t="s">
        <v>8</v>
      </c>
      <c r="K485" t="s">
        <v>3</v>
      </c>
      <c r="L485" t="s">
        <v>3</v>
      </c>
      <c r="M485" t="s">
        <v>373</v>
      </c>
      <c r="N485" t="s">
        <v>3</v>
      </c>
      <c r="O485" t="s">
        <v>3</v>
      </c>
      <c r="P485" t="s">
        <v>3</v>
      </c>
      <c r="Q485" t="s">
        <v>8</v>
      </c>
      <c r="R485" t="s">
        <v>373</v>
      </c>
      <c r="S485" t="s">
        <v>8</v>
      </c>
      <c r="T485" t="s">
        <v>3929</v>
      </c>
      <c r="U485" t="s">
        <v>3</v>
      </c>
      <c r="V485" t="s">
        <v>3</v>
      </c>
      <c r="W485" t="s">
        <v>129</v>
      </c>
      <c r="AA485" t="s">
        <v>3</v>
      </c>
      <c r="AB485" t="s">
        <v>3</v>
      </c>
      <c r="AC485" t="s">
        <v>3</v>
      </c>
      <c r="AD485" t="s">
        <v>8</v>
      </c>
      <c r="AE485" t="s">
        <v>62</v>
      </c>
      <c r="AF485" t="s">
        <v>3935</v>
      </c>
    </row>
    <row r="486" spans="1:32" x14ac:dyDescent="0.45">
      <c r="A486" t="s">
        <v>3936</v>
      </c>
      <c r="B486" t="s">
        <v>3937</v>
      </c>
      <c r="C486" t="s">
        <v>3938</v>
      </c>
      <c r="D486" t="s">
        <v>3939</v>
      </c>
      <c r="E486" t="s">
        <v>3940</v>
      </c>
      <c r="F486" t="s">
        <v>3941</v>
      </c>
      <c r="H486" t="s">
        <v>3942</v>
      </c>
      <c r="I486" t="s">
        <v>3943</v>
      </c>
      <c r="J486" t="s">
        <v>8</v>
      </c>
      <c r="K486" t="s">
        <v>3</v>
      </c>
      <c r="L486" t="s">
        <v>3</v>
      </c>
      <c r="M486" t="s">
        <v>373</v>
      </c>
      <c r="N486" t="s">
        <v>3</v>
      </c>
      <c r="O486" t="s">
        <v>3</v>
      </c>
      <c r="P486" t="s">
        <v>3</v>
      </c>
      <c r="Q486" t="s">
        <v>8</v>
      </c>
      <c r="R486" t="s">
        <v>373</v>
      </c>
      <c r="S486" t="s">
        <v>8</v>
      </c>
      <c r="T486" t="s">
        <v>3936</v>
      </c>
      <c r="U486" t="s">
        <v>3</v>
      </c>
      <c r="V486" t="s">
        <v>3</v>
      </c>
      <c r="W486" t="s">
        <v>760</v>
      </c>
      <c r="AA486" t="s">
        <v>8</v>
      </c>
      <c r="AB486" t="s">
        <v>8</v>
      </c>
      <c r="AC486" t="s">
        <v>3</v>
      </c>
      <c r="AD486" t="s">
        <v>8</v>
      </c>
      <c r="AE486" t="s">
        <v>62</v>
      </c>
      <c r="AF486" t="s">
        <v>3944</v>
      </c>
    </row>
    <row r="487" spans="1:32" x14ac:dyDescent="0.45">
      <c r="A487" t="s">
        <v>3945</v>
      </c>
      <c r="B487" t="s">
        <v>3946</v>
      </c>
      <c r="C487" t="s">
        <v>3947</v>
      </c>
      <c r="D487" t="s">
        <v>3948</v>
      </c>
      <c r="E487" t="s">
        <v>3949</v>
      </c>
      <c r="F487" t="s">
        <v>3950</v>
      </c>
      <c r="H487" t="s">
        <v>3951</v>
      </c>
      <c r="J487" t="s">
        <v>8</v>
      </c>
      <c r="K487" t="s">
        <v>3</v>
      </c>
      <c r="L487" t="s">
        <v>3</v>
      </c>
      <c r="M487" t="s">
        <v>373</v>
      </c>
      <c r="N487" t="s">
        <v>3</v>
      </c>
      <c r="O487" t="s">
        <v>3</v>
      </c>
      <c r="P487" t="s">
        <v>3</v>
      </c>
      <c r="Q487" t="s">
        <v>8</v>
      </c>
      <c r="R487" t="s">
        <v>373</v>
      </c>
      <c r="S487" t="s">
        <v>8</v>
      </c>
      <c r="T487" t="s">
        <v>3945</v>
      </c>
      <c r="U487" t="s">
        <v>3</v>
      </c>
      <c r="V487" t="s">
        <v>3</v>
      </c>
      <c r="W487" t="s">
        <v>8</v>
      </c>
      <c r="AA487" t="s">
        <v>8</v>
      </c>
      <c r="AB487" t="s">
        <v>3</v>
      </c>
      <c r="AC487" t="s">
        <v>3</v>
      </c>
      <c r="AD487" t="s">
        <v>8</v>
      </c>
      <c r="AE487" t="s">
        <v>67</v>
      </c>
      <c r="AF487" t="s">
        <v>3952</v>
      </c>
    </row>
    <row r="488" spans="1:32" x14ac:dyDescent="0.45">
      <c r="A488" t="s">
        <v>3953</v>
      </c>
      <c r="B488" t="s">
        <v>3954</v>
      </c>
      <c r="C488" t="s">
        <v>3955</v>
      </c>
      <c r="D488" t="s">
        <v>3954</v>
      </c>
      <c r="E488" t="s">
        <v>3956</v>
      </c>
      <c r="F488" t="s">
        <v>3957</v>
      </c>
      <c r="H488" t="s">
        <v>3958</v>
      </c>
      <c r="J488" t="s">
        <v>8</v>
      </c>
      <c r="K488" t="s">
        <v>3</v>
      </c>
      <c r="L488" t="s">
        <v>3</v>
      </c>
      <c r="M488" t="s">
        <v>373</v>
      </c>
      <c r="N488" t="s">
        <v>3</v>
      </c>
      <c r="O488" t="s">
        <v>3</v>
      </c>
      <c r="P488" t="s">
        <v>3</v>
      </c>
      <c r="Q488" t="s">
        <v>8</v>
      </c>
      <c r="R488" t="s">
        <v>373</v>
      </c>
      <c r="S488" t="s">
        <v>8</v>
      </c>
      <c r="T488" t="s">
        <v>3953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67</v>
      </c>
      <c r="AF488" t="s">
        <v>3959</v>
      </c>
    </row>
    <row r="489" spans="1:32" x14ac:dyDescent="0.45">
      <c r="A489" t="s">
        <v>3960</v>
      </c>
      <c r="B489" t="s">
        <v>3961</v>
      </c>
      <c r="C489" t="s">
        <v>3962</v>
      </c>
      <c r="D489" t="s">
        <v>3961</v>
      </c>
      <c r="E489" t="s">
        <v>2304</v>
      </c>
      <c r="F489" t="s">
        <v>3963</v>
      </c>
      <c r="H489" t="s">
        <v>3964</v>
      </c>
      <c r="J489" t="s">
        <v>8</v>
      </c>
      <c r="K489" t="s">
        <v>3</v>
      </c>
      <c r="L489" t="s">
        <v>3</v>
      </c>
      <c r="M489" t="s">
        <v>373</v>
      </c>
      <c r="N489" t="s">
        <v>3</v>
      </c>
      <c r="O489" t="s">
        <v>3</v>
      </c>
      <c r="P489" t="s">
        <v>3</v>
      </c>
      <c r="Q489" t="s">
        <v>8</v>
      </c>
      <c r="R489" t="s">
        <v>373</v>
      </c>
      <c r="S489" t="s">
        <v>8</v>
      </c>
      <c r="T489" t="s">
        <v>3960</v>
      </c>
      <c r="U489" t="s">
        <v>3</v>
      </c>
      <c r="V489" t="s">
        <v>3</v>
      </c>
      <c r="W489" t="s">
        <v>8</v>
      </c>
      <c r="AA489" t="s">
        <v>8</v>
      </c>
      <c r="AB489" t="s">
        <v>8</v>
      </c>
      <c r="AC489" t="s">
        <v>3</v>
      </c>
      <c r="AD489" t="s">
        <v>8</v>
      </c>
      <c r="AE489" t="s">
        <v>62</v>
      </c>
      <c r="AF489" t="s">
        <v>3965</v>
      </c>
    </row>
    <row r="490" spans="1:32" x14ac:dyDescent="0.45">
      <c r="A490" t="s">
        <v>3966</v>
      </c>
      <c r="B490" t="s">
        <v>3967</v>
      </c>
      <c r="C490" t="s">
        <v>3968</v>
      </c>
      <c r="D490" t="s">
        <v>3967</v>
      </c>
      <c r="E490" t="s">
        <v>3969</v>
      </c>
      <c r="F490" t="s">
        <v>3970</v>
      </c>
      <c r="G490" t="s">
        <v>3971</v>
      </c>
      <c r="H490" t="s">
        <v>3972</v>
      </c>
      <c r="J490" t="s">
        <v>8</v>
      </c>
      <c r="K490" t="s">
        <v>3</v>
      </c>
      <c r="L490" t="s">
        <v>3</v>
      </c>
      <c r="M490" t="s">
        <v>373</v>
      </c>
      <c r="N490" t="s">
        <v>3</v>
      </c>
      <c r="O490" t="s">
        <v>3</v>
      </c>
      <c r="P490" t="s">
        <v>3</v>
      </c>
      <c r="Q490" t="s">
        <v>8</v>
      </c>
      <c r="R490" t="s">
        <v>373</v>
      </c>
      <c r="S490" t="s">
        <v>8</v>
      </c>
      <c r="T490" t="s">
        <v>3966</v>
      </c>
      <c r="U490" t="s">
        <v>3</v>
      </c>
      <c r="V490" t="s">
        <v>3</v>
      </c>
      <c r="W490" t="s">
        <v>3</v>
      </c>
      <c r="AA490" t="s">
        <v>8</v>
      </c>
      <c r="AB490" t="s">
        <v>8</v>
      </c>
      <c r="AC490" t="s">
        <v>3</v>
      </c>
      <c r="AD490" t="s">
        <v>8</v>
      </c>
      <c r="AE490" t="s">
        <v>62</v>
      </c>
      <c r="AF490" t="s">
        <v>3973</v>
      </c>
    </row>
    <row r="491" spans="1:32" x14ac:dyDescent="0.45">
      <c r="A491" t="s">
        <v>3974</v>
      </c>
      <c r="B491" t="s">
        <v>3975</v>
      </c>
      <c r="C491" t="s">
        <v>3976</v>
      </c>
      <c r="D491" t="s">
        <v>3975</v>
      </c>
      <c r="E491" t="s">
        <v>3977</v>
      </c>
      <c r="F491" t="s">
        <v>3978</v>
      </c>
      <c r="H491" t="s">
        <v>3979</v>
      </c>
      <c r="I491" t="s">
        <v>3980</v>
      </c>
      <c r="J491" t="s">
        <v>8</v>
      </c>
      <c r="K491" t="s">
        <v>3</v>
      </c>
      <c r="L491" t="s">
        <v>3</v>
      </c>
      <c r="M491" t="s">
        <v>373</v>
      </c>
      <c r="N491" t="s">
        <v>3</v>
      </c>
      <c r="O491" t="s">
        <v>3</v>
      </c>
      <c r="P491" t="s">
        <v>3</v>
      </c>
      <c r="Q491" t="s">
        <v>8</v>
      </c>
      <c r="R491" t="s">
        <v>373</v>
      </c>
      <c r="S491" t="s">
        <v>8</v>
      </c>
      <c r="T491" t="s">
        <v>3974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67</v>
      </c>
      <c r="AF491" t="s">
        <v>3981</v>
      </c>
    </row>
    <row r="492" spans="1:32" x14ac:dyDescent="0.45">
      <c r="A492" t="s">
        <v>3982</v>
      </c>
      <c r="B492" t="s">
        <v>3983</v>
      </c>
      <c r="C492" t="s">
        <v>3984</v>
      </c>
      <c r="D492" t="s">
        <v>3985</v>
      </c>
      <c r="E492" t="s">
        <v>2618</v>
      </c>
      <c r="F492" t="s">
        <v>3986</v>
      </c>
      <c r="H492" t="s">
        <v>3987</v>
      </c>
      <c r="J492" t="s">
        <v>8</v>
      </c>
      <c r="K492" t="s">
        <v>3</v>
      </c>
      <c r="L492" t="s">
        <v>3</v>
      </c>
      <c r="M492" t="s">
        <v>373</v>
      </c>
      <c r="N492" t="s">
        <v>3</v>
      </c>
      <c r="O492" t="s">
        <v>3</v>
      </c>
      <c r="P492" t="s">
        <v>3</v>
      </c>
      <c r="Q492" t="s">
        <v>8</v>
      </c>
      <c r="R492" t="s">
        <v>373</v>
      </c>
      <c r="S492" t="s">
        <v>8</v>
      </c>
      <c r="T492" t="s">
        <v>3982</v>
      </c>
      <c r="U492" t="s">
        <v>3</v>
      </c>
      <c r="V492" t="s">
        <v>3</v>
      </c>
      <c r="W492" t="s">
        <v>8</v>
      </c>
      <c r="AA492" t="s">
        <v>8</v>
      </c>
      <c r="AB492" t="s">
        <v>3</v>
      </c>
      <c r="AC492" t="s">
        <v>3</v>
      </c>
      <c r="AD492" t="s">
        <v>8</v>
      </c>
      <c r="AE492" t="s">
        <v>67</v>
      </c>
      <c r="AF492" t="s">
        <v>3988</v>
      </c>
    </row>
    <row r="493" spans="1:32" x14ac:dyDescent="0.45">
      <c r="A493" t="s">
        <v>3989</v>
      </c>
      <c r="B493" t="s">
        <v>3983</v>
      </c>
      <c r="C493" t="s">
        <v>3984</v>
      </c>
      <c r="D493" t="s">
        <v>3990</v>
      </c>
      <c r="E493" t="s">
        <v>2618</v>
      </c>
      <c r="F493" t="s">
        <v>3986</v>
      </c>
      <c r="H493" t="s">
        <v>3987</v>
      </c>
      <c r="J493" t="s">
        <v>8</v>
      </c>
      <c r="K493" t="s">
        <v>3</v>
      </c>
      <c r="L493" t="s">
        <v>3</v>
      </c>
      <c r="M493" t="s">
        <v>373</v>
      </c>
      <c r="N493" t="s">
        <v>3</v>
      </c>
      <c r="O493" t="s">
        <v>3</v>
      </c>
      <c r="P493" t="s">
        <v>3</v>
      </c>
      <c r="Q493" t="s">
        <v>8</v>
      </c>
      <c r="R493" t="s">
        <v>373</v>
      </c>
      <c r="S493" t="s">
        <v>8</v>
      </c>
      <c r="T493" t="s">
        <v>3982</v>
      </c>
      <c r="U493" t="s">
        <v>3</v>
      </c>
      <c r="V493" t="s">
        <v>3</v>
      </c>
      <c r="W493" t="s">
        <v>8</v>
      </c>
      <c r="AA493" t="s">
        <v>8</v>
      </c>
      <c r="AB493" t="s">
        <v>8</v>
      </c>
      <c r="AC493" t="s">
        <v>3</v>
      </c>
      <c r="AD493" t="s">
        <v>8</v>
      </c>
      <c r="AE493" t="s">
        <v>62</v>
      </c>
      <c r="AF493" t="s">
        <v>3991</v>
      </c>
    </row>
    <row r="494" spans="1:32" x14ac:dyDescent="0.45">
      <c r="A494" t="s">
        <v>3992</v>
      </c>
      <c r="B494" t="s">
        <v>3993</v>
      </c>
      <c r="C494" t="s">
        <v>3994</v>
      </c>
      <c r="D494" t="s">
        <v>3993</v>
      </c>
      <c r="E494" t="s">
        <v>1574</v>
      </c>
      <c r="F494" t="s">
        <v>3995</v>
      </c>
      <c r="H494" t="s">
        <v>3996</v>
      </c>
      <c r="I494" t="s">
        <v>3997</v>
      </c>
      <c r="J494" t="s">
        <v>8</v>
      </c>
      <c r="K494" t="s">
        <v>3</v>
      </c>
      <c r="L494" t="s">
        <v>3</v>
      </c>
      <c r="M494" t="s">
        <v>373</v>
      </c>
      <c r="N494" t="s">
        <v>3</v>
      </c>
      <c r="O494" t="s">
        <v>3</v>
      </c>
      <c r="P494" t="s">
        <v>3</v>
      </c>
      <c r="Q494" t="s">
        <v>8</v>
      </c>
      <c r="R494" t="s">
        <v>373</v>
      </c>
      <c r="S494" t="s">
        <v>8</v>
      </c>
      <c r="T494" t="s">
        <v>3992</v>
      </c>
      <c r="U494" t="s">
        <v>3</v>
      </c>
      <c r="V494" t="s">
        <v>3</v>
      </c>
      <c r="W494" t="s">
        <v>8</v>
      </c>
      <c r="AA494" t="s">
        <v>3</v>
      </c>
      <c r="AB494" t="s">
        <v>8</v>
      </c>
      <c r="AC494" t="s">
        <v>3</v>
      </c>
      <c r="AD494" t="s">
        <v>8</v>
      </c>
      <c r="AE494" t="s">
        <v>62</v>
      </c>
      <c r="AF494" t="s">
        <v>3998</v>
      </c>
    </row>
    <row r="495" spans="1:32" x14ac:dyDescent="0.45">
      <c r="A495" t="s">
        <v>83</v>
      </c>
      <c r="B495" t="s">
        <v>19</v>
      </c>
      <c r="C495" t="s">
        <v>3999</v>
      </c>
      <c r="D495" t="s">
        <v>19</v>
      </c>
      <c r="E495" t="s">
        <v>4000</v>
      </c>
      <c r="F495" t="s">
        <v>4001</v>
      </c>
      <c r="H495" t="s">
        <v>4002</v>
      </c>
      <c r="J495" t="s">
        <v>8</v>
      </c>
      <c r="K495" t="s">
        <v>3</v>
      </c>
      <c r="L495" t="s">
        <v>3</v>
      </c>
      <c r="M495" t="s">
        <v>373</v>
      </c>
      <c r="N495" t="s">
        <v>3</v>
      </c>
      <c r="O495" t="s">
        <v>3</v>
      </c>
      <c r="P495" t="s">
        <v>3</v>
      </c>
      <c r="Q495" t="s">
        <v>8</v>
      </c>
      <c r="R495" t="s">
        <v>373</v>
      </c>
      <c r="S495" t="s">
        <v>8</v>
      </c>
      <c r="T495" t="s">
        <v>83</v>
      </c>
      <c r="U495" t="s">
        <v>3</v>
      </c>
      <c r="V495" t="s">
        <v>3</v>
      </c>
      <c r="W495" t="s">
        <v>502</v>
      </c>
      <c r="AA495" t="s">
        <v>8</v>
      </c>
      <c r="AB495" t="s">
        <v>8</v>
      </c>
      <c r="AC495" t="s">
        <v>3</v>
      </c>
      <c r="AD495" t="s">
        <v>8</v>
      </c>
      <c r="AE495" t="s">
        <v>97</v>
      </c>
      <c r="AF495" t="s">
        <v>4003</v>
      </c>
    </row>
    <row r="496" spans="1:32" x14ac:dyDescent="0.45">
      <c r="A496" t="s">
        <v>4004</v>
      </c>
      <c r="B496" t="s">
        <v>4005</v>
      </c>
      <c r="C496" t="s">
        <v>3217</v>
      </c>
      <c r="D496" t="s">
        <v>4005</v>
      </c>
      <c r="E496" t="s">
        <v>4006</v>
      </c>
      <c r="F496" t="s">
        <v>4007</v>
      </c>
      <c r="H496" t="s">
        <v>4008</v>
      </c>
      <c r="I496" t="s">
        <v>4009</v>
      </c>
      <c r="J496" t="s">
        <v>8</v>
      </c>
      <c r="K496" t="s">
        <v>3</v>
      </c>
      <c r="L496" t="s">
        <v>3</v>
      </c>
      <c r="M496" t="s">
        <v>373</v>
      </c>
      <c r="N496" t="s">
        <v>3</v>
      </c>
      <c r="O496" t="s">
        <v>3</v>
      </c>
      <c r="P496" t="s">
        <v>3</v>
      </c>
      <c r="Q496" t="s">
        <v>8</v>
      </c>
      <c r="R496" t="s">
        <v>373</v>
      </c>
      <c r="S496" t="s">
        <v>8</v>
      </c>
      <c r="T496" t="s">
        <v>4004</v>
      </c>
      <c r="U496" t="s">
        <v>3</v>
      </c>
      <c r="V496" t="s">
        <v>3</v>
      </c>
      <c r="W496" t="s">
        <v>235</v>
      </c>
      <c r="AA496" t="s">
        <v>8</v>
      </c>
      <c r="AB496" t="s">
        <v>8</v>
      </c>
      <c r="AC496" t="s">
        <v>3</v>
      </c>
      <c r="AD496" t="s">
        <v>8</v>
      </c>
      <c r="AE496" t="s">
        <v>67</v>
      </c>
      <c r="AF496" t="s">
        <v>4010</v>
      </c>
    </row>
    <row r="497" spans="1:32" x14ac:dyDescent="0.45">
      <c r="A497" t="s">
        <v>4011</v>
      </c>
      <c r="B497" t="s">
        <v>4012</v>
      </c>
      <c r="C497" t="s">
        <v>4013</v>
      </c>
      <c r="D497" t="s">
        <v>4014</v>
      </c>
      <c r="E497" t="s">
        <v>4006</v>
      </c>
      <c r="F497" t="s">
        <v>4007</v>
      </c>
      <c r="H497" t="s">
        <v>4008</v>
      </c>
      <c r="I497" t="s">
        <v>4009</v>
      </c>
      <c r="J497" t="s">
        <v>8</v>
      </c>
      <c r="K497" t="s">
        <v>3</v>
      </c>
      <c r="L497" t="s">
        <v>3</v>
      </c>
      <c r="M497" t="s">
        <v>373</v>
      </c>
      <c r="N497" t="s">
        <v>3</v>
      </c>
      <c r="O497" t="s">
        <v>3</v>
      </c>
      <c r="P497" t="s">
        <v>3</v>
      </c>
      <c r="Q497" t="s">
        <v>8</v>
      </c>
      <c r="R497" t="s">
        <v>373</v>
      </c>
      <c r="S497" t="s">
        <v>8</v>
      </c>
      <c r="T497" t="s">
        <v>4011</v>
      </c>
      <c r="U497" t="s">
        <v>3</v>
      </c>
      <c r="V497" t="s">
        <v>3</v>
      </c>
      <c r="W497" t="s">
        <v>8</v>
      </c>
      <c r="AA497" t="s">
        <v>8</v>
      </c>
      <c r="AB497" t="s">
        <v>8</v>
      </c>
      <c r="AC497" t="s">
        <v>3</v>
      </c>
      <c r="AD497" t="s">
        <v>8</v>
      </c>
      <c r="AE497" t="s">
        <v>67</v>
      </c>
      <c r="AF497" t="s">
        <v>4015</v>
      </c>
    </row>
    <row r="498" spans="1:32" x14ac:dyDescent="0.45">
      <c r="A498" t="s">
        <v>4016</v>
      </c>
      <c r="B498" t="s">
        <v>4017</v>
      </c>
      <c r="C498" t="s">
        <v>4018</v>
      </c>
      <c r="D498" t="s">
        <v>4017</v>
      </c>
      <c r="E498" t="s">
        <v>4019</v>
      </c>
      <c r="F498" t="s">
        <v>4020</v>
      </c>
      <c r="H498" t="s">
        <v>4021</v>
      </c>
      <c r="J498" t="s">
        <v>8</v>
      </c>
      <c r="K498" t="s">
        <v>3</v>
      </c>
      <c r="L498" t="s">
        <v>3</v>
      </c>
      <c r="M498" t="s">
        <v>373</v>
      </c>
      <c r="N498" t="s">
        <v>3</v>
      </c>
      <c r="O498" t="s">
        <v>3</v>
      </c>
      <c r="P498" t="s">
        <v>3</v>
      </c>
      <c r="Q498" t="s">
        <v>8</v>
      </c>
      <c r="R498" t="s">
        <v>373</v>
      </c>
      <c r="S498" t="s">
        <v>8</v>
      </c>
      <c r="T498" t="s">
        <v>4016</v>
      </c>
      <c r="U498" t="s">
        <v>3</v>
      </c>
      <c r="V498" t="s">
        <v>3</v>
      </c>
      <c r="W498" t="s">
        <v>3</v>
      </c>
      <c r="AA498" t="s">
        <v>8</v>
      </c>
      <c r="AB498" t="s">
        <v>8</v>
      </c>
      <c r="AC498" t="s">
        <v>3</v>
      </c>
      <c r="AD498" t="s">
        <v>8</v>
      </c>
      <c r="AE498" t="s">
        <v>62</v>
      </c>
      <c r="AF498" t="s">
        <v>4022</v>
      </c>
    </row>
    <row r="499" spans="1:32" x14ac:dyDescent="0.45">
      <c r="A499" t="s">
        <v>4023</v>
      </c>
      <c r="B499" t="s">
        <v>4024</v>
      </c>
      <c r="C499" t="s">
        <v>4025</v>
      </c>
      <c r="D499" t="s">
        <v>4026</v>
      </c>
      <c r="E499" t="s">
        <v>4027</v>
      </c>
      <c r="F499" t="s">
        <v>4028</v>
      </c>
      <c r="H499" t="s">
        <v>4029</v>
      </c>
      <c r="I499" t="s">
        <v>4030</v>
      </c>
      <c r="J499" t="s">
        <v>8</v>
      </c>
      <c r="K499" t="s">
        <v>3</v>
      </c>
      <c r="L499" t="s">
        <v>3</v>
      </c>
      <c r="M499" t="s">
        <v>373</v>
      </c>
      <c r="N499" t="s">
        <v>3</v>
      </c>
      <c r="O499" t="s">
        <v>3</v>
      </c>
      <c r="P499" t="s">
        <v>3</v>
      </c>
      <c r="Q499" t="s">
        <v>8</v>
      </c>
      <c r="R499" t="s">
        <v>373</v>
      </c>
      <c r="S499" t="s">
        <v>8</v>
      </c>
      <c r="T499" t="s">
        <v>4023</v>
      </c>
      <c r="U499" t="s">
        <v>3</v>
      </c>
      <c r="V499" t="s">
        <v>3</v>
      </c>
      <c r="W499" t="s">
        <v>4023</v>
      </c>
      <c r="AA499" t="s">
        <v>8</v>
      </c>
      <c r="AB499" t="s">
        <v>8</v>
      </c>
      <c r="AC499" t="s">
        <v>3</v>
      </c>
      <c r="AD499" t="s">
        <v>8</v>
      </c>
      <c r="AE499" t="s">
        <v>62</v>
      </c>
      <c r="AF499" t="s">
        <v>4031</v>
      </c>
    </row>
    <row r="500" spans="1:32" x14ac:dyDescent="0.45">
      <c r="A500" t="s">
        <v>4032</v>
      </c>
      <c r="B500" t="s">
        <v>4033</v>
      </c>
      <c r="C500" t="s">
        <v>4034</v>
      </c>
      <c r="D500" t="s">
        <v>4033</v>
      </c>
      <c r="E500" t="s">
        <v>4035</v>
      </c>
      <c r="F500" t="s">
        <v>4036</v>
      </c>
      <c r="H500" t="s">
        <v>4037</v>
      </c>
      <c r="J500" t="s">
        <v>8</v>
      </c>
      <c r="K500" t="s">
        <v>3</v>
      </c>
      <c r="L500" t="s">
        <v>3</v>
      </c>
      <c r="M500" t="s">
        <v>373</v>
      </c>
      <c r="N500" t="s">
        <v>3</v>
      </c>
      <c r="O500" t="s">
        <v>3</v>
      </c>
      <c r="P500" t="s">
        <v>3</v>
      </c>
      <c r="Q500" t="s">
        <v>8</v>
      </c>
      <c r="R500" t="s">
        <v>373</v>
      </c>
      <c r="S500" t="s">
        <v>8</v>
      </c>
      <c r="T500" t="s">
        <v>4032</v>
      </c>
      <c r="U500" t="s">
        <v>3</v>
      </c>
      <c r="V500" t="s">
        <v>3</v>
      </c>
      <c r="W500" t="s">
        <v>3</v>
      </c>
      <c r="AA500" t="s">
        <v>8</v>
      </c>
      <c r="AB500" t="s">
        <v>8</v>
      </c>
      <c r="AC500" t="s">
        <v>3</v>
      </c>
      <c r="AD500" t="s">
        <v>8</v>
      </c>
      <c r="AE500" t="s">
        <v>62</v>
      </c>
      <c r="AF500" t="s">
        <v>4038</v>
      </c>
    </row>
    <row r="501" spans="1:32" x14ac:dyDescent="0.45">
      <c r="A501" t="s">
        <v>4039</v>
      </c>
      <c r="B501" t="s">
        <v>4040</v>
      </c>
      <c r="C501" t="s">
        <v>4041</v>
      </c>
      <c r="D501" t="s">
        <v>4042</v>
      </c>
      <c r="E501" t="s">
        <v>2270</v>
      </c>
      <c r="F501" t="s">
        <v>4043</v>
      </c>
      <c r="G501" t="s">
        <v>4044</v>
      </c>
      <c r="H501" t="s">
        <v>4045</v>
      </c>
      <c r="J501" t="s">
        <v>8</v>
      </c>
      <c r="K501" t="s">
        <v>3</v>
      </c>
      <c r="L501" t="s">
        <v>3</v>
      </c>
      <c r="M501" t="s">
        <v>373</v>
      </c>
      <c r="N501" t="s">
        <v>3</v>
      </c>
      <c r="O501" t="s">
        <v>3</v>
      </c>
      <c r="P501" t="s">
        <v>3</v>
      </c>
      <c r="Q501" t="s">
        <v>8</v>
      </c>
      <c r="R501" t="s">
        <v>373</v>
      </c>
      <c r="S501" t="s">
        <v>8</v>
      </c>
      <c r="T501" t="s">
        <v>4039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97</v>
      </c>
      <c r="AF501" t="s">
        <v>4046</v>
      </c>
    </row>
    <row r="502" spans="1:32" x14ac:dyDescent="0.45">
      <c r="A502" t="s">
        <v>4047</v>
      </c>
      <c r="B502" t="s">
        <v>4048</v>
      </c>
      <c r="C502" t="s">
        <v>4049</v>
      </c>
      <c r="D502" t="s">
        <v>4048</v>
      </c>
      <c r="E502" t="s">
        <v>4050</v>
      </c>
      <c r="F502" t="s">
        <v>4051</v>
      </c>
      <c r="H502" t="s">
        <v>4052</v>
      </c>
      <c r="I502" t="s">
        <v>4052</v>
      </c>
      <c r="J502" t="s">
        <v>8</v>
      </c>
      <c r="K502" t="s">
        <v>3</v>
      </c>
      <c r="L502" t="s">
        <v>3</v>
      </c>
      <c r="M502" t="s">
        <v>373</v>
      </c>
      <c r="N502" t="s">
        <v>3</v>
      </c>
      <c r="O502" t="s">
        <v>3</v>
      </c>
      <c r="P502" t="s">
        <v>3</v>
      </c>
      <c r="Q502" t="s">
        <v>8</v>
      </c>
      <c r="R502" t="s">
        <v>373</v>
      </c>
      <c r="S502" t="s">
        <v>8</v>
      </c>
      <c r="T502" t="s">
        <v>4047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67</v>
      </c>
      <c r="AF502" t="s">
        <v>4053</v>
      </c>
    </row>
    <row r="503" spans="1:32" x14ac:dyDescent="0.45">
      <c r="A503" t="s">
        <v>4054</v>
      </c>
      <c r="B503" t="s">
        <v>4055</v>
      </c>
      <c r="C503" t="s">
        <v>4056</v>
      </c>
      <c r="D503" t="s">
        <v>4057</v>
      </c>
      <c r="E503" t="s">
        <v>4058</v>
      </c>
      <c r="F503" t="s">
        <v>4059</v>
      </c>
      <c r="H503" t="s">
        <v>4060</v>
      </c>
      <c r="I503" t="s">
        <v>4061</v>
      </c>
      <c r="J503" t="s">
        <v>8</v>
      </c>
      <c r="K503" t="s">
        <v>3</v>
      </c>
      <c r="L503" t="s">
        <v>3</v>
      </c>
      <c r="M503" t="s">
        <v>373</v>
      </c>
      <c r="N503" t="s">
        <v>3</v>
      </c>
      <c r="O503" t="s">
        <v>3</v>
      </c>
      <c r="P503" t="s">
        <v>3</v>
      </c>
      <c r="Q503" t="s">
        <v>8</v>
      </c>
      <c r="R503" t="s">
        <v>373</v>
      </c>
      <c r="S503" t="s">
        <v>8</v>
      </c>
      <c r="T503" t="s">
        <v>4054</v>
      </c>
      <c r="U503" t="s">
        <v>3</v>
      </c>
      <c r="V503" t="s">
        <v>3</v>
      </c>
      <c r="W503" t="s">
        <v>3835</v>
      </c>
      <c r="AA503" t="s">
        <v>8</v>
      </c>
      <c r="AB503" t="s">
        <v>3</v>
      </c>
      <c r="AC503" t="s">
        <v>3</v>
      </c>
      <c r="AD503" t="s">
        <v>8</v>
      </c>
      <c r="AE503" t="s">
        <v>72</v>
      </c>
      <c r="AF503" t="s">
        <v>4062</v>
      </c>
    </row>
    <row r="504" spans="1:32" x14ac:dyDescent="0.45">
      <c r="A504" t="s">
        <v>4063</v>
      </c>
      <c r="B504" t="s">
        <v>4064</v>
      </c>
      <c r="C504" t="s">
        <v>4065</v>
      </c>
      <c r="D504" t="s">
        <v>4057</v>
      </c>
      <c r="E504" t="s">
        <v>4058</v>
      </c>
      <c r="F504" t="s">
        <v>4059</v>
      </c>
      <c r="H504" t="s">
        <v>4066</v>
      </c>
      <c r="J504" t="s">
        <v>8</v>
      </c>
      <c r="K504" t="s">
        <v>3</v>
      </c>
      <c r="L504" t="s">
        <v>3</v>
      </c>
      <c r="M504" t="s">
        <v>373</v>
      </c>
      <c r="N504" t="s">
        <v>3</v>
      </c>
      <c r="O504" t="s">
        <v>3</v>
      </c>
      <c r="P504" t="s">
        <v>3</v>
      </c>
      <c r="Q504" t="s">
        <v>8</v>
      </c>
      <c r="R504" t="s">
        <v>373</v>
      </c>
      <c r="S504" t="s">
        <v>8</v>
      </c>
      <c r="T504" t="s">
        <v>4063</v>
      </c>
      <c r="U504" t="s">
        <v>3</v>
      </c>
      <c r="V504" t="s">
        <v>3</v>
      </c>
      <c r="W504" t="s">
        <v>3835</v>
      </c>
      <c r="AA504" t="s">
        <v>8</v>
      </c>
      <c r="AB504" t="s">
        <v>3</v>
      </c>
      <c r="AC504" t="s">
        <v>3</v>
      </c>
      <c r="AD504" t="s">
        <v>8</v>
      </c>
      <c r="AE504" t="s">
        <v>72</v>
      </c>
      <c r="AF504" t="s">
        <v>4067</v>
      </c>
    </row>
    <row r="505" spans="1:32" x14ac:dyDescent="0.45">
      <c r="A505" t="s">
        <v>4068</v>
      </c>
      <c r="B505" t="s">
        <v>4069</v>
      </c>
      <c r="C505" t="s">
        <v>4070</v>
      </c>
      <c r="D505" t="s">
        <v>4069</v>
      </c>
      <c r="E505" t="s">
        <v>4071</v>
      </c>
      <c r="F505" t="s">
        <v>4072</v>
      </c>
      <c r="H505" t="s">
        <v>4073</v>
      </c>
      <c r="J505" t="s">
        <v>8</v>
      </c>
      <c r="K505" t="s">
        <v>3</v>
      </c>
      <c r="L505" t="s">
        <v>3</v>
      </c>
      <c r="M505" t="s">
        <v>373</v>
      </c>
      <c r="N505" t="s">
        <v>3</v>
      </c>
      <c r="O505" t="s">
        <v>3</v>
      </c>
      <c r="P505" t="s">
        <v>3</v>
      </c>
      <c r="Q505" t="s">
        <v>8</v>
      </c>
      <c r="R505" t="s">
        <v>373</v>
      </c>
      <c r="S505" t="s">
        <v>8</v>
      </c>
      <c r="T505" t="s">
        <v>4068</v>
      </c>
      <c r="U505" t="s">
        <v>3</v>
      </c>
      <c r="V505" t="s">
        <v>3</v>
      </c>
      <c r="W505" t="s">
        <v>129</v>
      </c>
      <c r="AA505" t="s">
        <v>8</v>
      </c>
      <c r="AB505" t="s">
        <v>8</v>
      </c>
      <c r="AC505" t="s">
        <v>3</v>
      </c>
      <c r="AD505" t="s">
        <v>8</v>
      </c>
      <c r="AE505" t="s">
        <v>67</v>
      </c>
      <c r="AF505" t="s">
        <v>4074</v>
      </c>
    </row>
    <row r="506" spans="1:32" x14ac:dyDescent="0.45">
      <c r="A506" t="s">
        <v>84</v>
      </c>
      <c r="B506" t="s">
        <v>20</v>
      </c>
      <c r="C506" t="s">
        <v>4075</v>
      </c>
      <c r="D506" t="s">
        <v>20</v>
      </c>
      <c r="E506" t="s">
        <v>2315</v>
      </c>
      <c r="F506" t="s">
        <v>4076</v>
      </c>
      <c r="H506" t="s">
        <v>4077</v>
      </c>
      <c r="J506" t="s">
        <v>8</v>
      </c>
      <c r="K506" t="s">
        <v>3</v>
      </c>
      <c r="L506" t="s">
        <v>3</v>
      </c>
      <c r="M506" t="s">
        <v>373</v>
      </c>
      <c r="N506" t="s">
        <v>3</v>
      </c>
      <c r="O506" t="s">
        <v>3</v>
      </c>
      <c r="P506" t="s">
        <v>3</v>
      </c>
      <c r="Q506" t="s">
        <v>8</v>
      </c>
      <c r="R506" t="s">
        <v>373</v>
      </c>
      <c r="S506" t="s">
        <v>8</v>
      </c>
      <c r="T506" t="s">
        <v>84</v>
      </c>
      <c r="U506" t="s">
        <v>3</v>
      </c>
      <c r="V506" t="s">
        <v>3</v>
      </c>
      <c r="W506" t="s">
        <v>502</v>
      </c>
      <c r="Z506" t="s">
        <v>1552</v>
      </c>
      <c r="AA506" t="s">
        <v>8</v>
      </c>
      <c r="AB506" t="s">
        <v>8</v>
      </c>
      <c r="AC506" t="s">
        <v>3</v>
      </c>
      <c r="AD506" t="s">
        <v>8</v>
      </c>
      <c r="AE506" t="s">
        <v>67</v>
      </c>
      <c r="AF506" t="s">
        <v>4078</v>
      </c>
    </row>
    <row r="507" spans="1:32" x14ac:dyDescent="0.45">
      <c r="A507" t="s">
        <v>61</v>
      </c>
      <c r="B507" t="s">
        <v>13</v>
      </c>
      <c r="C507" t="s">
        <v>4079</v>
      </c>
      <c r="D507" t="s">
        <v>13</v>
      </c>
      <c r="E507" t="s">
        <v>3408</v>
      </c>
      <c r="F507" t="s">
        <v>4080</v>
      </c>
      <c r="H507" t="s">
        <v>4081</v>
      </c>
      <c r="I507" t="s">
        <v>4082</v>
      </c>
      <c r="J507" t="s">
        <v>8</v>
      </c>
      <c r="K507" t="s">
        <v>3</v>
      </c>
      <c r="L507" t="s">
        <v>3</v>
      </c>
      <c r="M507" t="s">
        <v>373</v>
      </c>
      <c r="N507" t="s">
        <v>3</v>
      </c>
      <c r="O507" t="s">
        <v>3</v>
      </c>
      <c r="P507" t="s">
        <v>3</v>
      </c>
      <c r="Q507" t="s">
        <v>8</v>
      </c>
      <c r="R507" t="s">
        <v>373</v>
      </c>
      <c r="S507" t="s">
        <v>8</v>
      </c>
      <c r="T507" t="s">
        <v>61</v>
      </c>
      <c r="U507" t="s">
        <v>3</v>
      </c>
      <c r="V507" t="s">
        <v>3</v>
      </c>
      <c r="W507" t="s">
        <v>3</v>
      </c>
      <c r="AA507" t="s">
        <v>8</v>
      </c>
      <c r="AB507" t="s">
        <v>8</v>
      </c>
      <c r="AC507" t="s">
        <v>3</v>
      </c>
      <c r="AD507" t="s">
        <v>8</v>
      </c>
      <c r="AE507" t="s">
        <v>62</v>
      </c>
      <c r="AF507" t="s">
        <v>4083</v>
      </c>
    </row>
    <row r="508" spans="1:32" x14ac:dyDescent="0.45">
      <c r="A508" t="s">
        <v>4084</v>
      </c>
      <c r="B508" t="s">
        <v>4085</v>
      </c>
      <c r="C508" t="s">
        <v>4086</v>
      </c>
      <c r="D508" t="s">
        <v>4085</v>
      </c>
      <c r="E508" t="s">
        <v>4087</v>
      </c>
      <c r="F508" t="s">
        <v>4088</v>
      </c>
      <c r="H508" t="s">
        <v>4089</v>
      </c>
      <c r="J508" t="s">
        <v>8</v>
      </c>
      <c r="K508" t="s">
        <v>3</v>
      </c>
      <c r="L508" t="s">
        <v>3</v>
      </c>
      <c r="M508" t="s">
        <v>373</v>
      </c>
      <c r="N508" t="s">
        <v>3</v>
      </c>
      <c r="O508" t="s">
        <v>3</v>
      </c>
      <c r="P508" t="s">
        <v>3</v>
      </c>
      <c r="Q508" t="s">
        <v>8</v>
      </c>
      <c r="R508" t="s">
        <v>373</v>
      </c>
      <c r="S508" t="s">
        <v>8</v>
      </c>
      <c r="T508" t="s">
        <v>4084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67</v>
      </c>
      <c r="AF508" t="s">
        <v>4090</v>
      </c>
    </row>
    <row r="509" spans="1:32" x14ac:dyDescent="0.45">
      <c r="A509" t="s">
        <v>4091</v>
      </c>
      <c r="B509" t="s">
        <v>4092</v>
      </c>
      <c r="C509" t="s">
        <v>4093</v>
      </c>
      <c r="D509" t="s">
        <v>4092</v>
      </c>
      <c r="E509" t="s">
        <v>4094</v>
      </c>
      <c r="F509" t="s">
        <v>4095</v>
      </c>
      <c r="H509" t="s">
        <v>4096</v>
      </c>
      <c r="J509" t="s">
        <v>8</v>
      </c>
      <c r="K509" t="s">
        <v>3</v>
      </c>
      <c r="L509" t="s">
        <v>3</v>
      </c>
      <c r="M509" t="s">
        <v>373</v>
      </c>
      <c r="N509" t="s">
        <v>3</v>
      </c>
      <c r="O509" t="s">
        <v>3</v>
      </c>
      <c r="P509" t="s">
        <v>3</v>
      </c>
      <c r="Q509" t="s">
        <v>8</v>
      </c>
      <c r="R509" t="s">
        <v>373</v>
      </c>
      <c r="S509" t="s">
        <v>8</v>
      </c>
      <c r="T509" t="s">
        <v>4091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97</v>
      </c>
      <c r="AF509" t="s">
        <v>4097</v>
      </c>
    </row>
    <row r="510" spans="1:32" x14ac:dyDescent="0.45">
      <c r="A510" t="s">
        <v>112</v>
      </c>
      <c r="B510" t="s">
        <v>4098</v>
      </c>
      <c r="C510" t="s">
        <v>4099</v>
      </c>
      <c r="D510" t="s">
        <v>31</v>
      </c>
      <c r="E510" t="s">
        <v>2439</v>
      </c>
      <c r="F510" t="s">
        <v>4100</v>
      </c>
      <c r="H510" t="s">
        <v>4101</v>
      </c>
      <c r="I510" t="s">
        <v>4101</v>
      </c>
      <c r="J510" t="s">
        <v>8</v>
      </c>
      <c r="K510" t="s">
        <v>3</v>
      </c>
      <c r="L510" t="s">
        <v>3</v>
      </c>
      <c r="M510" t="s">
        <v>373</v>
      </c>
      <c r="N510" t="s">
        <v>3</v>
      </c>
      <c r="O510" t="s">
        <v>3</v>
      </c>
      <c r="P510" t="s">
        <v>3</v>
      </c>
      <c r="Q510" t="s">
        <v>8</v>
      </c>
      <c r="R510" t="s">
        <v>373</v>
      </c>
      <c r="S510" t="s">
        <v>8</v>
      </c>
      <c r="T510" t="s">
        <v>112</v>
      </c>
      <c r="U510" t="s">
        <v>3</v>
      </c>
      <c r="V510" t="s">
        <v>3</v>
      </c>
      <c r="W510" t="s">
        <v>948</v>
      </c>
      <c r="AA510" t="s">
        <v>8</v>
      </c>
      <c r="AB510" t="s">
        <v>8</v>
      </c>
      <c r="AC510" t="s">
        <v>3</v>
      </c>
      <c r="AD510" t="s">
        <v>8</v>
      </c>
      <c r="AE510" t="s">
        <v>67</v>
      </c>
      <c r="AF510" t="s">
        <v>4102</v>
      </c>
    </row>
    <row r="511" spans="1:32" x14ac:dyDescent="0.45">
      <c r="A511" t="s">
        <v>4103</v>
      </c>
      <c r="B511" t="s">
        <v>4104</v>
      </c>
      <c r="C511" t="s">
        <v>4105</v>
      </c>
      <c r="D511" t="s">
        <v>4104</v>
      </c>
      <c r="E511" t="s">
        <v>4106</v>
      </c>
      <c r="F511" t="s">
        <v>4107</v>
      </c>
      <c r="G511" t="s">
        <v>4108</v>
      </c>
      <c r="H511" t="s">
        <v>4109</v>
      </c>
      <c r="I511" t="s">
        <v>4110</v>
      </c>
      <c r="J511" t="s">
        <v>8</v>
      </c>
      <c r="K511" t="s">
        <v>3</v>
      </c>
      <c r="L511" t="s">
        <v>3</v>
      </c>
      <c r="M511" t="s">
        <v>373</v>
      </c>
      <c r="N511" t="s">
        <v>3</v>
      </c>
      <c r="O511" t="s">
        <v>3</v>
      </c>
      <c r="P511" t="s">
        <v>3</v>
      </c>
      <c r="Q511" t="s">
        <v>8</v>
      </c>
      <c r="R511" t="s">
        <v>373</v>
      </c>
      <c r="S511" t="s">
        <v>8</v>
      </c>
      <c r="T511" t="s">
        <v>4103</v>
      </c>
      <c r="U511" t="s">
        <v>3</v>
      </c>
      <c r="V511" t="s">
        <v>3</v>
      </c>
      <c r="W511" t="s">
        <v>2374</v>
      </c>
      <c r="AA511" t="s">
        <v>8</v>
      </c>
      <c r="AB511" t="s">
        <v>8</v>
      </c>
      <c r="AC511" t="s">
        <v>3</v>
      </c>
      <c r="AD511" t="s">
        <v>8</v>
      </c>
      <c r="AE511" t="s">
        <v>67</v>
      </c>
      <c r="AF511" t="s">
        <v>4111</v>
      </c>
    </row>
    <row r="512" spans="1:32" x14ac:dyDescent="0.45">
      <c r="A512" t="s">
        <v>4112</v>
      </c>
      <c r="B512" t="s">
        <v>4113</v>
      </c>
      <c r="C512" t="s">
        <v>4114</v>
      </c>
      <c r="D512" t="s">
        <v>4113</v>
      </c>
      <c r="E512" t="s">
        <v>4106</v>
      </c>
      <c r="F512" t="s">
        <v>4107</v>
      </c>
      <c r="G512" t="s">
        <v>4108</v>
      </c>
      <c r="H512" t="s">
        <v>4109</v>
      </c>
      <c r="I512" t="s">
        <v>4110</v>
      </c>
      <c r="J512" t="s">
        <v>8</v>
      </c>
      <c r="K512" t="s">
        <v>3</v>
      </c>
      <c r="L512" t="s">
        <v>3</v>
      </c>
      <c r="M512" t="s">
        <v>373</v>
      </c>
      <c r="N512" t="s">
        <v>3</v>
      </c>
      <c r="O512" t="s">
        <v>3</v>
      </c>
      <c r="P512" t="s">
        <v>3</v>
      </c>
      <c r="Q512" t="s">
        <v>8</v>
      </c>
      <c r="R512" t="s">
        <v>373</v>
      </c>
      <c r="S512" t="s">
        <v>8</v>
      </c>
      <c r="T512" t="s">
        <v>4112</v>
      </c>
      <c r="U512" t="s">
        <v>3</v>
      </c>
      <c r="V512" t="s">
        <v>3</v>
      </c>
      <c r="W512" t="s">
        <v>2374</v>
      </c>
      <c r="AA512" t="s">
        <v>8</v>
      </c>
      <c r="AB512" t="s">
        <v>8</v>
      </c>
      <c r="AC512" t="s">
        <v>3</v>
      </c>
      <c r="AD512" t="s">
        <v>8</v>
      </c>
      <c r="AE512" t="s">
        <v>67</v>
      </c>
      <c r="AF512" t="s">
        <v>4115</v>
      </c>
    </row>
    <row r="513" spans="1:32" x14ac:dyDescent="0.45">
      <c r="A513" t="s">
        <v>115</v>
      </c>
      <c r="B513" t="s">
        <v>4116</v>
      </c>
      <c r="C513" t="s">
        <v>4117</v>
      </c>
      <c r="D513" t="s">
        <v>33</v>
      </c>
      <c r="E513" t="s">
        <v>3111</v>
      </c>
      <c r="F513" t="s">
        <v>4118</v>
      </c>
      <c r="G513" t="s">
        <v>4119</v>
      </c>
      <c r="H513" t="s">
        <v>4120</v>
      </c>
      <c r="I513" t="s">
        <v>4121</v>
      </c>
      <c r="J513" t="s">
        <v>8</v>
      </c>
      <c r="K513" t="s">
        <v>3</v>
      </c>
      <c r="L513" t="s">
        <v>3</v>
      </c>
      <c r="M513" t="s">
        <v>373</v>
      </c>
      <c r="N513" t="s">
        <v>3</v>
      </c>
      <c r="O513" t="s">
        <v>3</v>
      </c>
      <c r="P513" t="s">
        <v>3</v>
      </c>
      <c r="Q513" t="s">
        <v>8</v>
      </c>
      <c r="R513" t="s">
        <v>373</v>
      </c>
      <c r="S513" t="s">
        <v>8</v>
      </c>
      <c r="T513" t="s">
        <v>115</v>
      </c>
      <c r="U513" t="s">
        <v>3</v>
      </c>
      <c r="V513" t="s">
        <v>3</v>
      </c>
      <c r="W513" t="s">
        <v>954</v>
      </c>
      <c r="AA513" t="s">
        <v>8</v>
      </c>
      <c r="AB513" t="s">
        <v>3</v>
      </c>
      <c r="AC513" t="s">
        <v>3</v>
      </c>
      <c r="AD513" t="s">
        <v>8</v>
      </c>
      <c r="AE513" t="s">
        <v>67</v>
      </c>
      <c r="AF513" t="s">
        <v>4122</v>
      </c>
    </row>
    <row r="514" spans="1:32" x14ac:dyDescent="0.45">
      <c r="A514" t="s">
        <v>4123</v>
      </c>
      <c r="B514" t="s">
        <v>4124</v>
      </c>
      <c r="C514" t="s">
        <v>4125</v>
      </c>
      <c r="D514" t="s">
        <v>4126</v>
      </c>
      <c r="E514" t="s">
        <v>4127</v>
      </c>
      <c r="F514" t="s">
        <v>4128</v>
      </c>
      <c r="H514" t="s">
        <v>4129</v>
      </c>
      <c r="J514" t="s">
        <v>8</v>
      </c>
      <c r="K514" t="s">
        <v>3</v>
      </c>
      <c r="L514" t="s">
        <v>3</v>
      </c>
      <c r="M514" t="s">
        <v>373</v>
      </c>
      <c r="N514" t="s">
        <v>3</v>
      </c>
      <c r="O514" t="s">
        <v>3</v>
      </c>
      <c r="P514" t="s">
        <v>3</v>
      </c>
      <c r="Q514" t="s">
        <v>8</v>
      </c>
      <c r="R514" t="s">
        <v>373</v>
      </c>
      <c r="S514" t="s">
        <v>8</v>
      </c>
      <c r="T514" t="s">
        <v>4123</v>
      </c>
      <c r="U514" t="s">
        <v>3</v>
      </c>
      <c r="V514" t="s">
        <v>3</v>
      </c>
      <c r="W514" t="s">
        <v>1030</v>
      </c>
      <c r="AA514" t="s">
        <v>8</v>
      </c>
      <c r="AB514" t="s">
        <v>8</v>
      </c>
      <c r="AC514" t="s">
        <v>3</v>
      </c>
      <c r="AD514" t="s">
        <v>8</v>
      </c>
      <c r="AE514" t="s">
        <v>67</v>
      </c>
      <c r="AF514" t="s">
        <v>4130</v>
      </c>
    </row>
    <row r="515" spans="1:32" x14ac:dyDescent="0.45">
      <c r="A515" t="s">
        <v>4131</v>
      </c>
      <c r="B515" t="s">
        <v>4132</v>
      </c>
      <c r="C515" t="s">
        <v>4133</v>
      </c>
      <c r="D515" t="s">
        <v>4134</v>
      </c>
      <c r="E515" t="s">
        <v>2217</v>
      </c>
      <c r="F515" t="s">
        <v>4135</v>
      </c>
      <c r="H515" t="s">
        <v>4136</v>
      </c>
      <c r="J515" t="s">
        <v>8</v>
      </c>
      <c r="K515" t="s">
        <v>3</v>
      </c>
      <c r="L515" t="s">
        <v>3</v>
      </c>
      <c r="M515" t="s">
        <v>373</v>
      </c>
      <c r="N515" t="s">
        <v>3</v>
      </c>
      <c r="O515" t="s">
        <v>3</v>
      </c>
      <c r="P515" t="s">
        <v>3</v>
      </c>
      <c r="Q515" t="s">
        <v>8</v>
      </c>
      <c r="R515" t="s">
        <v>373</v>
      </c>
      <c r="S515" t="s">
        <v>8</v>
      </c>
      <c r="T515" t="s">
        <v>4131</v>
      </c>
      <c r="U515" t="s">
        <v>3</v>
      </c>
      <c r="V515" t="s">
        <v>3</v>
      </c>
      <c r="W515" t="s">
        <v>1030</v>
      </c>
      <c r="AA515" t="s">
        <v>8</v>
      </c>
      <c r="AB515" t="s">
        <v>8</v>
      </c>
      <c r="AC515" t="s">
        <v>3</v>
      </c>
      <c r="AD515" t="s">
        <v>8</v>
      </c>
      <c r="AE515" t="s">
        <v>67</v>
      </c>
      <c r="AF515" t="s">
        <v>4137</v>
      </c>
    </row>
    <row r="516" spans="1:32" x14ac:dyDescent="0.45">
      <c r="A516" t="s">
        <v>4138</v>
      </c>
      <c r="B516" t="s">
        <v>4139</v>
      </c>
      <c r="C516" t="s">
        <v>4140</v>
      </c>
      <c r="D516" t="s">
        <v>4141</v>
      </c>
      <c r="J516" t="s">
        <v>8</v>
      </c>
      <c r="K516" t="s">
        <v>3</v>
      </c>
      <c r="L516" t="s">
        <v>3</v>
      </c>
      <c r="M516" t="s">
        <v>373</v>
      </c>
      <c r="N516" t="s">
        <v>3</v>
      </c>
      <c r="O516" t="s">
        <v>3</v>
      </c>
      <c r="P516" t="s">
        <v>3</v>
      </c>
      <c r="Q516" t="s">
        <v>8</v>
      </c>
      <c r="R516" t="s">
        <v>373</v>
      </c>
      <c r="S516" t="s">
        <v>8</v>
      </c>
      <c r="T516" t="s">
        <v>4138</v>
      </c>
      <c r="U516" t="s">
        <v>3</v>
      </c>
      <c r="V516" t="s">
        <v>3</v>
      </c>
      <c r="W516" t="s">
        <v>3</v>
      </c>
      <c r="AA516" t="s">
        <v>8</v>
      </c>
      <c r="AB516" t="s">
        <v>3</v>
      </c>
      <c r="AC516" t="s">
        <v>3</v>
      </c>
      <c r="AD516" t="s">
        <v>8</v>
      </c>
      <c r="AE516" t="s">
        <v>97</v>
      </c>
      <c r="AF516" t="s">
        <v>4142</v>
      </c>
    </row>
    <row r="517" spans="1:32" x14ac:dyDescent="0.45">
      <c r="A517" t="s">
        <v>4143</v>
      </c>
      <c r="B517" t="s">
        <v>4144</v>
      </c>
      <c r="C517" t="s">
        <v>4145</v>
      </c>
      <c r="D517" t="s">
        <v>4144</v>
      </c>
      <c r="E517" t="s">
        <v>4146</v>
      </c>
      <c r="F517" t="s">
        <v>4147</v>
      </c>
      <c r="H517" t="s">
        <v>4148</v>
      </c>
      <c r="J517" t="s">
        <v>8</v>
      </c>
      <c r="K517" t="s">
        <v>3</v>
      </c>
      <c r="L517" t="s">
        <v>3</v>
      </c>
      <c r="M517" t="s">
        <v>373</v>
      </c>
      <c r="N517" t="s">
        <v>3</v>
      </c>
      <c r="O517" t="s">
        <v>3</v>
      </c>
      <c r="P517" t="s">
        <v>3</v>
      </c>
      <c r="Q517" t="s">
        <v>8</v>
      </c>
      <c r="R517" t="s">
        <v>373</v>
      </c>
      <c r="S517" t="s">
        <v>8</v>
      </c>
      <c r="T517" t="s">
        <v>4143</v>
      </c>
      <c r="U517" t="s">
        <v>3</v>
      </c>
      <c r="V517" t="s">
        <v>3</v>
      </c>
      <c r="W517" t="s">
        <v>1030</v>
      </c>
      <c r="AA517" t="s">
        <v>8</v>
      </c>
      <c r="AB517" t="s">
        <v>8</v>
      </c>
      <c r="AC517" t="s">
        <v>3</v>
      </c>
      <c r="AD517" t="s">
        <v>8</v>
      </c>
      <c r="AE517" t="s">
        <v>67</v>
      </c>
      <c r="AF517" t="s">
        <v>4149</v>
      </c>
    </row>
    <row r="518" spans="1:32" x14ac:dyDescent="0.45">
      <c r="A518" t="s">
        <v>4150</v>
      </c>
      <c r="B518" t="s">
        <v>4144</v>
      </c>
      <c r="C518" t="s">
        <v>4145</v>
      </c>
      <c r="D518" t="s">
        <v>4144</v>
      </c>
      <c r="E518" t="s">
        <v>4146</v>
      </c>
      <c r="H518" t="s">
        <v>4148</v>
      </c>
      <c r="J518" t="s">
        <v>8</v>
      </c>
      <c r="K518" t="s">
        <v>3</v>
      </c>
      <c r="L518" t="s">
        <v>3</v>
      </c>
      <c r="M518" t="s">
        <v>373</v>
      </c>
      <c r="N518" t="s">
        <v>3</v>
      </c>
      <c r="O518" t="s">
        <v>3</v>
      </c>
      <c r="P518" t="s">
        <v>3</v>
      </c>
      <c r="Q518" t="s">
        <v>8</v>
      </c>
      <c r="R518" t="s">
        <v>373</v>
      </c>
      <c r="S518" t="s">
        <v>8</v>
      </c>
      <c r="T518" t="s">
        <v>4150</v>
      </c>
      <c r="U518" t="s">
        <v>3</v>
      </c>
      <c r="V518" t="s">
        <v>3</v>
      </c>
      <c r="W518" t="s">
        <v>494</v>
      </c>
      <c r="AA518" t="s">
        <v>8</v>
      </c>
      <c r="AB518" t="s">
        <v>8</v>
      </c>
      <c r="AC518" t="s">
        <v>3</v>
      </c>
      <c r="AD518" t="s">
        <v>8</v>
      </c>
      <c r="AE518" t="s">
        <v>97</v>
      </c>
      <c r="AF518" t="s">
        <v>4151</v>
      </c>
    </row>
    <row r="519" spans="1:32" x14ac:dyDescent="0.45">
      <c r="A519" t="s">
        <v>4152</v>
      </c>
      <c r="B519" t="s">
        <v>4153</v>
      </c>
      <c r="C519" t="s">
        <v>4154</v>
      </c>
      <c r="D519" t="s">
        <v>4153</v>
      </c>
      <c r="E519" t="s">
        <v>4155</v>
      </c>
      <c r="F519" t="s">
        <v>4156</v>
      </c>
      <c r="H519" t="s">
        <v>4157</v>
      </c>
      <c r="I519" t="s">
        <v>4158</v>
      </c>
      <c r="J519" t="s">
        <v>8</v>
      </c>
      <c r="K519" t="s">
        <v>3</v>
      </c>
      <c r="L519" t="s">
        <v>3</v>
      </c>
      <c r="M519" t="s">
        <v>373</v>
      </c>
      <c r="N519" t="s">
        <v>3</v>
      </c>
      <c r="O519" t="s">
        <v>3</v>
      </c>
      <c r="P519" t="s">
        <v>3</v>
      </c>
      <c r="Q519" t="s">
        <v>8</v>
      </c>
      <c r="R519" t="s">
        <v>373</v>
      </c>
      <c r="S519" t="s">
        <v>8</v>
      </c>
      <c r="T519" t="s">
        <v>4152</v>
      </c>
      <c r="U519" t="s">
        <v>3</v>
      </c>
      <c r="V519" t="s">
        <v>3</v>
      </c>
      <c r="W519" t="s">
        <v>3</v>
      </c>
      <c r="AA519" t="s">
        <v>8</v>
      </c>
      <c r="AB519" t="s">
        <v>8</v>
      </c>
      <c r="AC519" t="s">
        <v>3</v>
      </c>
      <c r="AD519" t="s">
        <v>8</v>
      </c>
      <c r="AE519" t="s">
        <v>67</v>
      </c>
      <c r="AF519" t="s">
        <v>4159</v>
      </c>
    </row>
    <row r="520" spans="1:32" x14ac:dyDescent="0.45">
      <c r="A520" t="s">
        <v>63</v>
      </c>
      <c r="B520" t="s">
        <v>14</v>
      </c>
      <c r="C520" t="s">
        <v>4160</v>
      </c>
      <c r="D520" t="s">
        <v>14</v>
      </c>
      <c r="E520" t="s">
        <v>4161</v>
      </c>
      <c r="F520" t="s">
        <v>4162</v>
      </c>
      <c r="H520" t="s">
        <v>4163</v>
      </c>
      <c r="I520" t="s">
        <v>4164</v>
      </c>
      <c r="J520" t="s">
        <v>8</v>
      </c>
      <c r="K520" t="s">
        <v>3</v>
      </c>
      <c r="L520" t="s">
        <v>3</v>
      </c>
      <c r="M520" t="s">
        <v>373</v>
      </c>
      <c r="N520" t="s">
        <v>3</v>
      </c>
      <c r="O520" t="s">
        <v>3</v>
      </c>
      <c r="P520" t="s">
        <v>3</v>
      </c>
      <c r="Q520" t="s">
        <v>8</v>
      </c>
      <c r="R520" t="s">
        <v>373</v>
      </c>
      <c r="S520" t="s">
        <v>8</v>
      </c>
      <c r="T520" t="s">
        <v>63</v>
      </c>
      <c r="U520" t="s">
        <v>3</v>
      </c>
      <c r="V520" t="s">
        <v>3</v>
      </c>
      <c r="W520" t="s">
        <v>1339</v>
      </c>
      <c r="AA520" t="s">
        <v>8</v>
      </c>
      <c r="AB520" t="s">
        <v>8</v>
      </c>
      <c r="AC520" t="s">
        <v>3</v>
      </c>
      <c r="AD520" t="s">
        <v>8</v>
      </c>
      <c r="AE520" t="s">
        <v>67</v>
      </c>
      <c r="AF520" t="s">
        <v>4165</v>
      </c>
    </row>
    <row r="521" spans="1:32" x14ac:dyDescent="0.45">
      <c r="A521" t="s">
        <v>4166</v>
      </c>
      <c r="B521" t="s">
        <v>4167</v>
      </c>
      <c r="C521" t="s">
        <v>4168</v>
      </c>
      <c r="D521" t="s">
        <v>4169</v>
      </c>
      <c r="E521" t="s">
        <v>4161</v>
      </c>
      <c r="F521" t="s">
        <v>4170</v>
      </c>
      <c r="H521" t="s">
        <v>4171</v>
      </c>
      <c r="J521" t="s">
        <v>8</v>
      </c>
      <c r="K521" t="s">
        <v>3</v>
      </c>
      <c r="L521" t="s">
        <v>3</v>
      </c>
      <c r="M521" t="s">
        <v>373</v>
      </c>
      <c r="N521" t="s">
        <v>3</v>
      </c>
      <c r="O521" t="s">
        <v>3</v>
      </c>
      <c r="P521" t="s">
        <v>3</v>
      </c>
      <c r="Q521" t="s">
        <v>8</v>
      </c>
      <c r="R521" t="s">
        <v>373</v>
      </c>
      <c r="S521" t="s">
        <v>8</v>
      </c>
      <c r="T521" t="s">
        <v>4166</v>
      </c>
      <c r="U521" t="s">
        <v>3</v>
      </c>
      <c r="V521" t="s">
        <v>3</v>
      </c>
      <c r="W521" t="s">
        <v>239</v>
      </c>
      <c r="AA521" t="s">
        <v>8</v>
      </c>
      <c r="AB521" t="s">
        <v>8</v>
      </c>
      <c r="AC521" t="s">
        <v>3</v>
      </c>
      <c r="AD521" t="s">
        <v>8</v>
      </c>
      <c r="AE521" t="s">
        <v>67</v>
      </c>
      <c r="AF521" t="s">
        <v>4172</v>
      </c>
    </row>
    <row r="522" spans="1:32" x14ac:dyDescent="0.45">
      <c r="A522" t="s">
        <v>104</v>
      </c>
      <c r="B522" t="s">
        <v>4173</v>
      </c>
      <c r="C522" t="s">
        <v>4174</v>
      </c>
      <c r="D522" t="s">
        <v>28</v>
      </c>
      <c r="E522" t="s">
        <v>4175</v>
      </c>
      <c r="F522" t="s">
        <v>4176</v>
      </c>
      <c r="H522" t="s">
        <v>4177</v>
      </c>
      <c r="J522" t="s">
        <v>8</v>
      </c>
      <c r="K522" t="s">
        <v>3</v>
      </c>
      <c r="L522" t="s">
        <v>3</v>
      </c>
      <c r="M522" t="s">
        <v>373</v>
      </c>
      <c r="N522" t="s">
        <v>3</v>
      </c>
      <c r="O522" t="s">
        <v>3</v>
      </c>
      <c r="P522" t="s">
        <v>3</v>
      </c>
      <c r="Q522" t="s">
        <v>8</v>
      </c>
      <c r="R522" t="s">
        <v>373</v>
      </c>
      <c r="S522" t="s">
        <v>8</v>
      </c>
      <c r="T522" t="s">
        <v>104</v>
      </c>
      <c r="U522" t="s">
        <v>3</v>
      </c>
      <c r="V522" t="s">
        <v>3</v>
      </c>
      <c r="W522" t="s">
        <v>3553</v>
      </c>
      <c r="AA522" t="s">
        <v>8</v>
      </c>
      <c r="AB522" t="s">
        <v>8</v>
      </c>
      <c r="AC522" t="s">
        <v>3</v>
      </c>
      <c r="AD522" t="s">
        <v>8</v>
      </c>
      <c r="AE522" t="s">
        <v>67</v>
      </c>
      <c r="AF522" t="s">
        <v>4178</v>
      </c>
    </row>
    <row r="523" spans="1:32" x14ac:dyDescent="0.45">
      <c r="A523" t="s">
        <v>4179</v>
      </c>
      <c r="B523" t="s">
        <v>4180</v>
      </c>
      <c r="C523" t="s">
        <v>4181</v>
      </c>
      <c r="D523" t="s">
        <v>4182</v>
      </c>
      <c r="E523" t="s">
        <v>4175</v>
      </c>
      <c r="F523" t="s">
        <v>4176</v>
      </c>
      <c r="H523" t="s">
        <v>4177</v>
      </c>
      <c r="J523" t="s">
        <v>8</v>
      </c>
      <c r="K523" t="s">
        <v>3</v>
      </c>
      <c r="L523" t="s">
        <v>3</v>
      </c>
      <c r="M523" t="s">
        <v>373</v>
      </c>
      <c r="N523" t="s">
        <v>3</v>
      </c>
      <c r="O523" t="s">
        <v>3</v>
      </c>
      <c r="P523" t="s">
        <v>3</v>
      </c>
      <c r="Q523" t="s">
        <v>8</v>
      </c>
      <c r="R523" t="s">
        <v>373</v>
      </c>
      <c r="S523" t="s">
        <v>8</v>
      </c>
      <c r="T523" t="s">
        <v>4179</v>
      </c>
      <c r="U523" t="s">
        <v>3</v>
      </c>
      <c r="V523" t="s">
        <v>3</v>
      </c>
      <c r="W523" t="s">
        <v>3553</v>
      </c>
      <c r="AA523" t="s">
        <v>8</v>
      </c>
      <c r="AB523" t="s">
        <v>8</v>
      </c>
      <c r="AC523" t="s">
        <v>3</v>
      </c>
      <c r="AD523" t="s">
        <v>8</v>
      </c>
      <c r="AE523" t="s">
        <v>67</v>
      </c>
      <c r="AF523" t="s">
        <v>4183</v>
      </c>
    </row>
    <row r="524" spans="1:32" x14ac:dyDescent="0.45">
      <c r="A524" t="s">
        <v>106</v>
      </c>
      <c r="B524" t="s">
        <v>4184</v>
      </c>
      <c r="C524" t="s">
        <v>4185</v>
      </c>
      <c r="D524" t="s">
        <v>29</v>
      </c>
      <c r="F524" t="s">
        <v>4186</v>
      </c>
      <c r="H524" t="s">
        <v>4187</v>
      </c>
      <c r="J524" t="s">
        <v>8</v>
      </c>
      <c r="K524" t="s">
        <v>3</v>
      </c>
      <c r="L524" t="s">
        <v>3</v>
      </c>
      <c r="M524" t="s">
        <v>373</v>
      </c>
      <c r="N524" t="s">
        <v>3</v>
      </c>
      <c r="O524" t="s">
        <v>3</v>
      </c>
      <c r="P524" t="s">
        <v>3</v>
      </c>
      <c r="Q524" t="s">
        <v>8</v>
      </c>
      <c r="R524" t="s">
        <v>373</v>
      </c>
      <c r="S524" t="s">
        <v>8</v>
      </c>
      <c r="T524" t="s">
        <v>106</v>
      </c>
      <c r="U524" t="s">
        <v>3</v>
      </c>
      <c r="V524" t="s">
        <v>3</v>
      </c>
      <c r="W524" t="s">
        <v>1912</v>
      </c>
      <c r="Z524" t="s">
        <v>4188</v>
      </c>
      <c r="AA524" t="s">
        <v>8</v>
      </c>
      <c r="AB524" t="s">
        <v>3</v>
      </c>
      <c r="AC524" t="s">
        <v>3</v>
      </c>
      <c r="AD524" t="s">
        <v>8</v>
      </c>
      <c r="AE524" t="s">
        <v>67</v>
      </c>
      <c r="AF524" t="s">
        <v>4189</v>
      </c>
    </row>
    <row r="525" spans="1:32" x14ac:dyDescent="0.45">
      <c r="A525" t="s">
        <v>4190</v>
      </c>
      <c r="B525" t="s">
        <v>3787</v>
      </c>
      <c r="C525" t="s">
        <v>3788</v>
      </c>
      <c r="D525" t="s">
        <v>3787</v>
      </c>
      <c r="E525" t="s">
        <v>2263</v>
      </c>
      <c r="F525" t="s">
        <v>3789</v>
      </c>
      <c r="H525" t="s">
        <v>3790</v>
      </c>
      <c r="I525" t="s">
        <v>3791</v>
      </c>
      <c r="J525" t="s">
        <v>8</v>
      </c>
      <c r="K525" t="s">
        <v>3</v>
      </c>
      <c r="L525" t="s">
        <v>3</v>
      </c>
      <c r="M525" t="s">
        <v>373</v>
      </c>
      <c r="N525" t="s">
        <v>3</v>
      </c>
      <c r="O525" t="s">
        <v>3</v>
      </c>
      <c r="P525" t="s">
        <v>3</v>
      </c>
      <c r="Q525" t="s">
        <v>8</v>
      </c>
      <c r="R525" t="s">
        <v>373</v>
      </c>
      <c r="S525" t="s">
        <v>8</v>
      </c>
      <c r="T525" t="s">
        <v>4190</v>
      </c>
      <c r="U525" t="s">
        <v>3</v>
      </c>
      <c r="V525" t="s">
        <v>3</v>
      </c>
      <c r="W525" t="s">
        <v>2252</v>
      </c>
      <c r="AA525" t="s">
        <v>8</v>
      </c>
      <c r="AB525" t="s">
        <v>8</v>
      </c>
      <c r="AC525" t="s">
        <v>3</v>
      </c>
      <c r="AD525" t="s">
        <v>8</v>
      </c>
      <c r="AE525" t="s">
        <v>67</v>
      </c>
      <c r="AF525" t="s">
        <v>4191</v>
      </c>
    </row>
    <row r="526" spans="1:32" x14ac:dyDescent="0.45">
      <c r="A526" t="s">
        <v>4192</v>
      </c>
      <c r="B526" t="s">
        <v>4193</v>
      </c>
      <c r="C526" t="s">
        <v>4194</v>
      </c>
      <c r="D526" t="s">
        <v>4193</v>
      </c>
      <c r="E526" t="s">
        <v>4195</v>
      </c>
      <c r="F526" t="s">
        <v>4196</v>
      </c>
      <c r="H526" t="s">
        <v>4197</v>
      </c>
      <c r="I526" t="s">
        <v>4198</v>
      </c>
      <c r="J526" t="s">
        <v>8</v>
      </c>
      <c r="K526" t="s">
        <v>3</v>
      </c>
      <c r="L526" t="s">
        <v>3</v>
      </c>
      <c r="M526" t="s">
        <v>373</v>
      </c>
      <c r="N526" t="s">
        <v>3</v>
      </c>
      <c r="O526" t="s">
        <v>3</v>
      </c>
      <c r="P526" t="s">
        <v>3</v>
      </c>
      <c r="Q526" t="s">
        <v>8</v>
      </c>
      <c r="R526" t="s">
        <v>373</v>
      </c>
      <c r="S526" t="s">
        <v>8</v>
      </c>
      <c r="T526" t="s">
        <v>4192</v>
      </c>
      <c r="U526" t="s">
        <v>3</v>
      </c>
      <c r="V526" t="s">
        <v>3</v>
      </c>
      <c r="W526" t="s">
        <v>3</v>
      </c>
      <c r="AA526" t="s">
        <v>8</v>
      </c>
      <c r="AB526" t="s">
        <v>8</v>
      </c>
      <c r="AC526" t="s">
        <v>3</v>
      </c>
      <c r="AD526" t="s">
        <v>8</v>
      </c>
      <c r="AE526" t="s">
        <v>67</v>
      </c>
      <c r="AF526" t="s">
        <v>4199</v>
      </c>
    </row>
    <row r="527" spans="1:32" x14ac:dyDescent="0.45">
      <c r="A527" t="s">
        <v>93</v>
      </c>
      <c r="B527" t="s">
        <v>24</v>
      </c>
      <c r="C527" t="s">
        <v>4200</v>
      </c>
      <c r="D527" t="s">
        <v>24</v>
      </c>
      <c r="E527" t="s">
        <v>4201</v>
      </c>
      <c r="F527" t="s">
        <v>4202</v>
      </c>
      <c r="G527" t="s">
        <v>4203</v>
      </c>
      <c r="H527" t="s">
        <v>4204</v>
      </c>
      <c r="J527" t="s">
        <v>8</v>
      </c>
      <c r="K527" t="s">
        <v>3</v>
      </c>
      <c r="L527" t="s">
        <v>3</v>
      </c>
      <c r="M527" t="s">
        <v>373</v>
      </c>
      <c r="N527" t="s">
        <v>3</v>
      </c>
      <c r="O527" t="s">
        <v>3</v>
      </c>
      <c r="P527" t="s">
        <v>3</v>
      </c>
      <c r="Q527" t="s">
        <v>8</v>
      </c>
      <c r="R527" t="s">
        <v>373</v>
      </c>
      <c r="S527" t="s">
        <v>8</v>
      </c>
      <c r="T527" t="s">
        <v>93</v>
      </c>
      <c r="U527" t="s">
        <v>3</v>
      </c>
      <c r="V527" t="s">
        <v>3</v>
      </c>
      <c r="W527" t="s">
        <v>642</v>
      </c>
      <c r="AA527" t="s">
        <v>8</v>
      </c>
      <c r="AB527" t="s">
        <v>8</v>
      </c>
      <c r="AC527" t="s">
        <v>3</v>
      </c>
      <c r="AD527" t="s">
        <v>8</v>
      </c>
      <c r="AE527" t="s">
        <v>67</v>
      </c>
      <c r="AF527" t="s">
        <v>4205</v>
      </c>
    </row>
    <row r="528" spans="1:32" x14ac:dyDescent="0.45">
      <c r="A528" t="s">
        <v>4206</v>
      </c>
      <c r="B528" t="s">
        <v>4207</v>
      </c>
      <c r="C528" t="s">
        <v>4208</v>
      </c>
      <c r="D528" t="s">
        <v>4207</v>
      </c>
      <c r="E528" t="s">
        <v>4209</v>
      </c>
      <c r="F528" t="s">
        <v>4210</v>
      </c>
      <c r="H528" t="s">
        <v>4211</v>
      </c>
      <c r="I528" t="s">
        <v>4212</v>
      </c>
      <c r="J528" t="s">
        <v>8</v>
      </c>
      <c r="K528" t="s">
        <v>3</v>
      </c>
      <c r="L528" t="s">
        <v>3</v>
      </c>
      <c r="M528" t="s">
        <v>373</v>
      </c>
      <c r="N528" t="s">
        <v>3</v>
      </c>
      <c r="O528" t="s">
        <v>3</v>
      </c>
      <c r="P528" t="s">
        <v>3</v>
      </c>
      <c r="Q528" t="s">
        <v>8</v>
      </c>
      <c r="R528" t="s">
        <v>373</v>
      </c>
      <c r="S528" t="s">
        <v>8</v>
      </c>
      <c r="T528" t="s">
        <v>4206</v>
      </c>
      <c r="U528" t="s">
        <v>3</v>
      </c>
      <c r="V528" t="s">
        <v>3</v>
      </c>
      <c r="W528" t="s">
        <v>2220</v>
      </c>
      <c r="AA528" t="s">
        <v>8</v>
      </c>
      <c r="AB528" t="s">
        <v>8</v>
      </c>
      <c r="AC528" t="s">
        <v>3</v>
      </c>
      <c r="AD528" t="s">
        <v>8</v>
      </c>
      <c r="AE528" t="s">
        <v>97</v>
      </c>
      <c r="AF528" t="s">
        <v>4213</v>
      </c>
    </row>
    <row r="529" spans="1:32" x14ac:dyDescent="0.45">
      <c r="A529" t="s">
        <v>121</v>
      </c>
      <c r="B529" t="s">
        <v>35</v>
      </c>
      <c r="C529" t="s">
        <v>4214</v>
      </c>
      <c r="D529" t="s">
        <v>35</v>
      </c>
      <c r="E529" t="s">
        <v>1437</v>
      </c>
      <c r="F529" t="s">
        <v>4215</v>
      </c>
      <c r="H529" t="s">
        <v>4216</v>
      </c>
      <c r="J529" t="s">
        <v>8</v>
      </c>
      <c r="K529" t="s">
        <v>3</v>
      </c>
      <c r="L529" t="s">
        <v>3</v>
      </c>
      <c r="M529" t="s">
        <v>373</v>
      </c>
      <c r="N529" t="s">
        <v>3</v>
      </c>
      <c r="O529" t="s">
        <v>3</v>
      </c>
      <c r="P529" t="s">
        <v>3</v>
      </c>
      <c r="Q529" t="s">
        <v>8</v>
      </c>
      <c r="R529" t="s">
        <v>373</v>
      </c>
      <c r="S529" t="s">
        <v>8</v>
      </c>
      <c r="T529" t="s">
        <v>121</v>
      </c>
      <c r="U529" t="s">
        <v>3</v>
      </c>
      <c r="V529" t="s">
        <v>3</v>
      </c>
      <c r="W529" t="s">
        <v>121</v>
      </c>
      <c r="AA529" t="s">
        <v>8</v>
      </c>
      <c r="AB529" t="s">
        <v>8</v>
      </c>
      <c r="AC529" t="s">
        <v>3</v>
      </c>
      <c r="AD529" t="s">
        <v>8</v>
      </c>
      <c r="AE529" t="s">
        <v>67</v>
      </c>
      <c r="AF529" t="s">
        <v>4217</v>
      </c>
    </row>
    <row r="530" spans="1:32" x14ac:dyDescent="0.45">
      <c r="A530" t="s">
        <v>4218</v>
      </c>
      <c r="B530" t="s">
        <v>4219</v>
      </c>
      <c r="C530" t="s">
        <v>4220</v>
      </c>
      <c r="D530" t="s">
        <v>4221</v>
      </c>
      <c r="F530" t="s">
        <v>4222</v>
      </c>
      <c r="H530" t="s">
        <v>4223</v>
      </c>
      <c r="I530" t="s">
        <v>4224</v>
      </c>
      <c r="J530" t="s">
        <v>8</v>
      </c>
      <c r="K530" t="s">
        <v>3</v>
      </c>
      <c r="L530" t="s">
        <v>3</v>
      </c>
      <c r="M530" t="s">
        <v>373</v>
      </c>
      <c r="N530" t="s">
        <v>3</v>
      </c>
      <c r="O530" t="s">
        <v>3</v>
      </c>
      <c r="P530" t="s">
        <v>3</v>
      </c>
      <c r="Q530" t="s">
        <v>8</v>
      </c>
      <c r="R530" t="s">
        <v>373</v>
      </c>
      <c r="S530" t="s">
        <v>8</v>
      </c>
      <c r="T530" t="s">
        <v>4218</v>
      </c>
      <c r="U530" t="s">
        <v>3</v>
      </c>
      <c r="V530" t="s">
        <v>3</v>
      </c>
      <c r="W530" t="s">
        <v>2841</v>
      </c>
      <c r="AA530" t="s">
        <v>3</v>
      </c>
      <c r="AB530" t="s">
        <v>8</v>
      </c>
      <c r="AC530" t="s">
        <v>3</v>
      </c>
      <c r="AD530" t="s">
        <v>8</v>
      </c>
      <c r="AE530" t="s">
        <v>102</v>
      </c>
      <c r="AF530" t="s">
        <v>4225</v>
      </c>
    </row>
    <row r="531" spans="1:32" x14ac:dyDescent="0.45">
      <c r="A531" t="s">
        <v>4226</v>
      </c>
      <c r="B531" t="s">
        <v>4227</v>
      </c>
      <c r="C531" t="s">
        <v>4228</v>
      </c>
      <c r="D531" t="s">
        <v>4227</v>
      </c>
      <c r="E531" t="s">
        <v>1335</v>
      </c>
      <c r="F531" t="s">
        <v>4229</v>
      </c>
      <c r="H531" t="s">
        <v>4230</v>
      </c>
      <c r="J531" t="s">
        <v>8</v>
      </c>
      <c r="K531" t="s">
        <v>3</v>
      </c>
      <c r="L531" t="s">
        <v>3</v>
      </c>
      <c r="M531" t="s">
        <v>373</v>
      </c>
      <c r="N531" t="s">
        <v>3</v>
      </c>
      <c r="O531" t="s">
        <v>3</v>
      </c>
      <c r="P531" t="s">
        <v>3</v>
      </c>
      <c r="Q531" t="s">
        <v>8</v>
      </c>
      <c r="R531" t="s">
        <v>373</v>
      </c>
      <c r="S531" t="s">
        <v>8</v>
      </c>
      <c r="T531" t="s">
        <v>4226</v>
      </c>
      <c r="U531" t="s">
        <v>3</v>
      </c>
      <c r="V531" t="s">
        <v>3</v>
      </c>
      <c r="W531" t="s">
        <v>4231</v>
      </c>
      <c r="AA531" t="s">
        <v>3</v>
      </c>
      <c r="AB531" t="s">
        <v>8</v>
      </c>
      <c r="AC531" t="s">
        <v>3</v>
      </c>
      <c r="AD531" t="s">
        <v>8</v>
      </c>
      <c r="AE531" t="s">
        <v>102</v>
      </c>
      <c r="AF531" t="s">
        <v>4232</v>
      </c>
    </row>
    <row r="532" spans="1:32" x14ac:dyDescent="0.45">
      <c r="A532" t="s">
        <v>4233</v>
      </c>
      <c r="B532" t="s">
        <v>4234</v>
      </c>
      <c r="C532" t="s">
        <v>4235</v>
      </c>
      <c r="D532" t="s">
        <v>4234</v>
      </c>
      <c r="E532" t="s">
        <v>4236</v>
      </c>
      <c r="F532" t="s">
        <v>4237</v>
      </c>
      <c r="G532" t="s">
        <v>4238</v>
      </c>
      <c r="H532" t="s">
        <v>4239</v>
      </c>
      <c r="I532" t="s">
        <v>4239</v>
      </c>
      <c r="J532" t="s">
        <v>8</v>
      </c>
      <c r="K532" t="s">
        <v>3</v>
      </c>
      <c r="L532" t="s">
        <v>3</v>
      </c>
      <c r="M532" t="s">
        <v>373</v>
      </c>
      <c r="N532" t="s">
        <v>3</v>
      </c>
      <c r="O532" t="s">
        <v>3</v>
      </c>
      <c r="P532" t="s">
        <v>3</v>
      </c>
      <c r="Q532" t="s">
        <v>8</v>
      </c>
      <c r="R532" t="s">
        <v>373</v>
      </c>
      <c r="S532" t="s">
        <v>8</v>
      </c>
      <c r="T532" t="s">
        <v>4233</v>
      </c>
      <c r="U532" t="s">
        <v>3</v>
      </c>
      <c r="V532" t="s">
        <v>3</v>
      </c>
      <c r="W532" t="s">
        <v>758</v>
      </c>
      <c r="AA532" t="s">
        <v>8</v>
      </c>
      <c r="AB532" t="s">
        <v>8</v>
      </c>
      <c r="AC532" t="s">
        <v>3</v>
      </c>
      <c r="AD532" t="s">
        <v>8</v>
      </c>
      <c r="AE532" t="s">
        <v>67</v>
      </c>
      <c r="AF532" t="s">
        <v>4240</v>
      </c>
    </row>
    <row r="533" spans="1:32" x14ac:dyDescent="0.45">
      <c r="A533" t="s">
        <v>4241</v>
      </c>
      <c r="B533" t="s">
        <v>4242</v>
      </c>
      <c r="C533" t="s">
        <v>4243</v>
      </c>
      <c r="D533" t="s">
        <v>4242</v>
      </c>
      <c r="E533" t="s">
        <v>4244</v>
      </c>
      <c r="F533" t="s">
        <v>4237</v>
      </c>
      <c r="G533" t="s">
        <v>4238</v>
      </c>
      <c r="H533" t="s">
        <v>4239</v>
      </c>
      <c r="I533" t="s">
        <v>4239</v>
      </c>
      <c r="J533" t="s">
        <v>8</v>
      </c>
      <c r="K533" t="s">
        <v>3</v>
      </c>
      <c r="L533" t="s">
        <v>3</v>
      </c>
      <c r="M533" t="s">
        <v>373</v>
      </c>
      <c r="N533" t="s">
        <v>3</v>
      </c>
      <c r="O533" t="s">
        <v>3</v>
      </c>
      <c r="P533" t="s">
        <v>3</v>
      </c>
      <c r="Q533" t="s">
        <v>8</v>
      </c>
      <c r="R533" t="s">
        <v>373</v>
      </c>
      <c r="S533" t="s">
        <v>8</v>
      </c>
      <c r="T533" t="s">
        <v>4241</v>
      </c>
      <c r="U533" t="s">
        <v>3</v>
      </c>
      <c r="V533" t="s">
        <v>3</v>
      </c>
      <c r="W533" t="s">
        <v>760</v>
      </c>
      <c r="AA533" t="s">
        <v>8</v>
      </c>
      <c r="AB533" t="s">
        <v>8</v>
      </c>
      <c r="AC533" t="s">
        <v>3</v>
      </c>
      <c r="AD533" t="s">
        <v>8</v>
      </c>
      <c r="AE533" t="s">
        <v>62</v>
      </c>
      <c r="AF533" t="s">
        <v>4245</v>
      </c>
    </row>
    <row r="534" spans="1:32" x14ac:dyDescent="0.45">
      <c r="A534" t="s">
        <v>4246</v>
      </c>
      <c r="B534" t="s">
        <v>4247</v>
      </c>
      <c r="C534" t="s">
        <v>4248</v>
      </c>
      <c r="D534" t="s">
        <v>4249</v>
      </c>
      <c r="J534" t="s">
        <v>8</v>
      </c>
      <c r="K534" t="s">
        <v>3</v>
      </c>
      <c r="L534" t="s">
        <v>3</v>
      </c>
      <c r="M534" t="s">
        <v>373</v>
      </c>
      <c r="N534" t="s">
        <v>3</v>
      </c>
      <c r="O534" t="s">
        <v>3</v>
      </c>
      <c r="P534" t="s">
        <v>3</v>
      </c>
      <c r="Q534" t="s">
        <v>8</v>
      </c>
      <c r="R534" t="s">
        <v>373</v>
      </c>
      <c r="S534" t="s">
        <v>8</v>
      </c>
      <c r="T534" t="s">
        <v>4246</v>
      </c>
      <c r="U534" t="s">
        <v>3</v>
      </c>
      <c r="V534" t="s">
        <v>3</v>
      </c>
      <c r="W534" t="s">
        <v>4246</v>
      </c>
      <c r="AA534" t="s">
        <v>8</v>
      </c>
      <c r="AB534" t="s">
        <v>8</v>
      </c>
      <c r="AC534" t="s">
        <v>3</v>
      </c>
      <c r="AD534" t="s">
        <v>8</v>
      </c>
      <c r="AE534" t="s">
        <v>67</v>
      </c>
      <c r="AF534" t="s">
        <v>4250</v>
      </c>
    </row>
    <row r="535" spans="1:32" x14ac:dyDescent="0.45">
      <c r="A535" t="s">
        <v>4251</v>
      </c>
      <c r="B535" t="s">
        <v>4252</v>
      </c>
      <c r="C535" t="s">
        <v>4253</v>
      </c>
      <c r="D535" t="s">
        <v>4254</v>
      </c>
      <c r="J535" t="s">
        <v>8</v>
      </c>
      <c r="K535" t="s">
        <v>3</v>
      </c>
      <c r="L535" t="s">
        <v>3</v>
      </c>
      <c r="M535" t="s">
        <v>373</v>
      </c>
      <c r="N535" t="s">
        <v>3</v>
      </c>
      <c r="O535" t="s">
        <v>3</v>
      </c>
      <c r="P535" t="s">
        <v>3</v>
      </c>
      <c r="Q535" t="s">
        <v>8</v>
      </c>
      <c r="R535" t="s">
        <v>373</v>
      </c>
      <c r="S535" t="s">
        <v>8</v>
      </c>
      <c r="T535" t="s">
        <v>4251</v>
      </c>
      <c r="U535" t="s">
        <v>3</v>
      </c>
      <c r="V535" t="s">
        <v>3</v>
      </c>
      <c r="W535" t="s">
        <v>4251</v>
      </c>
      <c r="AA535" t="s">
        <v>8</v>
      </c>
      <c r="AB535" t="s">
        <v>8</v>
      </c>
      <c r="AC535" t="s">
        <v>3</v>
      </c>
      <c r="AD535" t="s">
        <v>8</v>
      </c>
      <c r="AE535" t="s">
        <v>67</v>
      </c>
      <c r="AF535" t="s">
        <v>4255</v>
      </c>
    </row>
    <row r="536" spans="1:32" x14ac:dyDescent="0.45">
      <c r="A536" t="s">
        <v>4256</v>
      </c>
      <c r="B536" t="s">
        <v>4257</v>
      </c>
      <c r="C536" t="s">
        <v>4258</v>
      </c>
      <c r="D536" t="s">
        <v>4259</v>
      </c>
      <c r="J536" t="s">
        <v>8</v>
      </c>
      <c r="K536" t="s">
        <v>3</v>
      </c>
      <c r="L536" t="s">
        <v>3</v>
      </c>
      <c r="M536" t="s">
        <v>373</v>
      </c>
      <c r="N536" t="s">
        <v>3</v>
      </c>
      <c r="O536" t="s">
        <v>3</v>
      </c>
      <c r="P536" t="s">
        <v>3</v>
      </c>
      <c r="Q536" t="s">
        <v>8</v>
      </c>
      <c r="R536" t="s">
        <v>373</v>
      </c>
      <c r="S536" t="s">
        <v>8</v>
      </c>
      <c r="T536" t="s">
        <v>4256</v>
      </c>
      <c r="U536" t="s">
        <v>3</v>
      </c>
      <c r="V536" t="s">
        <v>3</v>
      </c>
      <c r="W536" t="s">
        <v>4256</v>
      </c>
      <c r="AA536" t="s">
        <v>1635</v>
      </c>
      <c r="AB536" t="s">
        <v>8</v>
      </c>
      <c r="AC536" t="s">
        <v>3</v>
      </c>
      <c r="AD536" t="s">
        <v>8</v>
      </c>
      <c r="AE536" t="s">
        <v>67</v>
      </c>
      <c r="AF536" t="s">
        <v>4260</v>
      </c>
    </row>
    <row r="537" spans="1:32" x14ac:dyDescent="0.45">
      <c r="A537" t="s">
        <v>4261</v>
      </c>
      <c r="B537" t="s">
        <v>4262</v>
      </c>
      <c r="C537" t="s">
        <v>4263</v>
      </c>
      <c r="D537" t="s">
        <v>4264</v>
      </c>
      <c r="J537" t="s">
        <v>8</v>
      </c>
      <c r="K537" t="s">
        <v>3</v>
      </c>
      <c r="L537" t="s">
        <v>3</v>
      </c>
      <c r="M537" t="s">
        <v>373</v>
      </c>
      <c r="N537" t="s">
        <v>3</v>
      </c>
      <c r="O537" t="s">
        <v>3</v>
      </c>
      <c r="P537" t="s">
        <v>3</v>
      </c>
      <c r="Q537" t="s">
        <v>8</v>
      </c>
      <c r="R537" t="s">
        <v>373</v>
      </c>
      <c r="S537" t="s">
        <v>8</v>
      </c>
      <c r="T537" t="s">
        <v>4261</v>
      </c>
      <c r="U537" t="s">
        <v>3</v>
      </c>
      <c r="V537" t="s">
        <v>3</v>
      </c>
      <c r="W537" t="s">
        <v>4261</v>
      </c>
      <c r="AA537" t="s">
        <v>1635</v>
      </c>
      <c r="AB537" t="s">
        <v>8</v>
      </c>
      <c r="AC537" t="s">
        <v>3</v>
      </c>
      <c r="AD537" t="s">
        <v>8</v>
      </c>
      <c r="AE537" t="s">
        <v>67</v>
      </c>
      <c r="AF537" t="s">
        <v>4265</v>
      </c>
    </row>
    <row r="538" spans="1:32" x14ac:dyDescent="0.45">
      <c r="A538" t="s">
        <v>4266</v>
      </c>
      <c r="B538" t="s">
        <v>4267</v>
      </c>
      <c r="C538" t="s">
        <v>4268</v>
      </c>
      <c r="D538" t="s">
        <v>4269</v>
      </c>
      <c r="J538" t="s">
        <v>8</v>
      </c>
      <c r="K538" t="s">
        <v>3</v>
      </c>
      <c r="L538" t="s">
        <v>3</v>
      </c>
      <c r="M538" t="s">
        <v>373</v>
      </c>
      <c r="N538" t="s">
        <v>3</v>
      </c>
      <c r="O538" t="s">
        <v>3</v>
      </c>
      <c r="P538" t="s">
        <v>3</v>
      </c>
      <c r="Q538" t="s">
        <v>8</v>
      </c>
      <c r="R538" t="s">
        <v>373</v>
      </c>
      <c r="S538" t="s">
        <v>8</v>
      </c>
      <c r="T538" t="s">
        <v>4266</v>
      </c>
      <c r="U538" t="s">
        <v>3</v>
      </c>
      <c r="V538" t="s">
        <v>3</v>
      </c>
      <c r="W538" t="s">
        <v>4266</v>
      </c>
      <c r="AA538" t="s">
        <v>1635</v>
      </c>
      <c r="AB538" t="s">
        <v>8</v>
      </c>
      <c r="AC538" t="s">
        <v>3</v>
      </c>
      <c r="AD538" t="s">
        <v>8</v>
      </c>
      <c r="AE538" t="s">
        <v>67</v>
      </c>
      <c r="AF538" t="s">
        <v>4270</v>
      </c>
    </row>
    <row r="539" spans="1:32" x14ac:dyDescent="0.45">
      <c r="A539" t="s">
        <v>1660</v>
      </c>
      <c r="B539" t="s">
        <v>4271</v>
      </c>
      <c r="C539" t="s">
        <v>4271</v>
      </c>
      <c r="D539" t="s">
        <v>4271</v>
      </c>
      <c r="E539" t="s">
        <v>3142</v>
      </c>
      <c r="F539" t="s">
        <v>3832</v>
      </c>
      <c r="H539" t="s">
        <v>3821</v>
      </c>
      <c r="J539" t="s">
        <v>8</v>
      </c>
      <c r="K539" t="s">
        <v>3</v>
      </c>
      <c r="L539" t="s">
        <v>3</v>
      </c>
      <c r="M539" t="s">
        <v>373</v>
      </c>
      <c r="N539" t="s">
        <v>3</v>
      </c>
      <c r="O539" t="s">
        <v>3</v>
      </c>
      <c r="P539" t="s">
        <v>3</v>
      </c>
      <c r="Q539" t="s">
        <v>8</v>
      </c>
      <c r="R539" t="s">
        <v>373</v>
      </c>
      <c r="S539" t="s">
        <v>8</v>
      </c>
      <c r="T539" t="s">
        <v>1660</v>
      </c>
      <c r="U539" t="s">
        <v>3</v>
      </c>
      <c r="V539" t="s">
        <v>3</v>
      </c>
      <c r="W539" t="s">
        <v>1660</v>
      </c>
      <c r="AA539" t="s">
        <v>8</v>
      </c>
      <c r="AB539" t="s">
        <v>8</v>
      </c>
      <c r="AC539" t="s">
        <v>3</v>
      </c>
      <c r="AD539" t="s">
        <v>8</v>
      </c>
      <c r="AE539" t="s">
        <v>67</v>
      </c>
      <c r="AF539" t="s">
        <v>4272</v>
      </c>
    </row>
    <row r="540" spans="1:32" x14ac:dyDescent="0.45">
      <c r="A540" t="s">
        <v>4273</v>
      </c>
      <c r="B540" t="s">
        <v>4274</v>
      </c>
      <c r="C540" t="s">
        <v>4275</v>
      </c>
      <c r="D540" t="s">
        <v>4274</v>
      </c>
      <c r="J540" t="s">
        <v>8</v>
      </c>
      <c r="K540" t="s">
        <v>3</v>
      </c>
      <c r="L540" t="s">
        <v>3</v>
      </c>
      <c r="M540" t="s">
        <v>373</v>
      </c>
      <c r="N540" t="s">
        <v>3</v>
      </c>
      <c r="O540" t="s">
        <v>3</v>
      </c>
      <c r="P540" t="s">
        <v>3</v>
      </c>
      <c r="Q540" t="s">
        <v>8</v>
      </c>
      <c r="R540" t="s">
        <v>373</v>
      </c>
      <c r="S540" t="s">
        <v>8</v>
      </c>
      <c r="T540" t="s">
        <v>4273</v>
      </c>
      <c r="U540" t="s">
        <v>3</v>
      </c>
      <c r="V540" t="s">
        <v>3</v>
      </c>
      <c r="W540" t="s">
        <v>4273</v>
      </c>
      <c r="AA540" t="s">
        <v>8</v>
      </c>
      <c r="AB540" t="s">
        <v>8</v>
      </c>
      <c r="AC540" t="s">
        <v>3</v>
      </c>
      <c r="AD540" t="s">
        <v>8</v>
      </c>
      <c r="AE540" t="s">
        <v>72</v>
      </c>
      <c r="AF540" t="s">
        <v>4276</v>
      </c>
    </row>
    <row r="541" spans="1:32" x14ac:dyDescent="0.45">
      <c r="A541" t="s">
        <v>4277</v>
      </c>
      <c r="B541" t="s">
        <v>4278</v>
      </c>
      <c r="C541" t="s">
        <v>4279</v>
      </c>
      <c r="D541" t="s">
        <v>4280</v>
      </c>
      <c r="H541" t="s">
        <v>4281</v>
      </c>
      <c r="I541" t="s">
        <v>4282</v>
      </c>
      <c r="J541" t="s">
        <v>8</v>
      </c>
      <c r="K541" t="s">
        <v>3</v>
      </c>
      <c r="L541" t="s">
        <v>3</v>
      </c>
      <c r="M541" t="s">
        <v>373</v>
      </c>
      <c r="N541" t="s">
        <v>3</v>
      </c>
      <c r="O541" t="s">
        <v>3</v>
      </c>
      <c r="P541" t="s">
        <v>3</v>
      </c>
      <c r="Q541" t="s">
        <v>8</v>
      </c>
      <c r="R541" t="s">
        <v>373</v>
      </c>
      <c r="S541" t="s">
        <v>8</v>
      </c>
      <c r="T541" t="s">
        <v>4277</v>
      </c>
      <c r="U541" t="s">
        <v>3</v>
      </c>
      <c r="V541" t="s">
        <v>3</v>
      </c>
      <c r="W541" t="s">
        <v>4277</v>
      </c>
      <c r="AA541" t="s">
        <v>1635</v>
      </c>
      <c r="AB541" t="s">
        <v>8</v>
      </c>
      <c r="AC541" t="s">
        <v>3</v>
      </c>
      <c r="AD541" t="s">
        <v>8</v>
      </c>
      <c r="AE541" t="s">
        <v>72</v>
      </c>
      <c r="AF541" t="s">
        <v>4283</v>
      </c>
    </row>
    <row r="542" spans="1:32" x14ac:dyDescent="0.45">
      <c r="A542" t="s">
        <v>4284</v>
      </c>
      <c r="B542" t="s">
        <v>4285</v>
      </c>
      <c r="C542" t="s">
        <v>4286</v>
      </c>
      <c r="D542" t="s">
        <v>4287</v>
      </c>
      <c r="J542" t="s">
        <v>8</v>
      </c>
      <c r="K542" t="s">
        <v>3</v>
      </c>
      <c r="L542" t="s">
        <v>3</v>
      </c>
      <c r="M542" t="s">
        <v>373</v>
      </c>
      <c r="N542" t="s">
        <v>3</v>
      </c>
      <c r="O542" t="s">
        <v>3</v>
      </c>
      <c r="P542" t="s">
        <v>3</v>
      </c>
      <c r="Q542" t="s">
        <v>8</v>
      </c>
      <c r="R542" t="s">
        <v>373</v>
      </c>
      <c r="S542" t="s">
        <v>8</v>
      </c>
      <c r="T542" t="s">
        <v>4284</v>
      </c>
      <c r="U542" t="s">
        <v>3</v>
      </c>
      <c r="V542" t="s">
        <v>3</v>
      </c>
      <c r="W542" t="s">
        <v>4284</v>
      </c>
      <c r="AA542" t="s">
        <v>1635</v>
      </c>
      <c r="AB542" t="s">
        <v>8</v>
      </c>
      <c r="AC542" t="s">
        <v>3</v>
      </c>
      <c r="AD542" t="s">
        <v>8</v>
      </c>
      <c r="AE542" t="s">
        <v>67</v>
      </c>
      <c r="AF542" t="s">
        <v>4288</v>
      </c>
    </row>
    <row r="543" spans="1:32" x14ac:dyDescent="0.45">
      <c r="A543" t="s">
        <v>4289</v>
      </c>
      <c r="B543" t="s">
        <v>4290</v>
      </c>
      <c r="C543" t="s">
        <v>4291</v>
      </c>
      <c r="D543" t="s">
        <v>4290</v>
      </c>
      <c r="J543" t="s">
        <v>8</v>
      </c>
      <c r="K543" t="s">
        <v>3</v>
      </c>
      <c r="L543" t="s">
        <v>3</v>
      </c>
      <c r="M543" t="s">
        <v>373</v>
      </c>
      <c r="N543" t="s">
        <v>3</v>
      </c>
      <c r="O543" t="s">
        <v>3</v>
      </c>
      <c r="P543" t="s">
        <v>3</v>
      </c>
      <c r="Q543" t="s">
        <v>8</v>
      </c>
      <c r="R543" t="s">
        <v>373</v>
      </c>
      <c r="S543" t="s">
        <v>8</v>
      </c>
      <c r="T543" t="s">
        <v>4289</v>
      </c>
      <c r="U543" t="s">
        <v>3</v>
      </c>
      <c r="V543" t="s">
        <v>3</v>
      </c>
      <c r="W543" t="s">
        <v>2453</v>
      </c>
      <c r="AA543" t="s">
        <v>1635</v>
      </c>
      <c r="AB543" t="s">
        <v>8</v>
      </c>
      <c r="AC543" t="s">
        <v>3</v>
      </c>
      <c r="AD543" t="s">
        <v>8</v>
      </c>
      <c r="AE543" t="s">
        <v>67</v>
      </c>
      <c r="AF543" t="s">
        <v>4292</v>
      </c>
    </row>
    <row r="544" spans="1:32" x14ac:dyDescent="0.45">
      <c r="A544" t="s">
        <v>1822</v>
      </c>
      <c r="B544" t="s">
        <v>4293</v>
      </c>
      <c r="C544" t="s">
        <v>4294</v>
      </c>
      <c r="D544" t="s">
        <v>4295</v>
      </c>
      <c r="E544" t="s">
        <v>1343</v>
      </c>
      <c r="F544" t="s">
        <v>4296</v>
      </c>
      <c r="H544" t="s">
        <v>4297</v>
      </c>
      <c r="J544" t="s">
        <v>8</v>
      </c>
      <c r="K544" t="s">
        <v>3</v>
      </c>
      <c r="L544" t="s">
        <v>3</v>
      </c>
      <c r="M544" t="s">
        <v>373</v>
      </c>
      <c r="N544" t="s">
        <v>3</v>
      </c>
      <c r="O544" t="s">
        <v>3</v>
      </c>
      <c r="P544" t="s">
        <v>3</v>
      </c>
      <c r="Q544" t="s">
        <v>8</v>
      </c>
      <c r="R544" t="s">
        <v>373</v>
      </c>
      <c r="S544" t="s">
        <v>8</v>
      </c>
      <c r="T544" t="s">
        <v>1822</v>
      </c>
      <c r="U544" t="s">
        <v>3</v>
      </c>
      <c r="V544" t="s">
        <v>3</v>
      </c>
      <c r="W544" t="s">
        <v>1822</v>
      </c>
      <c r="AA544" t="s">
        <v>8</v>
      </c>
      <c r="AB544" t="s">
        <v>8</v>
      </c>
      <c r="AC544" t="s">
        <v>3</v>
      </c>
      <c r="AD544" t="s">
        <v>8</v>
      </c>
      <c r="AE544" t="s">
        <v>67</v>
      </c>
      <c r="AF544" t="s">
        <v>4298</v>
      </c>
    </row>
    <row r="545" spans="1:32" x14ac:dyDescent="0.45">
      <c r="A545" t="s">
        <v>3835</v>
      </c>
      <c r="B545" t="s">
        <v>4299</v>
      </c>
      <c r="C545" t="s">
        <v>4300</v>
      </c>
      <c r="D545" t="s">
        <v>4301</v>
      </c>
      <c r="J545" t="s">
        <v>8</v>
      </c>
      <c r="K545" t="s">
        <v>3</v>
      </c>
      <c r="L545" t="s">
        <v>3</v>
      </c>
      <c r="M545" t="s">
        <v>373</v>
      </c>
      <c r="N545" t="s">
        <v>3</v>
      </c>
      <c r="O545" t="s">
        <v>3</v>
      </c>
      <c r="P545" t="s">
        <v>3</v>
      </c>
      <c r="Q545" t="s">
        <v>8</v>
      </c>
      <c r="R545" t="s">
        <v>373</v>
      </c>
      <c r="S545" t="s">
        <v>8</v>
      </c>
      <c r="T545" t="s">
        <v>4266</v>
      </c>
      <c r="U545" t="s">
        <v>3</v>
      </c>
      <c r="V545" t="s">
        <v>3</v>
      </c>
      <c r="W545" t="s">
        <v>4266</v>
      </c>
      <c r="AA545" t="s">
        <v>1635</v>
      </c>
      <c r="AB545" t="s">
        <v>8</v>
      </c>
      <c r="AC545" t="s">
        <v>3</v>
      </c>
      <c r="AD545" t="s">
        <v>8</v>
      </c>
      <c r="AE545" t="s">
        <v>72</v>
      </c>
      <c r="AF545" t="s">
        <v>4302</v>
      </c>
    </row>
    <row r="546" spans="1:32" x14ac:dyDescent="0.45">
      <c r="A546" t="s">
        <v>4303</v>
      </c>
      <c r="B546" t="s">
        <v>4304</v>
      </c>
      <c r="C546" t="s">
        <v>4305</v>
      </c>
      <c r="D546" t="s">
        <v>4304</v>
      </c>
      <c r="E546" t="s">
        <v>4306</v>
      </c>
      <c r="F546" t="s">
        <v>4307</v>
      </c>
      <c r="H546" t="s">
        <v>4308</v>
      </c>
      <c r="J546" t="s">
        <v>8</v>
      </c>
      <c r="K546" t="s">
        <v>3</v>
      </c>
      <c r="L546" t="s">
        <v>3</v>
      </c>
      <c r="M546" t="s">
        <v>373</v>
      </c>
      <c r="N546" t="s">
        <v>3</v>
      </c>
      <c r="O546" t="s">
        <v>3</v>
      </c>
      <c r="P546" t="s">
        <v>3</v>
      </c>
      <c r="Q546" t="s">
        <v>8</v>
      </c>
      <c r="R546" t="s">
        <v>373</v>
      </c>
      <c r="S546" t="s">
        <v>8</v>
      </c>
      <c r="T546" t="s">
        <v>4303</v>
      </c>
      <c r="U546" t="s">
        <v>3</v>
      </c>
      <c r="V546" t="s">
        <v>3</v>
      </c>
      <c r="W546" t="s">
        <v>4303</v>
      </c>
      <c r="AA546" t="s">
        <v>8</v>
      </c>
      <c r="AB546" t="s">
        <v>8</v>
      </c>
      <c r="AC546" t="s">
        <v>3</v>
      </c>
      <c r="AD546" t="s">
        <v>8</v>
      </c>
      <c r="AE546" t="s">
        <v>67</v>
      </c>
      <c r="AF546" t="s">
        <v>4309</v>
      </c>
    </row>
    <row r="547" spans="1:32" x14ac:dyDescent="0.45">
      <c r="A547" t="s">
        <v>4310</v>
      </c>
      <c r="B547" t="s">
        <v>4311</v>
      </c>
      <c r="C547" t="s">
        <v>4312</v>
      </c>
      <c r="D547" t="s">
        <v>4313</v>
      </c>
      <c r="E547" t="s">
        <v>3744</v>
      </c>
      <c r="F547" t="s">
        <v>4314</v>
      </c>
      <c r="H547" t="s">
        <v>4315</v>
      </c>
      <c r="J547" t="s">
        <v>8</v>
      </c>
      <c r="K547" t="s">
        <v>3</v>
      </c>
      <c r="L547" t="s">
        <v>3</v>
      </c>
      <c r="M547" t="s">
        <v>373</v>
      </c>
      <c r="N547" t="s">
        <v>3</v>
      </c>
      <c r="O547" t="s">
        <v>3</v>
      </c>
      <c r="P547" t="s">
        <v>3</v>
      </c>
      <c r="Q547" t="s">
        <v>8</v>
      </c>
      <c r="R547" t="s">
        <v>373</v>
      </c>
      <c r="S547" t="s">
        <v>8</v>
      </c>
      <c r="T547" t="s">
        <v>4310</v>
      </c>
      <c r="U547" t="s">
        <v>3</v>
      </c>
      <c r="V547" t="s">
        <v>3</v>
      </c>
      <c r="W547" t="s">
        <v>4310</v>
      </c>
      <c r="AA547" t="s">
        <v>8</v>
      </c>
      <c r="AB547" t="s">
        <v>8</v>
      </c>
      <c r="AC547" t="s">
        <v>3</v>
      </c>
      <c r="AD547" t="s">
        <v>8</v>
      </c>
      <c r="AE547" t="s">
        <v>67</v>
      </c>
      <c r="AF547" t="s">
        <v>4316</v>
      </c>
    </row>
    <row r="548" spans="1:32" x14ac:dyDescent="0.45">
      <c r="A548" t="s">
        <v>4317</v>
      </c>
      <c r="B548" t="s">
        <v>4318</v>
      </c>
      <c r="C548" t="s">
        <v>4319</v>
      </c>
      <c r="D548" t="s">
        <v>4320</v>
      </c>
      <c r="J548" t="s">
        <v>8</v>
      </c>
      <c r="K548" t="s">
        <v>3</v>
      </c>
      <c r="L548" t="s">
        <v>3</v>
      </c>
      <c r="M548" t="s">
        <v>373</v>
      </c>
      <c r="N548" t="s">
        <v>3</v>
      </c>
      <c r="O548" t="s">
        <v>3</v>
      </c>
      <c r="P548" t="s">
        <v>3</v>
      </c>
      <c r="Q548" t="s">
        <v>8</v>
      </c>
      <c r="R548" t="s">
        <v>373</v>
      </c>
      <c r="S548" t="s">
        <v>8</v>
      </c>
      <c r="T548" t="s">
        <v>4261</v>
      </c>
      <c r="U548" t="s">
        <v>3</v>
      </c>
      <c r="V548" t="s">
        <v>3</v>
      </c>
      <c r="W548" t="s">
        <v>2453</v>
      </c>
      <c r="AA548" t="s">
        <v>1635</v>
      </c>
      <c r="AB548" t="s">
        <v>8</v>
      </c>
      <c r="AC548" t="s">
        <v>3</v>
      </c>
      <c r="AD548" t="s">
        <v>67</v>
      </c>
      <c r="AE548" t="s">
        <v>72</v>
      </c>
      <c r="AF548" t="s">
        <v>4321</v>
      </c>
    </row>
    <row r="549" spans="1:32" x14ac:dyDescent="0.45">
      <c r="A549" t="s">
        <v>4322</v>
      </c>
      <c r="B549" t="s">
        <v>4323</v>
      </c>
      <c r="C549" t="s">
        <v>4324</v>
      </c>
      <c r="D549" t="s">
        <v>4323</v>
      </c>
      <c r="E549" t="s">
        <v>4325</v>
      </c>
      <c r="F549" t="s">
        <v>4326</v>
      </c>
      <c r="H549" t="s">
        <v>4327</v>
      </c>
      <c r="I549" t="s">
        <v>4328</v>
      </c>
      <c r="J549" t="s">
        <v>8</v>
      </c>
      <c r="K549" t="s">
        <v>3</v>
      </c>
      <c r="L549" t="s">
        <v>3</v>
      </c>
      <c r="M549" t="s">
        <v>373</v>
      </c>
      <c r="N549" t="s">
        <v>3</v>
      </c>
      <c r="O549" t="s">
        <v>3</v>
      </c>
      <c r="P549" t="s">
        <v>3</v>
      </c>
      <c r="Q549" t="s">
        <v>8</v>
      </c>
      <c r="R549" t="s">
        <v>373</v>
      </c>
      <c r="S549" t="s">
        <v>8</v>
      </c>
      <c r="T549" t="s">
        <v>4322</v>
      </c>
      <c r="U549" t="s">
        <v>3</v>
      </c>
      <c r="V549" t="s">
        <v>3</v>
      </c>
      <c r="W549" t="s">
        <v>4310</v>
      </c>
      <c r="AA549" t="s">
        <v>8</v>
      </c>
      <c r="AB549" t="s">
        <v>8</v>
      </c>
      <c r="AC549" t="s">
        <v>3</v>
      </c>
      <c r="AD549" t="s">
        <v>8</v>
      </c>
      <c r="AE549" t="s">
        <v>67</v>
      </c>
      <c r="AF549" t="s">
        <v>4329</v>
      </c>
    </row>
    <row r="550" spans="1:32" x14ac:dyDescent="0.45">
      <c r="A550" t="s">
        <v>2319</v>
      </c>
      <c r="B550" t="s">
        <v>4330</v>
      </c>
      <c r="C550" t="s">
        <v>4331</v>
      </c>
      <c r="D550" t="s">
        <v>39</v>
      </c>
      <c r="E550" t="s">
        <v>4332</v>
      </c>
      <c r="F550" t="s">
        <v>4333</v>
      </c>
      <c r="H550" t="s">
        <v>4334</v>
      </c>
      <c r="I550" t="s">
        <v>4335</v>
      </c>
      <c r="J550" t="s">
        <v>8</v>
      </c>
      <c r="K550" t="s">
        <v>3</v>
      </c>
      <c r="L550" t="s">
        <v>3</v>
      </c>
      <c r="M550" t="s">
        <v>373</v>
      </c>
      <c r="N550" t="s">
        <v>3</v>
      </c>
      <c r="O550" t="s">
        <v>3</v>
      </c>
      <c r="P550" t="s">
        <v>3</v>
      </c>
      <c r="Q550" t="s">
        <v>8</v>
      </c>
      <c r="R550" t="s">
        <v>373</v>
      </c>
      <c r="S550" t="s">
        <v>8</v>
      </c>
      <c r="T550" t="s">
        <v>2319</v>
      </c>
      <c r="U550" t="s">
        <v>3</v>
      </c>
      <c r="V550" t="s">
        <v>3</v>
      </c>
      <c r="W550" t="s">
        <v>2319</v>
      </c>
      <c r="AA550" t="s">
        <v>8</v>
      </c>
      <c r="AB550" t="s">
        <v>3</v>
      </c>
      <c r="AC550" t="s">
        <v>3</v>
      </c>
      <c r="AD550" t="s">
        <v>8</v>
      </c>
      <c r="AE550" t="s">
        <v>72</v>
      </c>
      <c r="AF550" t="s">
        <v>4336</v>
      </c>
    </row>
    <row r="551" spans="1:32" x14ac:dyDescent="0.45">
      <c r="A551" t="s">
        <v>4337</v>
      </c>
      <c r="B551" t="s">
        <v>4338</v>
      </c>
      <c r="C551" t="s">
        <v>4339</v>
      </c>
      <c r="D551" t="s">
        <v>40</v>
      </c>
      <c r="E551" t="s">
        <v>4332</v>
      </c>
      <c r="F551" t="s">
        <v>4333</v>
      </c>
      <c r="H551" t="s">
        <v>4334</v>
      </c>
      <c r="I551" t="s">
        <v>4335</v>
      </c>
      <c r="J551" t="s">
        <v>8</v>
      </c>
      <c r="K551" t="s">
        <v>3</v>
      </c>
      <c r="L551" t="s">
        <v>3</v>
      </c>
      <c r="M551" t="s">
        <v>373</v>
      </c>
      <c r="N551" t="s">
        <v>3</v>
      </c>
      <c r="O551" t="s">
        <v>3</v>
      </c>
      <c r="P551" t="s">
        <v>3</v>
      </c>
      <c r="Q551" t="s">
        <v>8</v>
      </c>
      <c r="R551" t="s">
        <v>373</v>
      </c>
      <c r="S551" t="s">
        <v>8</v>
      </c>
      <c r="T551" t="s">
        <v>4337</v>
      </c>
      <c r="U551" t="s">
        <v>3</v>
      </c>
      <c r="V551" t="s">
        <v>3</v>
      </c>
      <c r="W551" t="s">
        <v>4337</v>
      </c>
      <c r="AA551" t="s">
        <v>8</v>
      </c>
      <c r="AB551" t="s">
        <v>3</v>
      </c>
      <c r="AC551" t="s">
        <v>3</v>
      </c>
      <c r="AD551" t="s">
        <v>8</v>
      </c>
      <c r="AE551" t="s">
        <v>72</v>
      </c>
      <c r="AF551" t="s">
        <v>4340</v>
      </c>
    </row>
    <row r="552" spans="1:32" x14ac:dyDescent="0.45">
      <c r="A552" t="s">
        <v>4341</v>
      </c>
      <c r="B552" t="s">
        <v>4342</v>
      </c>
      <c r="C552" t="s">
        <v>4343</v>
      </c>
      <c r="D552" t="s">
        <v>4342</v>
      </c>
      <c r="E552" t="s">
        <v>4332</v>
      </c>
      <c r="F552" t="s">
        <v>4333</v>
      </c>
      <c r="H552" t="s">
        <v>4334</v>
      </c>
      <c r="I552" t="s">
        <v>4335</v>
      </c>
      <c r="J552" t="s">
        <v>8</v>
      </c>
      <c r="K552" t="s">
        <v>3</v>
      </c>
      <c r="L552" t="s">
        <v>3</v>
      </c>
      <c r="M552" t="s">
        <v>373</v>
      </c>
      <c r="N552" t="s">
        <v>3</v>
      </c>
      <c r="O552" t="s">
        <v>3</v>
      </c>
      <c r="P552" t="s">
        <v>3</v>
      </c>
      <c r="Q552" t="s">
        <v>8</v>
      </c>
      <c r="R552" t="s">
        <v>373</v>
      </c>
      <c r="S552" t="s">
        <v>8</v>
      </c>
      <c r="T552" t="s">
        <v>4341</v>
      </c>
      <c r="U552" t="s">
        <v>3</v>
      </c>
      <c r="V552" t="s">
        <v>3</v>
      </c>
      <c r="W552" t="s">
        <v>4341</v>
      </c>
      <c r="AA552" t="s">
        <v>8</v>
      </c>
      <c r="AB552" t="s">
        <v>3</v>
      </c>
      <c r="AC552" t="s">
        <v>3</v>
      </c>
      <c r="AD552" t="s">
        <v>8</v>
      </c>
      <c r="AE552" t="s">
        <v>67</v>
      </c>
      <c r="AF552" t="s">
        <v>4344</v>
      </c>
    </row>
    <row r="553" spans="1:32" x14ac:dyDescent="0.45">
      <c r="A553" t="s">
        <v>4345</v>
      </c>
      <c r="B553" t="s">
        <v>4346</v>
      </c>
      <c r="C553" t="s">
        <v>4347</v>
      </c>
      <c r="D553" t="s">
        <v>4342</v>
      </c>
      <c r="E553" t="s">
        <v>4332</v>
      </c>
      <c r="F553" t="s">
        <v>4333</v>
      </c>
      <c r="H553" t="s">
        <v>4334</v>
      </c>
      <c r="I553" t="s">
        <v>4335</v>
      </c>
      <c r="J553" t="s">
        <v>8</v>
      </c>
      <c r="K553" t="s">
        <v>3</v>
      </c>
      <c r="L553" t="s">
        <v>3</v>
      </c>
      <c r="M553" t="s">
        <v>373</v>
      </c>
      <c r="N553" t="s">
        <v>3</v>
      </c>
      <c r="O553" t="s">
        <v>3</v>
      </c>
      <c r="P553" t="s">
        <v>3</v>
      </c>
      <c r="Q553" t="s">
        <v>8</v>
      </c>
      <c r="R553" t="s">
        <v>373</v>
      </c>
      <c r="S553" t="s">
        <v>8</v>
      </c>
      <c r="T553" t="s">
        <v>4345</v>
      </c>
      <c r="U553" t="s">
        <v>3</v>
      </c>
      <c r="V553" t="s">
        <v>3</v>
      </c>
      <c r="W553" t="s">
        <v>4341</v>
      </c>
      <c r="AA553" t="s">
        <v>8</v>
      </c>
      <c r="AB553" t="s">
        <v>3</v>
      </c>
      <c r="AC553" t="s">
        <v>3</v>
      </c>
      <c r="AD553" t="s">
        <v>8</v>
      </c>
      <c r="AE553" t="s">
        <v>67</v>
      </c>
      <c r="AF553" t="s">
        <v>4348</v>
      </c>
    </row>
    <row r="554" spans="1:32" x14ac:dyDescent="0.45">
      <c r="A554" t="s">
        <v>4349</v>
      </c>
      <c r="B554" t="s">
        <v>4290</v>
      </c>
      <c r="C554" t="s">
        <v>4291</v>
      </c>
      <c r="D554" t="s">
        <v>4290</v>
      </c>
      <c r="J554" t="s">
        <v>8</v>
      </c>
      <c r="K554" t="s">
        <v>3</v>
      </c>
      <c r="L554" t="s">
        <v>3</v>
      </c>
      <c r="M554" t="s">
        <v>373</v>
      </c>
      <c r="N554" t="s">
        <v>3</v>
      </c>
      <c r="O554" t="s">
        <v>3</v>
      </c>
      <c r="P554" t="s">
        <v>3</v>
      </c>
      <c r="Q554" t="s">
        <v>8</v>
      </c>
      <c r="R554" t="s">
        <v>373</v>
      </c>
      <c r="S554" t="s">
        <v>8</v>
      </c>
      <c r="T554" t="s">
        <v>4349</v>
      </c>
      <c r="U554" t="s">
        <v>3</v>
      </c>
      <c r="V554" t="s">
        <v>3</v>
      </c>
      <c r="W554" t="s">
        <v>4349</v>
      </c>
      <c r="AA554" t="s">
        <v>8</v>
      </c>
      <c r="AB554" t="s">
        <v>8</v>
      </c>
      <c r="AC554" t="s">
        <v>3</v>
      </c>
      <c r="AD554" t="s">
        <v>8</v>
      </c>
      <c r="AE554" t="s">
        <v>72</v>
      </c>
      <c r="AF554" t="s">
        <v>4350</v>
      </c>
    </row>
    <row r="555" spans="1:32" x14ac:dyDescent="0.45">
      <c r="A555" t="s">
        <v>4351</v>
      </c>
      <c r="B555" t="s">
        <v>4278</v>
      </c>
      <c r="C555" t="s">
        <v>4279</v>
      </c>
      <c r="D555" t="s">
        <v>4280</v>
      </c>
      <c r="H555" t="s">
        <v>4281</v>
      </c>
      <c r="I555" t="s">
        <v>4282</v>
      </c>
      <c r="J555" t="s">
        <v>8</v>
      </c>
      <c r="K555" t="s">
        <v>3</v>
      </c>
      <c r="L555" t="s">
        <v>3</v>
      </c>
      <c r="M555" t="s">
        <v>373</v>
      </c>
      <c r="N555" t="s">
        <v>3</v>
      </c>
      <c r="O555" t="s">
        <v>3</v>
      </c>
      <c r="P555" t="s">
        <v>3</v>
      </c>
      <c r="Q555" t="s">
        <v>8</v>
      </c>
      <c r="R555" t="s">
        <v>373</v>
      </c>
      <c r="S555" t="s">
        <v>8</v>
      </c>
      <c r="T555" t="s">
        <v>4351</v>
      </c>
      <c r="U555" t="s">
        <v>3</v>
      </c>
      <c r="V555" t="s">
        <v>3</v>
      </c>
      <c r="W555" t="s">
        <v>4351</v>
      </c>
      <c r="AA555" t="s">
        <v>1635</v>
      </c>
      <c r="AB555" t="s">
        <v>8</v>
      </c>
      <c r="AC555" t="s">
        <v>3</v>
      </c>
      <c r="AD555" t="s">
        <v>8</v>
      </c>
      <c r="AE555" t="s">
        <v>72</v>
      </c>
      <c r="AF555" t="s">
        <v>4352</v>
      </c>
    </row>
    <row r="556" spans="1:32" x14ac:dyDescent="0.45">
      <c r="A556" t="s">
        <v>130</v>
      </c>
      <c r="B556" t="s">
        <v>4330</v>
      </c>
      <c r="C556" t="s">
        <v>4331</v>
      </c>
      <c r="D556" t="s">
        <v>39</v>
      </c>
      <c r="E556" t="s">
        <v>4332</v>
      </c>
      <c r="F556" t="s">
        <v>4333</v>
      </c>
      <c r="H556" t="s">
        <v>4334</v>
      </c>
      <c r="I556" t="s">
        <v>4335</v>
      </c>
      <c r="J556" t="s">
        <v>8</v>
      </c>
      <c r="K556" t="s">
        <v>3</v>
      </c>
      <c r="L556" t="s">
        <v>3</v>
      </c>
      <c r="M556" t="s">
        <v>373</v>
      </c>
      <c r="N556" t="s">
        <v>3</v>
      </c>
      <c r="O556" t="s">
        <v>3</v>
      </c>
      <c r="P556" t="s">
        <v>3</v>
      </c>
      <c r="Q556" t="s">
        <v>8</v>
      </c>
      <c r="R556" t="s">
        <v>373</v>
      </c>
      <c r="S556" t="s">
        <v>8</v>
      </c>
      <c r="T556" t="s">
        <v>130</v>
      </c>
      <c r="U556" t="s">
        <v>3</v>
      </c>
      <c r="V556" t="s">
        <v>3</v>
      </c>
      <c r="W556" t="s">
        <v>130</v>
      </c>
      <c r="AA556" t="s">
        <v>8</v>
      </c>
      <c r="AB556" t="s">
        <v>3</v>
      </c>
      <c r="AC556" t="s">
        <v>3</v>
      </c>
      <c r="AD556" t="s">
        <v>67</v>
      </c>
      <c r="AE556" t="s">
        <v>67</v>
      </c>
      <c r="AF556" t="s">
        <v>4353</v>
      </c>
    </row>
    <row r="557" spans="1:32" x14ac:dyDescent="0.45">
      <c r="A557" t="s">
        <v>132</v>
      </c>
      <c r="B557" t="s">
        <v>4338</v>
      </c>
      <c r="C557" t="s">
        <v>4339</v>
      </c>
      <c r="D557" t="s">
        <v>40</v>
      </c>
      <c r="E557" t="s">
        <v>4332</v>
      </c>
      <c r="F557" t="s">
        <v>4333</v>
      </c>
      <c r="H557" t="s">
        <v>4334</v>
      </c>
      <c r="I557" t="s">
        <v>4335</v>
      </c>
      <c r="J557" t="s">
        <v>8</v>
      </c>
      <c r="K557" t="s">
        <v>3</v>
      </c>
      <c r="L557" t="s">
        <v>3</v>
      </c>
      <c r="M557" t="s">
        <v>373</v>
      </c>
      <c r="N557" t="s">
        <v>3</v>
      </c>
      <c r="O557" t="s">
        <v>3</v>
      </c>
      <c r="P557" t="s">
        <v>3</v>
      </c>
      <c r="Q557" t="s">
        <v>8</v>
      </c>
      <c r="R557" t="s">
        <v>373</v>
      </c>
      <c r="S557" t="s">
        <v>8</v>
      </c>
      <c r="T557" t="s">
        <v>132</v>
      </c>
      <c r="U557" t="s">
        <v>3</v>
      </c>
      <c r="V557" t="s">
        <v>3</v>
      </c>
      <c r="W557" t="s">
        <v>132</v>
      </c>
      <c r="AA557" t="s">
        <v>8</v>
      </c>
      <c r="AB557" t="s">
        <v>3</v>
      </c>
      <c r="AC557" t="s">
        <v>3</v>
      </c>
      <c r="AD557" t="s">
        <v>8</v>
      </c>
      <c r="AE557" t="s">
        <v>72</v>
      </c>
      <c r="AF557" t="s">
        <v>4354</v>
      </c>
    </row>
    <row r="558" spans="1:32" x14ac:dyDescent="0.45">
      <c r="A558" t="s">
        <v>4355</v>
      </c>
      <c r="B558" t="s">
        <v>4342</v>
      </c>
      <c r="C558" t="s">
        <v>4343</v>
      </c>
      <c r="D558" t="s">
        <v>4342</v>
      </c>
      <c r="E558" t="s">
        <v>4332</v>
      </c>
      <c r="F558" t="s">
        <v>4333</v>
      </c>
      <c r="H558" t="s">
        <v>4334</v>
      </c>
      <c r="I558" t="s">
        <v>4335</v>
      </c>
      <c r="J558" t="s">
        <v>8</v>
      </c>
      <c r="K558" t="s">
        <v>3</v>
      </c>
      <c r="L558" t="s">
        <v>3</v>
      </c>
      <c r="M558" t="s">
        <v>373</v>
      </c>
      <c r="N558" t="s">
        <v>3</v>
      </c>
      <c r="O558" t="s">
        <v>3</v>
      </c>
      <c r="P558" t="s">
        <v>3</v>
      </c>
      <c r="Q558" t="s">
        <v>8</v>
      </c>
      <c r="R558" t="s">
        <v>373</v>
      </c>
      <c r="S558" t="s">
        <v>8</v>
      </c>
      <c r="T558" t="s">
        <v>4355</v>
      </c>
      <c r="U558" t="s">
        <v>3</v>
      </c>
      <c r="V558" t="s">
        <v>3</v>
      </c>
      <c r="W558" t="s">
        <v>4355</v>
      </c>
      <c r="AA558" t="s">
        <v>8</v>
      </c>
      <c r="AB558" t="s">
        <v>3</v>
      </c>
      <c r="AC558" t="s">
        <v>3</v>
      </c>
      <c r="AD558" t="s">
        <v>8</v>
      </c>
      <c r="AE558" t="s">
        <v>72</v>
      </c>
      <c r="AF558" t="s">
        <v>4356</v>
      </c>
    </row>
    <row r="559" spans="1:32" x14ac:dyDescent="0.45">
      <c r="A559" t="s">
        <v>4357</v>
      </c>
      <c r="B559" t="s">
        <v>4346</v>
      </c>
      <c r="C559" t="s">
        <v>4347</v>
      </c>
      <c r="D559" t="s">
        <v>4358</v>
      </c>
      <c r="E559" t="s">
        <v>4332</v>
      </c>
      <c r="F559" t="s">
        <v>4333</v>
      </c>
      <c r="H559" t="s">
        <v>4334</v>
      </c>
      <c r="I559" t="s">
        <v>4335</v>
      </c>
      <c r="J559" t="s">
        <v>8</v>
      </c>
      <c r="K559" t="s">
        <v>3</v>
      </c>
      <c r="L559" t="s">
        <v>3</v>
      </c>
      <c r="M559" t="s">
        <v>373</v>
      </c>
      <c r="N559" t="s">
        <v>3</v>
      </c>
      <c r="O559" t="s">
        <v>3</v>
      </c>
      <c r="P559" t="s">
        <v>3</v>
      </c>
      <c r="Q559" t="s">
        <v>8</v>
      </c>
      <c r="R559" t="s">
        <v>373</v>
      </c>
      <c r="S559" t="s">
        <v>8</v>
      </c>
      <c r="T559" t="s">
        <v>4357</v>
      </c>
      <c r="U559" t="s">
        <v>3</v>
      </c>
      <c r="V559" t="s">
        <v>3</v>
      </c>
      <c r="W559" t="s">
        <v>4357</v>
      </c>
      <c r="AA559" t="s">
        <v>8</v>
      </c>
      <c r="AB559" t="s">
        <v>3</v>
      </c>
      <c r="AC559" t="s">
        <v>3</v>
      </c>
      <c r="AD559" t="s">
        <v>8</v>
      </c>
      <c r="AE559" t="s">
        <v>67</v>
      </c>
      <c r="AF559" t="s">
        <v>4359</v>
      </c>
    </row>
    <row r="560" spans="1:32" x14ac:dyDescent="0.45">
      <c r="A560" t="s">
        <v>4360</v>
      </c>
      <c r="B560" t="s">
        <v>3916</v>
      </c>
      <c r="C560" t="s">
        <v>3917</v>
      </c>
      <c r="D560" t="s">
        <v>3918</v>
      </c>
      <c r="E560" t="s">
        <v>3919</v>
      </c>
      <c r="G560" t="s">
        <v>3920</v>
      </c>
      <c r="H560" t="s">
        <v>3921</v>
      </c>
      <c r="I560" t="s">
        <v>3922</v>
      </c>
      <c r="J560" t="s">
        <v>8</v>
      </c>
      <c r="K560" t="s">
        <v>3</v>
      </c>
      <c r="L560" t="s">
        <v>3</v>
      </c>
      <c r="M560" t="s">
        <v>373</v>
      </c>
      <c r="N560" t="s">
        <v>3</v>
      </c>
      <c r="O560" t="s">
        <v>3</v>
      </c>
      <c r="P560" t="s">
        <v>3</v>
      </c>
      <c r="Q560" t="s">
        <v>8</v>
      </c>
      <c r="R560" t="s">
        <v>373</v>
      </c>
      <c r="S560" t="s">
        <v>8</v>
      </c>
      <c r="T560" t="s">
        <v>4360</v>
      </c>
      <c r="U560" t="s">
        <v>3</v>
      </c>
      <c r="V560" t="s">
        <v>3</v>
      </c>
      <c r="W560" t="s">
        <v>4360</v>
      </c>
      <c r="X560" t="s">
        <v>1031</v>
      </c>
      <c r="Y560" t="s">
        <v>105</v>
      </c>
      <c r="AA560" t="s">
        <v>8</v>
      </c>
      <c r="AB560" t="s">
        <v>8</v>
      </c>
      <c r="AC560" t="s">
        <v>3</v>
      </c>
      <c r="AD560" t="s">
        <v>8</v>
      </c>
      <c r="AE560" t="s">
        <v>67</v>
      </c>
      <c r="AF560" t="s">
        <v>4361</v>
      </c>
    </row>
    <row r="561" spans="1:32" x14ac:dyDescent="0.45">
      <c r="A561" t="s">
        <v>4362</v>
      </c>
      <c r="B561" t="s">
        <v>3925</v>
      </c>
      <c r="C561" t="s">
        <v>3926</v>
      </c>
      <c r="D561" t="s">
        <v>3927</v>
      </c>
      <c r="E561" t="s">
        <v>3919</v>
      </c>
      <c r="G561" t="s">
        <v>3920</v>
      </c>
      <c r="H561" t="s">
        <v>3921</v>
      </c>
      <c r="I561" t="s">
        <v>3922</v>
      </c>
      <c r="J561" t="s">
        <v>8</v>
      </c>
      <c r="K561" t="s">
        <v>3</v>
      </c>
      <c r="L561" t="s">
        <v>3</v>
      </c>
      <c r="M561" t="s">
        <v>373</v>
      </c>
      <c r="N561" t="s">
        <v>3</v>
      </c>
      <c r="O561" t="s">
        <v>3</v>
      </c>
      <c r="P561" t="s">
        <v>3</v>
      </c>
      <c r="Q561" t="s">
        <v>8</v>
      </c>
      <c r="R561" t="s">
        <v>373</v>
      </c>
      <c r="S561" t="s">
        <v>8</v>
      </c>
      <c r="T561" t="s">
        <v>4362</v>
      </c>
      <c r="U561" t="s">
        <v>3</v>
      </c>
      <c r="V561" t="s">
        <v>3</v>
      </c>
      <c r="W561" t="s">
        <v>4362</v>
      </c>
      <c r="AA561" t="s">
        <v>8</v>
      </c>
      <c r="AB561" t="s">
        <v>8</v>
      </c>
      <c r="AC561" t="s">
        <v>3</v>
      </c>
      <c r="AD561" t="s">
        <v>8</v>
      </c>
      <c r="AE561" t="s">
        <v>72</v>
      </c>
      <c r="AF561" t="s">
        <v>4363</v>
      </c>
    </row>
    <row r="562" spans="1:32" x14ac:dyDescent="0.45">
      <c r="A562" t="s">
        <v>134</v>
      </c>
      <c r="B562" t="s">
        <v>41</v>
      </c>
      <c r="C562" t="s">
        <v>2359</v>
      </c>
      <c r="D562" t="s">
        <v>41</v>
      </c>
      <c r="E562" t="s">
        <v>1417</v>
      </c>
      <c r="F562" t="s">
        <v>2360</v>
      </c>
      <c r="H562" t="s">
        <v>2361</v>
      </c>
      <c r="I562" t="s">
        <v>2362</v>
      </c>
      <c r="J562" t="s">
        <v>8</v>
      </c>
      <c r="K562" t="s">
        <v>3</v>
      </c>
      <c r="L562" t="s">
        <v>3</v>
      </c>
      <c r="M562" t="s">
        <v>373</v>
      </c>
      <c r="N562" t="s">
        <v>3</v>
      </c>
      <c r="O562" t="s">
        <v>3</v>
      </c>
      <c r="P562" t="s">
        <v>3</v>
      </c>
      <c r="Q562" t="s">
        <v>8</v>
      </c>
      <c r="R562" t="s">
        <v>373</v>
      </c>
      <c r="S562" t="s">
        <v>8</v>
      </c>
      <c r="T562" t="s">
        <v>134</v>
      </c>
      <c r="U562" t="s">
        <v>3</v>
      </c>
      <c r="V562" t="s">
        <v>3</v>
      </c>
      <c r="W562" t="s">
        <v>134</v>
      </c>
      <c r="AA562" t="s">
        <v>8</v>
      </c>
      <c r="AB562" t="s">
        <v>8</v>
      </c>
      <c r="AC562" t="s">
        <v>3</v>
      </c>
      <c r="AD562" t="s">
        <v>8</v>
      </c>
      <c r="AE562" t="s">
        <v>72</v>
      </c>
      <c r="AF562" t="s">
        <v>4364</v>
      </c>
    </row>
    <row r="563" spans="1:32" x14ac:dyDescent="0.45">
      <c r="A563" t="s">
        <v>4365</v>
      </c>
      <c r="B563" t="s">
        <v>2365</v>
      </c>
      <c r="C563" t="s">
        <v>2359</v>
      </c>
      <c r="D563" t="s">
        <v>2365</v>
      </c>
      <c r="H563" t="s">
        <v>2361</v>
      </c>
      <c r="I563" t="s">
        <v>2362</v>
      </c>
      <c r="J563" t="s">
        <v>8</v>
      </c>
      <c r="K563" t="s">
        <v>3</v>
      </c>
      <c r="L563" t="s">
        <v>3</v>
      </c>
      <c r="M563" t="s">
        <v>373</v>
      </c>
      <c r="N563" t="s">
        <v>3</v>
      </c>
      <c r="O563" t="s">
        <v>3</v>
      </c>
      <c r="P563" t="s">
        <v>3</v>
      </c>
      <c r="Q563" t="s">
        <v>8</v>
      </c>
      <c r="R563" t="s">
        <v>373</v>
      </c>
      <c r="S563" t="s">
        <v>8</v>
      </c>
      <c r="T563" t="s">
        <v>4365</v>
      </c>
      <c r="U563" t="s">
        <v>3</v>
      </c>
      <c r="V563" t="s">
        <v>3</v>
      </c>
      <c r="W563" t="s">
        <v>4365</v>
      </c>
      <c r="AA563" t="s">
        <v>8</v>
      </c>
      <c r="AB563" t="s">
        <v>8</v>
      </c>
      <c r="AC563" t="s">
        <v>3</v>
      </c>
      <c r="AD563" t="s">
        <v>8</v>
      </c>
      <c r="AE563" t="s">
        <v>72</v>
      </c>
      <c r="AF563" t="s">
        <v>4366</v>
      </c>
    </row>
    <row r="564" spans="1:32" x14ac:dyDescent="0.45">
      <c r="A564" t="s">
        <v>136</v>
      </c>
      <c r="B564" t="s">
        <v>42</v>
      </c>
      <c r="C564" t="s">
        <v>2504</v>
      </c>
      <c r="D564" t="s">
        <v>42</v>
      </c>
      <c r="E564" t="s">
        <v>2505</v>
      </c>
      <c r="F564" t="s">
        <v>2506</v>
      </c>
      <c r="H564" t="s">
        <v>2507</v>
      </c>
      <c r="I564" t="s">
        <v>2508</v>
      </c>
      <c r="J564" t="s">
        <v>8</v>
      </c>
      <c r="K564" t="s">
        <v>3</v>
      </c>
      <c r="L564" t="s">
        <v>3</v>
      </c>
      <c r="M564" t="s">
        <v>373</v>
      </c>
      <c r="N564" t="s">
        <v>3</v>
      </c>
      <c r="O564" t="s">
        <v>3</v>
      </c>
      <c r="P564" t="s">
        <v>3</v>
      </c>
      <c r="Q564" t="s">
        <v>8</v>
      </c>
      <c r="R564" t="s">
        <v>373</v>
      </c>
      <c r="S564" t="s">
        <v>8</v>
      </c>
      <c r="T564" t="s">
        <v>136</v>
      </c>
      <c r="U564" t="s">
        <v>3</v>
      </c>
      <c r="V564" t="s">
        <v>3</v>
      </c>
      <c r="W564" t="s">
        <v>136</v>
      </c>
      <c r="AA564" t="s">
        <v>3</v>
      </c>
      <c r="AB564" t="s">
        <v>8</v>
      </c>
      <c r="AC564" t="s">
        <v>3</v>
      </c>
      <c r="AD564" t="s">
        <v>8</v>
      </c>
      <c r="AE564" t="s">
        <v>72</v>
      </c>
      <c r="AF564" t="s">
        <v>4367</v>
      </c>
    </row>
    <row r="565" spans="1:32" x14ac:dyDescent="0.45">
      <c r="A565" t="s">
        <v>4368</v>
      </c>
      <c r="B565" t="s">
        <v>4369</v>
      </c>
      <c r="C565" t="s">
        <v>4370</v>
      </c>
      <c r="D565" t="s">
        <v>4369</v>
      </c>
      <c r="E565" t="s">
        <v>4371</v>
      </c>
      <c r="F565" t="s">
        <v>4372</v>
      </c>
      <c r="H565" t="s">
        <v>4373</v>
      </c>
      <c r="J565" t="s">
        <v>8</v>
      </c>
      <c r="K565" t="s">
        <v>3</v>
      </c>
      <c r="L565" t="s">
        <v>3</v>
      </c>
      <c r="M565" t="s">
        <v>373</v>
      </c>
      <c r="N565" t="s">
        <v>3</v>
      </c>
      <c r="O565" t="s">
        <v>3</v>
      </c>
      <c r="P565" t="s">
        <v>3</v>
      </c>
      <c r="Q565" t="s">
        <v>8</v>
      </c>
      <c r="R565" t="s">
        <v>373</v>
      </c>
      <c r="S565" t="s">
        <v>8</v>
      </c>
      <c r="T565" t="s">
        <v>4368</v>
      </c>
      <c r="U565" t="s">
        <v>3</v>
      </c>
      <c r="V565" t="s">
        <v>3</v>
      </c>
      <c r="W565" t="s">
        <v>4368</v>
      </c>
      <c r="AA565" t="s">
        <v>8</v>
      </c>
      <c r="AB565" t="s">
        <v>8</v>
      </c>
      <c r="AC565" t="s">
        <v>3</v>
      </c>
      <c r="AD565" t="s">
        <v>8</v>
      </c>
      <c r="AE565" t="s">
        <v>72</v>
      </c>
      <c r="AF565" t="s">
        <v>4374</v>
      </c>
    </row>
    <row r="566" spans="1:32" x14ac:dyDescent="0.45">
      <c r="A566" t="s">
        <v>137</v>
      </c>
      <c r="B566" t="s">
        <v>2313</v>
      </c>
      <c r="C566" t="s">
        <v>2314</v>
      </c>
      <c r="D566" t="s">
        <v>43</v>
      </c>
      <c r="E566" t="s">
        <v>2315</v>
      </c>
      <c r="F566" t="s">
        <v>2316</v>
      </c>
      <c r="H566" t="s">
        <v>2317</v>
      </c>
      <c r="I566" t="s">
        <v>2318</v>
      </c>
      <c r="J566" t="s">
        <v>8</v>
      </c>
      <c r="K566" t="s">
        <v>3</v>
      </c>
      <c r="L566" t="s">
        <v>3</v>
      </c>
      <c r="M566" t="s">
        <v>373</v>
      </c>
      <c r="N566" t="s">
        <v>3</v>
      </c>
      <c r="O566" t="s">
        <v>3</v>
      </c>
      <c r="P566" t="s">
        <v>3</v>
      </c>
      <c r="Q566" t="s">
        <v>8</v>
      </c>
      <c r="R566" t="s">
        <v>373</v>
      </c>
      <c r="S566" t="s">
        <v>8</v>
      </c>
      <c r="T566" t="s">
        <v>137</v>
      </c>
      <c r="U566" t="s">
        <v>3</v>
      </c>
      <c r="V566" t="s">
        <v>3</v>
      </c>
      <c r="W566" t="s">
        <v>137</v>
      </c>
      <c r="AA566" t="s">
        <v>8</v>
      </c>
      <c r="AB566" t="s">
        <v>8</v>
      </c>
      <c r="AC566" t="s">
        <v>3</v>
      </c>
      <c r="AD566" t="s">
        <v>8</v>
      </c>
      <c r="AE566" t="s">
        <v>72</v>
      </c>
      <c r="AF566" t="s">
        <v>4375</v>
      </c>
    </row>
    <row r="567" spans="1:32" x14ac:dyDescent="0.45">
      <c r="A567" t="s">
        <v>4376</v>
      </c>
      <c r="B567" t="s">
        <v>2322</v>
      </c>
      <c r="C567" t="s">
        <v>2314</v>
      </c>
      <c r="D567" t="s">
        <v>2322</v>
      </c>
      <c r="H567" t="s">
        <v>2317</v>
      </c>
      <c r="I567" t="s">
        <v>2318</v>
      </c>
      <c r="J567" t="s">
        <v>8</v>
      </c>
      <c r="K567" t="s">
        <v>3</v>
      </c>
      <c r="L567" t="s">
        <v>3</v>
      </c>
      <c r="M567" t="s">
        <v>373</v>
      </c>
      <c r="N567" t="s">
        <v>3</v>
      </c>
      <c r="O567" t="s">
        <v>3</v>
      </c>
      <c r="P567" t="s">
        <v>3</v>
      </c>
      <c r="Q567" t="s">
        <v>8</v>
      </c>
      <c r="R567" t="s">
        <v>373</v>
      </c>
      <c r="S567" t="s">
        <v>8</v>
      </c>
      <c r="T567" t="s">
        <v>4376</v>
      </c>
      <c r="U567" t="s">
        <v>3</v>
      </c>
      <c r="V567" t="s">
        <v>3</v>
      </c>
      <c r="W567" t="s">
        <v>4376</v>
      </c>
      <c r="AA567" t="s">
        <v>8</v>
      </c>
      <c r="AB567" t="s">
        <v>8</v>
      </c>
      <c r="AC567" t="s">
        <v>3</v>
      </c>
      <c r="AD567" t="s">
        <v>8</v>
      </c>
      <c r="AE567" t="s">
        <v>72</v>
      </c>
      <c r="AF567" t="s">
        <v>4377</v>
      </c>
    </row>
    <row r="568" spans="1:32" x14ac:dyDescent="0.45">
      <c r="A568" t="s">
        <v>139</v>
      </c>
      <c r="B568" t="s">
        <v>4378</v>
      </c>
      <c r="C568" t="s">
        <v>4379</v>
      </c>
      <c r="D568" t="s">
        <v>44</v>
      </c>
      <c r="E568" t="s">
        <v>4380</v>
      </c>
      <c r="F568" t="s">
        <v>4381</v>
      </c>
      <c r="H568" t="s">
        <v>4382</v>
      </c>
      <c r="I568" t="s">
        <v>4383</v>
      </c>
      <c r="J568" t="s">
        <v>8</v>
      </c>
      <c r="K568" t="s">
        <v>3</v>
      </c>
      <c r="L568" t="s">
        <v>3</v>
      </c>
      <c r="M568" t="s">
        <v>373</v>
      </c>
      <c r="N568" t="s">
        <v>3</v>
      </c>
      <c r="O568" t="s">
        <v>3</v>
      </c>
      <c r="P568" t="s">
        <v>3</v>
      </c>
      <c r="Q568" t="s">
        <v>8</v>
      </c>
      <c r="R568" t="s">
        <v>373</v>
      </c>
      <c r="S568" t="s">
        <v>8</v>
      </c>
      <c r="T568" t="s">
        <v>139</v>
      </c>
      <c r="U568" t="s">
        <v>3</v>
      </c>
      <c r="V568" t="s">
        <v>3</v>
      </c>
      <c r="W568" t="s">
        <v>139</v>
      </c>
      <c r="AA568" t="s">
        <v>3</v>
      </c>
      <c r="AB568" t="s">
        <v>8</v>
      </c>
      <c r="AC568" t="s">
        <v>3</v>
      </c>
      <c r="AD568" t="s">
        <v>8</v>
      </c>
      <c r="AE568" t="s">
        <v>64</v>
      </c>
      <c r="AF568" t="s">
        <v>4384</v>
      </c>
    </row>
    <row r="569" spans="1:32" x14ac:dyDescent="0.45">
      <c r="A569" t="s">
        <v>4385</v>
      </c>
      <c r="B569" t="s">
        <v>4386</v>
      </c>
      <c r="C569" t="s">
        <v>4387</v>
      </c>
      <c r="D569" t="s">
        <v>4386</v>
      </c>
      <c r="E569" t="s">
        <v>3497</v>
      </c>
      <c r="F569" t="s">
        <v>4388</v>
      </c>
      <c r="H569" t="s">
        <v>4389</v>
      </c>
      <c r="I569" t="s">
        <v>4390</v>
      </c>
      <c r="J569" t="s">
        <v>8</v>
      </c>
      <c r="K569" t="s">
        <v>3</v>
      </c>
      <c r="L569" t="s">
        <v>3</v>
      </c>
      <c r="M569" t="s">
        <v>373</v>
      </c>
      <c r="N569" t="s">
        <v>3</v>
      </c>
      <c r="O569" t="s">
        <v>3</v>
      </c>
      <c r="P569" t="s">
        <v>3</v>
      </c>
      <c r="Q569" t="s">
        <v>8</v>
      </c>
      <c r="R569" t="s">
        <v>373</v>
      </c>
      <c r="S569" t="s">
        <v>8</v>
      </c>
      <c r="T569" t="s">
        <v>4385</v>
      </c>
      <c r="U569" t="s">
        <v>3</v>
      </c>
      <c r="V569" t="s">
        <v>3</v>
      </c>
      <c r="W569" t="s">
        <v>4385</v>
      </c>
      <c r="AA569" t="s">
        <v>8</v>
      </c>
      <c r="AB569" t="s">
        <v>8</v>
      </c>
      <c r="AC569" t="s">
        <v>3</v>
      </c>
      <c r="AD569" t="s">
        <v>8</v>
      </c>
      <c r="AE569" t="s">
        <v>64</v>
      </c>
      <c r="AF569" t="s">
        <v>4391</v>
      </c>
    </row>
    <row r="570" spans="1:32" x14ac:dyDescent="0.45">
      <c r="A570" t="s">
        <v>4392</v>
      </c>
      <c r="B570" t="s">
        <v>4393</v>
      </c>
      <c r="C570" t="s">
        <v>4394</v>
      </c>
      <c r="D570" t="s">
        <v>4395</v>
      </c>
      <c r="E570" t="s">
        <v>1488</v>
      </c>
      <c r="F570" t="s">
        <v>4396</v>
      </c>
      <c r="H570" t="s">
        <v>4397</v>
      </c>
      <c r="J570" t="s">
        <v>8</v>
      </c>
      <c r="K570" t="s">
        <v>3</v>
      </c>
      <c r="L570" t="s">
        <v>3</v>
      </c>
      <c r="M570" t="s">
        <v>373</v>
      </c>
      <c r="N570" t="s">
        <v>3</v>
      </c>
      <c r="O570" t="s">
        <v>3</v>
      </c>
      <c r="P570" t="s">
        <v>3</v>
      </c>
      <c r="Q570" t="s">
        <v>8</v>
      </c>
      <c r="R570" t="s">
        <v>373</v>
      </c>
      <c r="S570" t="s">
        <v>8</v>
      </c>
      <c r="T570" t="s">
        <v>4392</v>
      </c>
      <c r="U570" t="s">
        <v>3</v>
      </c>
      <c r="V570" t="s">
        <v>3</v>
      </c>
      <c r="W570" t="s">
        <v>4392</v>
      </c>
      <c r="AA570" t="s">
        <v>3</v>
      </c>
      <c r="AB570" t="s">
        <v>8</v>
      </c>
      <c r="AC570" t="s">
        <v>3</v>
      </c>
      <c r="AD570" t="s">
        <v>8</v>
      </c>
      <c r="AE570" t="s">
        <v>64</v>
      </c>
      <c r="AF570" t="s">
        <v>4398</v>
      </c>
    </row>
    <row r="571" spans="1:32" x14ac:dyDescent="0.45">
      <c r="A571" t="s">
        <v>4399</v>
      </c>
      <c r="B571" t="s">
        <v>4207</v>
      </c>
      <c r="C571" t="s">
        <v>4208</v>
      </c>
      <c r="D571" t="s">
        <v>4207</v>
      </c>
      <c r="E571" t="s">
        <v>4209</v>
      </c>
      <c r="F571" t="s">
        <v>4400</v>
      </c>
      <c r="H571" t="s">
        <v>4211</v>
      </c>
      <c r="I571" t="s">
        <v>4212</v>
      </c>
      <c r="J571" t="s">
        <v>8</v>
      </c>
      <c r="K571" t="s">
        <v>3</v>
      </c>
      <c r="L571" t="s">
        <v>3</v>
      </c>
      <c r="M571" t="s">
        <v>373</v>
      </c>
      <c r="N571" t="s">
        <v>3</v>
      </c>
      <c r="O571" t="s">
        <v>3</v>
      </c>
      <c r="P571" t="s">
        <v>3</v>
      </c>
      <c r="Q571" t="s">
        <v>8</v>
      </c>
      <c r="R571" t="s">
        <v>373</v>
      </c>
      <c r="S571" t="s">
        <v>8</v>
      </c>
      <c r="T571" t="s">
        <v>4399</v>
      </c>
      <c r="U571" t="s">
        <v>3</v>
      </c>
      <c r="V571" t="s">
        <v>3</v>
      </c>
      <c r="W571" t="s">
        <v>4399</v>
      </c>
      <c r="AA571" t="s">
        <v>8</v>
      </c>
      <c r="AB571" t="s">
        <v>8</v>
      </c>
      <c r="AC571" t="s">
        <v>3</v>
      </c>
      <c r="AD571" t="s">
        <v>8</v>
      </c>
      <c r="AE571" t="s">
        <v>72</v>
      </c>
      <c r="AF571" t="s">
        <v>4401</v>
      </c>
    </row>
    <row r="572" spans="1:32" x14ac:dyDescent="0.45">
      <c r="A572" t="s">
        <v>4402</v>
      </c>
      <c r="B572" t="s">
        <v>4403</v>
      </c>
      <c r="C572" t="s">
        <v>4404</v>
      </c>
      <c r="D572" t="s">
        <v>4403</v>
      </c>
      <c r="E572" t="s">
        <v>4405</v>
      </c>
      <c r="F572" t="s">
        <v>4406</v>
      </c>
      <c r="H572" t="s">
        <v>4407</v>
      </c>
      <c r="J572" t="s">
        <v>8</v>
      </c>
      <c r="K572" t="s">
        <v>3</v>
      </c>
      <c r="L572" t="s">
        <v>3</v>
      </c>
      <c r="M572" t="s">
        <v>373</v>
      </c>
      <c r="N572" t="s">
        <v>3</v>
      </c>
      <c r="O572" t="s">
        <v>3</v>
      </c>
      <c r="P572" t="s">
        <v>3</v>
      </c>
      <c r="Q572" t="s">
        <v>8</v>
      </c>
      <c r="R572" t="s">
        <v>373</v>
      </c>
      <c r="S572" t="s">
        <v>8</v>
      </c>
      <c r="T572" t="s">
        <v>4402</v>
      </c>
      <c r="U572" t="s">
        <v>3</v>
      </c>
      <c r="V572" t="s">
        <v>3</v>
      </c>
      <c r="W572" t="s">
        <v>4402</v>
      </c>
      <c r="AA572" t="s">
        <v>8</v>
      </c>
      <c r="AB572" t="s">
        <v>8</v>
      </c>
      <c r="AC572" t="s">
        <v>3</v>
      </c>
      <c r="AD572" t="s">
        <v>8</v>
      </c>
      <c r="AE572" t="s">
        <v>67</v>
      </c>
      <c r="AF572" t="s">
        <v>4408</v>
      </c>
    </row>
    <row r="573" spans="1:32" x14ac:dyDescent="0.45">
      <c r="A573" t="s">
        <v>4409</v>
      </c>
      <c r="B573" t="s">
        <v>4410</v>
      </c>
      <c r="C573" t="s">
        <v>4411</v>
      </c>
      <c r="D573" t="s">
        <v>4410</v>
      </c>
      <c r="E573" t="s">
        <v>4412</v>
      </c>
      <c r="F573" t="s">
        <v>4413</v>
      </c>
      <c r="H573" t="s">
        <v>4414</v>
      </c>
      <c r="J573" t="s">
        <v>8</v>
      </c>
      <c r="K573" t="s">
        <v>3</v>
      </c>
      <c r="L573" t="s">
        <v>3</v>
      </c>
      <c r="M573" t="s">
        <v>373</v>
      </c>
      <c r="N573" t="s">
        <v>3</v>
      </c>
      <c r="O573" t="s">
        <v>3</v>
      </c>
      <c r="P573" t="s">
        <v>3</v>
      </c>
      <c r="Q573" t="s">
        <v>8</v>
      </c>
      <c r="R573" t="s">
        <v>373</v>
      </c>
      <c r="S573" t="s">
        <v>8</v>
      </c>
      <c r="T573" t="s">
        <v>4409</v>
      </c>
      <c r="U573" t="s">
        <v>3</v>
      </c>
      <c r="V573" t="s">
        <v>3</v>
      </c>
      <c r="W573" t="s">
        <v>4409</v>
      </c>
      <c r="AA573" t="s">
        <v>3</v>
      </c>
      <c r="AB573" t="s">
        <v>8</v>
      </c>
      <c r="AC573" t="s">
        <v>3</v>
      </c>
      <c r="AD573" t="s">
        <v>8</v>
      </c>
      <c r="AE573" t="s">
        <v>67</v>
      </c>
      <c r="AF573" t="s">
        <v>4415</v>
      </c>
    </row>
    <row r="574" spans="1:32" x14ac:dyDescent="0.45">
      <c r="A574" t="s">
        <v>141</v>
      </c>
      <c r="B574" t="s">
        <v>4416</v>
      </c>
      <c r="C574" t="s">
        <v>4417</v>
      </c>
      <c r="D574" t="s">
        <v>4416</v>
      </c>
      <c r="E574" t="s">
        <v>2439</v>
      </c>
      <c r="F574" t="s">
        <v>4418</v>
      </c>
      <c r="H574" t="s">
        <v>4419</v>
      </c>
      <c r="J574" t="s">
        <v>8</v>
      </c>
      <c r="K574" t="s">
        <v>3</v>
      </c>
      <c r="L574" t="s">
        <v>3</v>
      </c>
      <c r="M574" t="s">
        <v>373</v>
      </c>
      <c r="N574" t="s">
        <v>3</v>
      </c>
      <c r="O574" t="s">
        <v>3</v>
      </c>
      <c r="P574" t="s">
        <v>3</v>
      </c>
      <c r="Q574" t="s">
        <v>8</v>
      </c>
      <c r="R574" t="s">
        <v>373</v>
      </c>
      <c r="S574" t="s">
        <v>8</v>
      </c>
      <c r="T574" t="s">
        <v>141</v>
      </c>
      <c r="U574" t="s">
        <v>3</v>
      </c>
      <c r="V574" t="s">
        <v>3</v>
      </c>
      <c r="W574" t="s">
        <v>141</v>
      </c>
      <c r="AA574" t="s">
        <v>8</v>
      </c>
      <c r="AB574" t="s">
        <v>8</v>
      </c>
      <c r="AC574" t="s">
        <v>3</v>
      </c>
      <c r="AD574" t="s">
        <v>8</v>
      </c>
      <c r="AE574" t="s">
        <v>64</v>
      </c>
      <c r="AF574" t="s">
        <v>4420</v>
      </c>
    </row>
    <row r="575" spans="1:32" x14ac:dyDescent="0.45">
      <c r="A575" t="s">
        <v>142</v>
      </c>
      <c r="B575" t="s">
        <v>4421</v>
      </c>
      <c r="C575" t="s">
        <v>4422</v>
      </c>
      <c r="D575" t="s">
        <v>4421</v>
      </c>
      <c r="E575" t="s">
        <v>1355</v>
      </c>
      <c r="F575" t="s">
        <v>4423</v>
      </c>
      <c r="H575" t="s">
        <v>4424</v>
      </c>
      <c r="J575" t="s">
        <v>8</v>
      </c>
      <c r="K575" t="s">
        <v>3</v>
      </c>
      <c r="L575" t="s">
        <v>3</v>
      </c>
      <c r="M575" t="s">
        <v>373</v>
      </c>
      <c r="N575" t="s">
        <v>3</v>
      </c>
      <c r="O575" t="s">
        <v>3</v>
      </c>
      <c r="P575" t="s">
        <v>3</v>
      </c>
      <c r="Q575" t="s">
        <v>8</v>
      </c>
      <c r="R575" t="s">
        <v>373</v>
      </c>
      <c r="S575" t="s">
        <v>8</v>
      </c>
      <c r="T575" t="s">
        <v>142</v>
      </c>
      <c r="U575" t="s">
        <v>3</v>
      </c>
      <c r="V575" t="s">
        <v>3</v>
      </c>
      <c r="W575" t="s">
        <v>142</v>
      </c>
      <c r="AA575" t="s">
        <v>8</v>
      </c>
      <c r="AB575" t="s">
        <v>8</v>
      </c>
      <c r="AC575" t="s">
        <v>3</v>
      </c>
      <c r="AD575" t="s">
        <v>8</v>
      </c>
      <c r="AE575" t="s">
        <v>64</v>
      </c>
      <c r="AF575" t="s">
        <v>4425</v>
      </c>
    </row>
    <row r="576" spans="1:32" x14ac:dyDescent="0.45">
      <c r="A576" t="s">
        <v>143</v>
      </c>
      <c r="B576" t="s">
        <v>4426</v>
      </c>
      <c r="C576" t="s">
        <v>4427</v>
      </c>
      <c r="D576" t="s">
        <v>4426</v>
      </c>
      <c r="E576" t="s">
        <v>4428</v>
      </c>
      <c r="F576" t="s">
        <v>4429</v>
      </c>
      <c r="H576" t="s">
        <v>4430</v>
      </c>
      <c r="J576" t="s">
        <v>8</v>
      </c>
      <c r="K576" t="s">
        <v>3</v>
      </c>
      <c r="L576" t="s">
        <v>3</v>
      </c>
      <c r="M576" t="s">
        <v>373</v>
      </c>
      <c r="N576" t="s">
        <v>3</v>
      </c>
      <c r="O576" t="s">
        <v>3</v>
      </c>
      <c r="P576" t="s">
        <v>3</v>
      </c>
      <c r="Q576" t="s">
        <v>8</v>
      </c>
      <c r="R576" t="s">
        <v>373</v>
      </c>
      <c r="S576" t="s">
        <v>8</v>
      </c>
      <c r="T576" t="s">
        <v>143</v>
      </c>
      <c r="U576" t="s">
        <v>3</v>
      </c>
      <c r="V576" t="s">
        <v>3</v>
      </c>
      <c r="W576" t="s">
        <v>143</v>
      </c>
      <c r="AA576" t="s">
        <v>8</v>
      </c>
      <c r="AB576" t="s">
        <v>8</v>
      </c>
      <c r="AC576" t="s">
        <v>3</v>
      </c>
      <c r="AD576" t="s">
        <v>8</v>
      </c>
      <c r="AE576" t="s">
        <v>64</v>
      </c>
      <c r="AF576" t="s">
        <v>4431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2025-11-17T13:02:06Z</dcterms:modified>
</cp:coreProperties>
</file>